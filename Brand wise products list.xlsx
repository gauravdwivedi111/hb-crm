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fc4e138e8746aba/Desktop/vasy 2026/Margebook/"/>
    </mc:Choice>
  </mc:AlternateContent>
  <xr:revisionPtr revIDLastSave="12" documentId="8_{A85D4B90-4DC5-4EF7-A18B-BF61ABB026D1}" xr6:coauthVersionLast="47" xr6:coauthVersionMax="47" xr10:uidLastSave="{EF86E0D4-8D40-42F5-BCD0-ACD88D337FDD}"/>
  <bookViews>
    <workbookView xWindow="-110" yWindow="-110" windowWidth="19420" windowHeight="11500" tabRatio="500" xr2:uid="{00000000-000D-0000-FFFF-FFFF00000000}"/>
  </bookViews>
  <sheets>
    <sheet name="Kohler" sheetId="1" r:id="rId1"/>
    <sheet name="Fosroc" sheetId="2" r:id="rId2"/>
    <sheet name="Sika" sheetId="3" r:id="rId3"/>
    <sheet name="Kemprol" sheetId="4" r:id="rId4"/>
    <sheet name="Dr Fixit" sheetId="5" r:id="rId5"/>
    <sheet name="VT" sheetId="6" r:id="rId6"/>
    <sheet name="ROFF" sheetId="7" r:id="rId7"/>
    <sheet name="TENAX" sheetId="8" r:id="rId8"/>
  </sheets>
  <definedNames>
    <definedName name="_xlnm._FilterDatabase" localSheetId="4" hidden="1">'Dr Fixit'!$A$1:$G$157</definedName>
    <definedName name="_xlnm._FilterDatabase" localSheetId="0" hidden="1">Kohler!$A$1:$H$20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9" i="7" l="1"/>
  <c r="N138" i="7"/>
  <c r="L137" i="7"/>
  <c r="P136" i="7"/>
  <c r="M136" i="7"/>
  <c r="M135" i="7"/>
  <c r="L135" i="7"/>
  <c r="I87" i="8"/>
  <c r="H25" i="8"/>
  <c r="H24" i="8"/>
  <c r="H22" i="8"/>
  <c r="H21" i="8"/>
  <c r="H12" i="8"/>
  <c r="H10" i="8"/>
  <c r="H9" i="8"/>
  <c r="H8" i="8"/>
</calcChain>
</file>

<file path=xl/sharedStrings.xml><?xml version="1.0" encoding="utf-8"?>
<sst xmlns="http://schemas.openxmlformats.org/spreadsheetml/2006/main" count="25008" uniqueCount="4963">
  <si>
    <t>Departments</t>
  </si>
  <si>
    <t>Category</t>
  </si>
  <si>
    <t>Sub Category</t>
  </si>
  <si>
    <t>Brand</t>
  </si>
  <si>
    <t>Sub Brand</t>
  </si>
  <si>
    <t>Item Code</t>
  </si>
  <si>
    <t>Product Name</t>
  </si>
  <si>
    <t>Print Name</t>
  </si>
  <si>
    <t>Short Description</t>
  </si>
  <si>
    <t>Description</t>
  </si>
  <si>
    <t>Measurement Name</t>
  </si>
  <si>
    <t>Measurement Code</t>
  </si>
  <si>
    <t>Hsn Code</t>
  </si>
  <si>
    <t>Sales Tax Name</t>
  </si>
  <si>
    <t>Sales Tax Rate</t>
  </si>
  <si>
    <t>Purchase Tax Name</t>
  </si>
  <si>
    <t>Purchase Tax Rate</t>
  </si>
  <si>
    <t>MRP</t>
  </si>
  <si>
    <t>Purchase Price</t>
  </si>
  <si>
    <t>Pcs</t>
  </si>
  <si>
    <t>PCS</t>
  </si>
  <si>
    <t>abcdefghijkl</t>
  </si>
  <si>
    <t>Premium</t>
  </si>
  <si>
    <t>Luxury</t>
  </si>
  <si>
    <t>Popular</t>
  </si>
  <si>
    <t>KITCHEN SINK</t>
  </si>
  <si>
    <t>VITREOUS</t>
  </si>
  <si>
    <t>FAUCETS</t>
  </si>
  <si>
    <t>SEMIS AND SPARE PARTS</t>
  </si>
  <si>
    <t>BATH TUB</t>
  </si>
  <si>
    <t>OTHERS</t>
  </si>
  <si>
    <t>SPARE PARTS</t>
  </si>
  <si>
    <t>STEAM GENERATOR</t>
  </si>
  <si>
    <t>MIRROR</t>
  </si>
  <si>
    <t>VANITIES</t>
  </si>
  <si>
    <t>SHOWER DOORS</t>
  </si>
  <si>
    <t>WATER</t>
  </si>
  <si>
    <t>BATHROOM FURNITURE</t>
  </si>
  <si>
    <t>CAST IRON</t>
  </si>
  <si>
    <t>STAINLESS STEEL</t>
  </si>
  <si>
    <t>ELECTRONICS</t>
  </si>
  <si>
    <t>ACRYLICS</t>
  </si>
  <si>
    <t>OTHER KITCHEN ACCESSORIES</t>
  </si>
  <si>
    <t>WALL HUNG - COMPLETE</t>
  </si>
  <si>
    <t>SOAP DISPENSER</t>
  </si>
  <si>
    <t>BRUSH HOLDER</t>
  </si>
  <si>
    <t>TOWEL SHELF</t>
  </si>
  <si>
    <t>SINGLE CONTROL - REGULAR</t>
  </si>
  <si>
    <t>SINGLE CONTROL</t>
  </si>
  <si>
    <t>TALL</t>
  </si>
  <si>
    <t>SERVICE PARTS/SPARES</t>
  </si>
  <si>
    <t>BATH SPOUT</t>
  </si>
  <si>
    <t>DECK MOUNT</t>
  </si>
  <si>
    <t>TOWEL BAR</t>
  </si>
  <si>
    <t>TOWEL RING</t>
  </si>
  <si>
    <t>ROBE HOOK</t>
  </si>
  <si>
    <t>PAPER HOLDER</t>
  </si>
  <si>
    <t>SOAP DISH</t>
  </si>
  <si>
    <t>SHOWERARM</t>
  </si>
  <si>
    <t>ANGLE VALVE</t>
  </si>
  <si>
    <t>IN-LINE STOP VALVE</t>
  </si>
  <si>
    <t>BIB TAP</t>
  </si>
  <si>
    <t>SERVICE PARTS</t>
  </si>
  <si>
    <t>VALVE</t>
  </si>
  <si>
    <t>SHOWERHEAD</t>
  </si>
  <si>
    <t>HANDSHOWER</t>
  </si>
  <si>
    <t>SUPPLY ELBOW</t>
  </si>
  <si>
    <t>DTV+? KIT</t>
  </si>
  <si>
    <t>PLAIN</t>
  </si>
  <si>
    <t>WHIRLPOOL</t>
  </si>
  <si>
    <t>WALL-MOUNT BASIN</t>
  </si>
  <si>
    <t>SEMI-RECESSED</t>
  </si>
  <si>
    <t>1 PC</t>
  </si>
  <si>
    <t>NOT APPLICABLE/OTHER</t>
  </si>
  <si>
    <t>STEP CAN</t>
  </si>
  <si>
    <t>PED - HALF PED COMPLETE</t>
  </si>
  <si>
    <t>SEAT</t>
  </si>
  <si>
    <t>WALL HUNG WET - COMPLETE</t>
  </si>
  <si>
    <t>WALL HUNG WET - BOWL ONLY</t>
  </si>
  <si>
    <t>WALL HUNG WET - TANK ONLY</t>
  </si>
  <si>
    <t>VESSELS</t>
  </si>
  <si>
    <t>UNDERCOUNTER</t>
  </si>
  <si>
    <t>SELF RIMMING</t>
  </si>
  <si>
    <t>SENSOR FAUCET</t>
  </si>
  <si>
    <t>EXPOSED</t>
  </si>
  <si>
    <t>2 PC - BOWL ONLY</t>
  </si>
  <si>
    <t>2 PC - TANK ONLY</t>
  </si>
  <si>
    <t>INDEPENDENT BOWL ONLY</t>
  </si>
  <si>
    <t>BATH - ACRYLIC</t>
  </si>
  <si>
    <t>DRAIN</t>
  </si>
  <si>
    <t>RAINHEAD</t>
  </si>
  <si>
    <t>BATH PILLOW</t>
  </si>
  <si>
    <t>FEET</t>
  </si>
  <si>
    <t>Capsule</t>
  </si>
  <si>
    <t>SHOWER COLUMN</t>
  </si>
  <si>
    <t>RECESSED</t>
  </si>
  <si>
    <t>URINAL</t>
  </si>
  <si>
    <t>INTELLIGENT TOILET TANK</t>
  </si>
  <si>
    <t>IN-WALL TANK</t>
  </si>
  <si>
    <t>MULTI THERAPY</t>
  </si>
  <si>
    <t>WIDESPREAD</t>
  </si>
  <si>
    <t>SHOWER BASKET</t>
  </si>
  <si>
    <t>BIDET - FLOOR-MOUNT</t>
  </si>
  <si>
    <t>WALL HUNG - BOWL ONLY</t>
  </si>
  <si>
    <t>TALL PILLAR</t>
  </si>
  <si>
    <t>MAIN VANITY 1000</t>
  </si>
  <si>
    <t>SHOWER SEAT</t>
  </si>
  <si>
    <t>DECK MOUNT COLD ONLY</t>
  </si>
  <si>
    <t>WALL-MOUNT COLD ONLY</t>
  </si>
  <si>
    <t>WALL-MOUNT SINGLE CONTROL</t>
  </si>
  <si>
    <t>PED - FULL PED COMPLETE</t>
  </si>
  <si>
    <t>PED - FULL PED ONLY</t>
  </si>
  <si>
    <t>GRID DRAIN</t>
  </si>
  <si>
    <t>GRAB BAR</t>
  </si>
  <si>
    <t>WALL-MOUNT</t>
  </si>
  <si>
    <t>COMBO</t>
  </si>
  <si>
    <t>STOOL</t>
  </si>
  <si>
    <t>WALL-MOUNT+VALVE</t>
  </si>
  <si>
    <t>PILLAR</t>
  </si>
  <si>
    <t>TRIM+VALVE</t>
  </si>
  <si>
    <t>SEDIMENT FILTER</t>
  </si>
  <si>
    <t>PRE FILTER</t>
  </si>
  <si>
    <t>BIDET ATTACHMENT</t>
  </si>
  <si>
    <t>762 RECTANGLE</t>
  </si>
  <si>
    <t>762 ROUND</t>
  </si>
  <si>
    <t>1016 ROUND</t>
  </si>
  <si>
    <t>PARENT CODE</t>
  </si>
  <si>
    <t>IN-WALL TANK COVER</t>
  </si>
  <si>
    <t>WADING POOL</t>
  </si>
  <si>
    <t>1000 RECTANGLE</t>
  </si>
  <si>
    <t>600 RECTANGLE</t>
  </si>
  <si>
    <t>900 RECTANGLE</t>
  </si>
  <si>
    <t>1H LAV FCT/PILLAR</t>
  </si>
  <si>
    <t>TRIM</t>
  </si>
  <si>
    <t>NA</t>
  </si>
  <si>
    <t>WATERTILE</t>
  </si>
  <si>
    <t>CARTRIDGES</t>
  </si>
  <si>
    <t>URINAL SENSOR</t>
  </si>
  <si>
    <t>COUNTER TOP</t>
  </si>
  <si>
    <t>FLUSH VALVE COVER</t>
  </si>
  <si>
    <t>607 RECTANGLE</t>
  </si>
  <si>
    <t>TUMBLER HOLDER</t>
  </si>
  <si>
    <t>EXPOSED BATH FCT</t>
  </si>
  <si>
    <t>SLIDE BAR</t>
  </si>
  <si>
    <t>UF PURIFIER</t>
  </si>
  <si>
    <t>1 BASIN 36" SHORT APRN</t>
  </si>
  <si>
    <t>SCHEME COMBO</t>
  </si>
  <si>
    <t>NON LIGHTED MIRROR</t>
  </si>
  <si>
    <t>WALL BRACKET</t>
  </si>
  <si>
    <t>WALL MOUNT COLD ONLY</t>
  </si>
  <si>
    <t>VANITY</t>
  </si>
  <si>
    <t>SYSTEM CONTROLLER</t>
  </si>
  <si>
    <t>1 BASIN 25X22</t>
  </si>
  <si>
    <t>NOT APPLICABLE</t>
  </si>
  <si>
    <t>INTERFACE</t>
  </si>
  <si>
    <t>ELECTRONIC BIDET SEAT</t>
  </si>
  <si>
    <t>INTELLIGENT TOILET</t>
  </si>
  <si>
    <t>ACCESSORIES</t>
  </si>
  <si>
    <t>720 RECTANGLE</t>
  </si>
  <si>
    <t>WATER PURIFIER</t>
  </si>
  <si>
    <t>RAINPANEL</t>
  </si>
  <si>
    <t>SPARE PART</t>
  </si>
  <si>
    <t>MAIN VANITY 750</t>
  </si>
  <si>
    <t>STAINLESS STEEL FABRICATED SINK</t>
  </si>
  <si>
    <t>700 ROUND</t>
  </si>
  <si>
    <t>FLUSH VALVE</t>
  </si>
  <si>
    <t>TALL VANITY 1500</t>
  </si>
  <si>
    <t>600 ROUND</t>
  </si>
  <si>
    <t>1 BASIN 33X9 BAR/ENTERTAINTMENT SINK</t>
  </si>
  <si>
    <t>MANUAL BIDET SEAT</t>
  </si>
  <si>
    <t>Steam Head</t>
  </si>
  <si>
    <t>Steam Adapter</t>
  </si>
  <si>
    <t>Steam controller</t>
  </si>
  <si>
    <t>STEAM UNIT</t>
  </si>
  <si>
    <t>IN-LINE STOP TRIM</t>
  </si>
  <si>
    <t>SHOULDER SHOWER</t>
  </si>
  <si>
    <t>2 PC COMPLETE</t>
  </si>
  <si>
    <t>SUPPLY ELBOW W BRACKET</t>
  </si>
  <si>
    <t>DECK MOUNT SINGLE CONTROL</t>
  </si>
  <si>
    <t>Rectangle</t>
  </si>
  <si>
    <t>PEBBLE</t>
  </si>
  <si>
    <t>PROJECT GLASS</t>
  </si>
  <si>
    <t>716 ROUND</t>
  </si>
  <si>
    <t>1 BASIN 18X18</t>
  </si>
  <si>
    <t>SINGLE HOLE</t>
  </si>
  <si>
    <t>LIB</t>
  </si>
  <si>
    <t>1D1P</t>
  </si>
  <si>
    <t>FULL LENGTH ARCH</t>
  </si>
  <si>
    <t>MAIN VANITY 900</t>
  </si>
  <si>
    <t>FLOOR DRAIN</t>
  </si>
  <si>
    <t>HANDLE</t>
  </si>
  <si>
    <t>CONTROL KIT</t>
  </si>
  <si>
    <t>PED - HALF PED ONLY</t>
  </si>
  <si>
    <t>MOUNTING BRACKET</t>
  </si>
  <si>
    <t>PULLDOWN</t>
  </si>
  <si>
    <t>GLASS SHELF</t>
  </si>
  <si>
    <t>CLICKER DRAIN</t>
  </si>
  <si>
    <t>TRANSFER VALVE</t>
  </si>
  <si>
    <t>BOTTLE TRAP</t>
  </si>
  <si>
    <t>TALL LAV FAUCET</t>
  </si>
  <si>
    <t>SUPER TALL</t>
  </si>
  <si>
    <t>TOILET SENSOR</t>
  </si>
  <si>
    <t>787 ROUND</t>
  </si>
  <si>
    <t>HEALTH FAUCET</t>
  </si>
  <si>
    <t>KOHLER</t>
  </si>
  <si>
    <t xml:space="preserve"> </t>
  </si>
  <si>
    <t>MODERN LIFE WITH SEAT HONED PEACOCK</t>
  </si>
  <si>
    <t>MODERN LIFE WITH SEAT HONED THUNDER GREY</t>
  </si>
  <si>
    <t>PURIST  COUNTERTOP SOAP DISPENSER</t>
  </si>
  <si>
    <t>STILLNESS TOILET BRUSH HOLDER</t>
  </si>
  <si>
    <t>STILLNESS 24" TOWEL SHELF</t>
  </si>
  <si>
    <t>PURIST  SINGLE CONTROL LAV FAUCET</t>
  </si>
  <si>
    <t>PURIST SINGLE CONTROL LAVATORY FAUCET</t>
  </si>
  <si>
    <t>PURIST  SINGLE CONTROL LAVATORY FAUCET</t>
  </si>
  <si>
    <t>PURIST SINGLE CONTROL LAVATORY FAUCET LE</t>
  </si>
  <si>
    <t>SPECIAL PURIST SC TALL LAV FAUCET LEVER</t>
  </si>
  <si>
    <t>PURIST  MIDRGE W/M NONDIV 35 DEG BTH SPT</t>
  </si>
  <si>
    <t>PURIST BATH SPOUT, 194MM</t>
  </si>
  <si>
    <t>DRYER HEATER,220V</t>
  </si>
  <si>
    <t>PURIST DECK MOUNT LAVATORY FAUCET</t>
  </si>
  <si>
    <t>PURIST D MOUNT BATH FAUCET LEVER HANDLE</t>
  </si>
  <si>
    <t>WATER TEMP SENSOR</t>
  </si>
  <si>
    <t>BUMPER ASSEMBLY</t>
  </si>
  <si>
    <t>PURIST  18" TOWEL BAR</t>
  </si>
  <si>
    <t>PURIST  24"TOWEL BAR</t>
  </si>
  <si>
    <t>PURIST  TOWEL RING</t>
  </si>
  <si>
    <t>PURIST  ROBE HOOK</t>
  </si>
  <si>
    <t>HANDLE, W ENGRAVING</t>
  </si>
  <si>
    <t>PURIST  TOILET PAPER HOLDER</t>
  </si>
  <si>
    <t>PURIST  SOAP DISH  and  HOLDER</t>
  </si>
  <si>
    <t>STILLNESS 24'' TOWEL BAR</t>
  </si>
  <si>
    <t>STILLNESS TOWEL RING</t>
  </si>
  <si>
    <t>STILLNESS ROBE HOOK</t>
  </si>
  <si>
    <t>STILLNESS TOILET PAPER HOLDER</t>
  </si>
  <si>
    <t>STILLNESS SOAP DISH and HOLDER</t>
  </si>
  <si>
    <t>NUT SLEEVE</t>
  </si>
  <si>
    <t>CEILING MOUNT SHOWER ARM, 5"</t>
  </si>
  <si>
    <t>10" CELING MOUNT SHOWER ARM</t>
  </si>
  <si>
    <t>JULY ANGLE VALVE (2 PCS PER BOX)</t>
  </si>
  <si>
    <t>JULY ANGLE VLV G1/2 G13MM (2 PC PER BOX)</t>
  </si>
  <si>
    <t>JULY INLINE STOP VALVE TRIM</t>
  </si>
  <si>
    <t>INLINE STOP VALVE G1/2 G13MM</t>
  </si>
  <si>
    <t>INLINE STOP VALVE G3/4 G19MM</t>
  </si>
  <si>
    <t>JULY 1 WAY BIB TAP</t>
  </si>
  <si>
    <t>JULY 2 WAY BIB TAP</t>
  </si>
  <si>
    <t>LEAP MAIN CONTROL BOARD</t>
  </si>
  <si>
    <t>WARM WIND ASM</t>
  </si>
  <si>
    <t>FINIAL /REVIVAL  BATH SPOUT</t>
  </si>
  <si>
    <t>PRV 1BAR G1/2</t>
  </si>
  <si>
    <t>O RING</t>
  </si>
  <si>
    <t>ESCUTCHEON</t>
  </si>
  <si>
    <t>PRESSURE VALVE ASM</t>
  </si>
  <si>
    <t>DIVERTER ASM</t>
  </si>
  <si>
    <t>WATER HEATER ASM</t>
  </si>
  <si>
    <t>VACUUM BREAKER ASM WITH DEFLECTOR</t>
  </si>
  <si>
    <t>MARGAUX  SINGLE CONTROL LAVATORY FAUCET</t>
  </si>
  <si>
    <t>MARGAUX  SC TALL LAVATORY FAUCET</t>
  </si>
  <si>
    <t>MARGAUX  WALL MOUNT BATH SPOUT</t>
  </si>
  <si>
    <t>MARGAUX  24" TOWEL BAR</t>
  </si>
  <si>
    <t>MARGAUX  24" DOUBLE TOWEL BAR</t>
  </si>
  <si>
    <t>MARGAUX  TOWEL RING</t>
  </si>
  <si>
    <t>MARGAUX  ROBE HOOK</t>
  </si>
  <si>
    <t>MARGAUX  HORIZONTAL TOILET PAPER HOLDER</t>
  </si>
  <si>
    <t>BOTTOM COVER,BIDET</t>
  </si>
  <si>
    <t>SCREW COVER</t>
  </si>
  <si>
    <t>KNOB, BIDET</t>
  </si>
  <si>
    <t>PANEL BOARD</t>
  </si>
  <si>
    <t>SUPPLY HOSE,G1/2"(15MM)X500 MM</t>
  </si>
  <si>
    <t>RECE. THERMOSTATIC VALVE BATH SHOWER</t>
  </si>
  <si>
    <t>MASTERSHOWER ELBOW SHOWER ARM</t>
  </si>
  <si>
    <t>MASTERSHOWER CEILING MNT SHOWER ARM</t>
  </si>
  <si>
    <t>PURIST 140MM SINGLE FUNCTION SHOWERHEAD</t>
  </si>
  <si>
    <t>SF SHOWERHEAD WITH ARM  and  ESCUTCHEON</t>
  </si>
  <si>
    <t>MASTERSHOWER HANDSHOWER, MF, W/HOSE</t>
  </si>
  <si>
    <t>WALL SUPPLY ELBOW</t>
  </si>
  <si>
    <t>AT 235 TRIM</t>
  </si>
  <si>
    <t>AT 230 TRIM</t>
  </si>
  <si>
    <t>G1/2  BRASS T CONNECTOR ASSEMBLY</t>
  </si>
  <si>
    <t>STEAM GENERATOR CONTROL KIT</t>
  </si>
  <si>
    <t>ESCALE WH TOILET W/SC SLIM SEAT and COVER</t>
  </si>
  <si>
    <t>ESCALE WH TOILET W/SC SEAT and COVER</t>
  </si>
  <si>
    <t>EVOK1800X800 AC BATH,W/O PILLOW</t>
  </si>
  <si>
    <t>OVE AC 1700 BATH,W/O PILLOW</t>
  </si>
  <si>
    <t>OVE  1.7M DROP IN WHIRLPOOL</t>
  </si>
  <si>
    <t>PANACHE WASHBASIN 600X480, 1 TAP HOLE</t>
  </si>
  <si>
    <t>PANACHE HANDWASHBASIN 450 X 335,1 TAP HL</t>
  </si>
  <si>
    <t>PANACHE SEMI RECESSED 560 X 450,1 TAP HL</t>
  </si>
  <si>
    <t>REVE 1 PC TOILET, S TRAP</t>
  </si>
  <si>
    <t>BATH DRAIN</t>
  </si>
  <si>
    <t>EOLIA TOWEL SHELF</t>
  </si>
  <si>
    <t>EOLIA TOILET BRUSH HOLDER</t>
  </si>
  <si>
    <t>EOLIA STEP CAN</t>
  </si>
  <si>
    <t>OVE 1 PC TOILET WITH QUIET CLOSE SEAT</t>
  </si>
  <si>
    <t>OVE 1 PC TOILET W/O SEAT</t>
  </si>
  <si>
    <t>PANACHE SEMI PED LAV, 600X480,1 HOLE</t>
  </si>
  <si>
    <t>OVE ELONGATED QUIET CLOSE SEAT</t>
  </si>
  <si>
    <t>Odeon Wall Hung w/exp Tank</t>
  </si>
  <si>
    <t>ODEON WALL HUNG BOWL W/O SEAT</t>
  </si>
  <si>
    <t>ODEON DUAL FLUSH TANK</t>
  </si>
  <si>
    <t>OVE ELONGATED SEAT</t>
  </si>
  <si>
    <t>SYLVA CI VESSEL/ UNDER COUNTER LAV</t>
  </si>
  <si>
    <t>OVE QUIET CLOSE TOILET SEAT</t>
  </si>
  <si>
    <t>HOURGLASS BATH,LH CNR, COMPLETE SOLUTION</t>
  </si>
  <si>
    <t>HOURGLASS BATH,RH CNR, COMPLETE SOLUTION</t>
  </si>
  <si>
    <t>DERRING  OVAL 17X14 UC BATHROOM SINK</t>
  </si>
  <si>
    <t>OVE INTEGRATED AC BATH,W/APRON,DRAIN,LH</t>
  </si>
  <si>
    <t>DERRING WADING POOL  ROUND BATHROOM SINK</t>
  </si>
  <si>
    <t>DERRING WADING POOL  RECT. BATHROOM SINK</t>
  </si>
  <si>
    <t>ABRAZO  LITHOCAST FREESTANDING BATH</t>
  </si>
  <si>
    <t>TOUCHLESS FAUCET, SINGLE HOLE</t>
  </si>
  <si>
    <t>AUCLEN TOUCHLESS FAUCET</t>
  </si>
  <si>
    <t>MILANO SEMI RECESSED LAVATORY , 1 HOLE</t>
  </si>
  <si>
    <t>ELOSIS DM SENSOR FCT W/O DRAIN COLD ONLY</t>
  </si>
  <si>
    <t>PATIO WALL HUNG TOILET W/SC SEAT</t>
  </si>
  <si>
    <t>PANACHE LAV FAUCET</t>
  </si>
  <si>
    <t>PANACHE SGL BATH/SHOWER FAUCET</t>
  </si>
  <si>
    <t>PANACHE CLOSE COUPLED WC PAN, P TRAP</t>
  </si>
  <si>
    <t>PANACHE CLOSE COUPLED WC CISTERN</t>
  </si>
  <si>
    <t>PANACHE TANK</t>
  </si>
  <si>
    <t>PANACHE BTW PAN, P TRAP</t>
  </si>
  <si>
    <t>EASY LAVATORY FAUCET</t>
  </si>
  <si>
    <t>EVOK ROUND FREESTANDING BATH</t>
  </si>
  <si>
    <t>8"CONTEMPORARY ROUND KATALYST AIR SHWRHD</t>
  </si>
  <si>
    <t>8" ROUND RAIN SHOWERHEAD CONTEMPORARY</t>
  </si>
  <si>
    <t>RAINDUET ROUND 254MM RAINHEAD</t>
  </si>
  <si>
    <t>10"CONTEMPORARY ROUND AIR SHOWERHEAD</t>
  </si>
  <si>
    <t>10"CONTEMPORARY ROUND AIR</t>
  </si>
  <si>
    <t>RAINDUET SQUARE 254MM RAINHEAD</t>
  </si>
  <si>
    <t>10" CONTEMPORARY SQUARE KATALYST AIR</t>
  </si>
  <si>
    <t>10" CONTEMPORARY SQUARE AIR SHWRHD(HFL)</t>
  </si>
  <si>
    <t>EOLIA RECESSED DOUBLE PAPER HOLDER</t>
  </si>
  <si>
    <t>BIOVE PILLOW</t>
  </si>
  <si>
    <t>ADJUSTABLE FEET, CAST IRON BATH</t>
  </si>
  <si>
    <t>LISON MIRROR</t>
  </si>
  <si>
    <t>CONCEALED CURVED SHOWER TUBE W/DUAL SHWR</t>
  </si>
  <si>
    <t>SYMBOL SHOWER ONLY TRIM</t>
  </si>
  <si>
    <t>SYMBOL BATH AND SHOWER TRIM</t>
  </si>
  <si>
    <t>SPECIAL SYMBOL RECESSED BATH SHOWER TRIM</t>
  </si>
  <si>
    <t>BRIVEPlus 2PC TANK ONLY RH INLET</t>
  </si>
  <si>
    <t>PATIO  URINAL, REAR INLET 0.5L</t>
  </si>
  <si>
    <t>HYDRO TOWER 5OO INWALL TANK WITH FRAME</t>
  </si>
  <si>
    <t>HYDRO TOWER 5OO INWALL TANK WITH FRAME M</t>
  </si>
  <si>
    <t>KUMIN DM SENSOR FCT W/O DRAIN COLD ONLY</t>
  </si>
  <si>
    <t>KUMIN IR SENSOR FAUCET COLD ONLY (DC)</t>
  </si>
  <si>
    <t>EVORA  1.85M DROP IN WHIRLPOOL</t>
  </si>
  <si>
    <t>DUO BATHTUB 1670 X 760</t>
  </si>
  <si>
    <t>DUO BATHTUB 1525 X 762</t>
  </si>
  <si>
    <t>EMERALD  1.3M DROP IN WHIRLPOOL</t>
  </si>
  <si>
    <t>JADE UNDERCOUNTER LAVATORY</t>
  </si>
  <si>
    <t>ODELA URINAL</t>
  </si>
  <si>
    <t>CARAFE CAST SPOUT SINK FAUCET,W/O FILTER</t>
  </si>
  <si>
    <t>SPECIAL ELEVATION 8"WIDESPREAD W/1.5GPM</t>
  </si>
  <si>
    <t>ELEVATION DECK MOUNT BATH/SHOWER FAUCET</t>
  </si>
  <si>
    <t>EVOK PILLOW</t>
  </si>
  <si>
    <t>TRANSITIONAL SOAP/LOTION DISPENSER</t>
  </si>
  <si>
    <t>CONTEMPORARY SOAP/LOTION DISPENSER</t>
  </si>
  <si>
    <t>MEDIUM CORNER BASKET</t>
  </si>
  <si>
    <t>ESCALE C/C WC PAN V/OUTLET WH</t>
  </si>
  <si>
    <t>ESCALE CISTERN  P/B D/FLUSH   WH</t>
  </si>
  <si>
    <t>ESCALE  BIDET</t>
  </si>
  <si>
    <t>ESCALE WALLHUNG BOWL W/O SEAT</t>
  </si>
  <si>
    <t>ESCALE WALL HUNG TOILET BOWL</t>
  </si>
  <si>
    <t>ESCALE ACCENT WH TOILET BOWL,GOLD BAND</t>
  </si>
  <si>
    <t>PRESQUILE WALL HUNG TOILET BOWL</t>
  </si>
  <si>
    <t>DEVONSHIRE  SINGLE CONTROL LAV FAUCET</t>
  </si>
  <si>
    <t>FREELANCE WALL HUNG TOILET BOWL</t>
  </si>
  <si>
    <t>SYMBOL SINGLE CONTROL LAVATORY FAUCET</t>
  </si>
  <si>
    <t>TALL SYMBOL SC LAVATORY FAUCET</t>
  </si>
  <si>
    <t>OVE WALL HUNG TOILET BOWL</t>
  </si>
  <si>
    <t>OVE WALL HUNG BOWL W/O SEAT</t>
  </si>
  <si>
    <t>OVE DUAL FLUSH TANK</t>
  </si>
  <si>
    <t>ALEO PILLAR TAP, TALL</t>
  </si>
  <si>
    <t>ALEOPlusPILLAR TAP, TALL</t>
  </si>
  <si>
    <t>ALEO BIB TAP, 2 WAY</t>
  </si>
  <si>
    <t>ALEO BATH SPOUT W/ DIVERTER</t>
  </si>
  <si>
    <t>ALEO BATH SPOUT W DIVERTER</t>
  </si>
  <si>
    <t>INSTAFITPlusMECHANICAL W/O ACCESSORY BOX</t>
  </si>
  <si>
    <t>INSTAFITPlusMECHANICAL W ACCESSORY BOX</t>
  </si>
  <si>
    <t>INSTAFIT MECHANICAL W ACCESSORY BOX</t>
  </si>
  <si>
    <t>COMPLEMENTRY SQUARE SHOWERARM CEILING MT</t>
  </si>
  <si>
    <t>COMPLEMENTRY SQUARE SHOWERARM WALL MOUNT</t>
  </si>
  <si>
    <t>ESCALE  SS QUIET CLOSE SLIM SEAT UF</t>
  </si>
  <si>
    <t>ESCALE QUIET CLOSE SLIM SEAT UF BLACK</t>
  </si>
  <si>
    <t>TRACE WALL HUNG W/ QC SEAT</t>
  </si>
  <si>
    <t>TRACE WALL HUNG BOWL</t>
  </si>
  <si>
    <t>TRACE  WALL HUNG BOWL W/O SEAT</t>
  </si>
  <si>
    <t>TRACE  QUIET CLOSE  ROUND UF SEAT</t>
  </si>
  <si>
    <t>1.8M KARING LITHOCAST BATH</t>
  </si>
  <si>
    <t>TERRACE VANITY 1000MM KOHLER WHITE</t>
  </si>
  <si>
    <t>ESCUTCHEON W/SCREW</t>
  </si>
  <si>
    <t>FLANGE, SHOWER ARM</t>
  </si>
  <si>
    <t>WALLHUNG SHOWER SEAT</t>
  </si>
  <si>
    <t>JULY DM COLD ONLY KITCHEN FAUCET</t>
  </si>
  <si>
    <t>ALEOPlusDM COLD ONLY KITCHEN FAUCET</t>
  </si>
  <si>
    <t>JULY WM COLD ONLY KITCHEN FAUCET</t>
  </si>
  <si>
    <t>ALEO WM COLD ONLY KITCHEN FAUCET</t>
  </si>
  <si>
    <t>ALEOPlusWM COLD ONLY KITCHEN FAUCET</t>
  </si>
  <si>
    <t>JULY WM KITCHEN MIXER</t>
  </si>
  <si>
    <t>ALEO WM KITCHEN MIXER</t>
  </si>
  <si>
    <t>ALEOPlusWM KITCHEN MIXER</t>
  </si>
  <si>
    <t>BATH DRAIN FOR 1.5M VOLUTE BATH</t>
  </si>
  <si>
    <t>HOURGLASS  1.5M L FREESTANDING WHIRLPOOL</t>
  </si>
  <si>
    <t>VEIL  PEDESTAL LAVATORY</t>
  </si>
  <si>
    <t>VEIL  PEDESTAL</t>
  </si>
  <si>
    <t>VEIL  LAVATORY</t>
  </si>
  <si>
    <t>VEIL  SMALL VESSEL</t>
  </si>
  <si>
    <t>VEIL  TROUGH VESSEL</t>
  </si>
  <si>
    <t>TEND  URINAL, REAR INLET</t>
  </si>
  <si>
    <t>TEND  URINAL, REAR SPUD</t>
  </si>
  <si>
    <t>AUTOSENSE PLUS 235 THERMOSTAT VALVE</t>
  </si>
  <si>
    <t>AUTOSENSE THERMOSTAT REC B and S ROUND TRIM</t>
  </si>
  <si>
    <t>AUTOSENSE THERMOSTAT REC B and S SQUARE TRIM</t>
  </si>
  <si>
    <t>COMPLEMENTARY GRID DRAIN, LONG</t>
  </si>
  <si>
    <t>COMPLEMENTARY GRID DRAIN,LONG</t>
  </si>
  <si>
    <t>GRAB BAR SWING UP, 38 MM.</t>
  </si>
  <si>
    <t>BRAZN  RECTANGLE VESSEL W/O FAUCET DECK</t>
  </si>
  <si>
    <t>1.8M EVOK LITHOCAST BATH</t>
  </si>
  <si>
    <t>FALLING WATER  WM LAVATORY FAUCET</t>
  </si>
  <si>
    <t>BRAZN  QUIET CLOSE ROUND UF SEAT</t>
  </si>
  <si>
    <t>MODERNLIFE EDGE 600 VESSEL</t>
  </si>
  <si>
    <t>ML EDGE VESSEL HG1</t>
  </si>
  <si>
    <t>ML EDGE VESSEL HP1</t>
  </si>
  <si>
    <t>MODERNLIFE EDGE  DECORATIVE VESSEL </t>
  </si>
  <si>
    <t>MICA SQUARE WITH ALEOPlusWM</t>
  </si>
  <si>
    <t>MICA ROUND WITH ALEOPlusWM</t>
  </si>
  <si>
    <t>VEIL VESSEL WITH ALEO WM</t>
  </si>
  <si>
    <t>FOREFRONT SQUARE WITH JULY WM</t>
  </si>
  <si>
    <t>FOREFRONT SQ  W/D WITH ALEO LF</t>
  </si>
  <si>
    <t>FOREFRONT SQ  W/D WITH JULY LF</t>
  </si>
  <si>
    <t>FOREFRONT RECT WITH ALEO LF</t>
  </si>
  <si>
    <t>FOREFRONT RECT WITH ALEOPlusLF</t>
  </si>
  <si>
    <t>CHALICE ROUND W/D WITH JULY LF</t>
  </si>
  <si>
    <t>STOPPER ASSY</t>
  </si>
  <si>
    <t>SHIFT MULTI FUNCTION HAND SHOWER ROUND</t>
  </si>
  <si>
    <t>SHIFT MULTI FUNCTION HAND SHOWE   SQUARE</t>
  </si>
  <si>
    <t>SHIFT MULTI FUNCTION HAND SHOWER SQUARE</t>
  </si>
  <si>
    <t>SHIFT  PLUS SQUARE MF HNDSHWR, 2.5GPM</t>
  </si>
  <si>
    <t>BRAZN  FREESTANDING BATH W/ PUSHPA 2023</t>
  </si>
  <si>
    <t>BRAZN  FREESTANDING BATH W/ ZILING 2023</t>
  </si>
  <si>
    <t>NIGHTLIGHT</t>
  </si>
  <si>
    <t>BRAZN  WALL HUNG BOWL W/O SEAT</t>
  </si>
  <si>
    <t>BRAZN  WALL HUNG TOILET   ROUND</t>
  </si>
  <si>
    <t>PARIGI  1 HOLE LAVATORY PRC</t>
  </si>
  <si>
    <t>MODERN LIFE WH URL (REAR) (0.5L/1L/2.5L)</t>
  </si>
  <si>
    <t>PORTRAIT  23X19 LAVATORY/8CC</t>
  </si>
  <si>
    <t>TOILET STOOL FOR CHILDREN</t>
  </si>
  <si>
    <t>ALEO WM LAV FAUCET TRIM Plus VALVE</t>
  </si>
  <si>
    <t>ALEOPlusWM LAV FAUCET TRIM Plus VALVE</t>
  </si>
  <si>
    <t>CONICAL BELL VESSEL WHITE</t>
  </si>
  <si>
    <t>CONICAL BELL VESSEL BLACK</t>
  </si>
  <si>
    <t>CONICAL BELL VESSEL INDIGO</t>
  </si>
  <si>
    <t>CONICAL BELL VESSEL CASHMERE</t>
  </si>
  <si>
    <t>CAXTON UNDERCOUNTER 492MM</t>
  </si>
  <si>
    <t>CAXTON  54 CM UNDERCOUNTER LAVATORY</t>
  </si>
  <si>
    <t>STRAYT Plus AT360 FREE 10SS RAINHEAD</t>
  </si>
  <si>
    <t>ALEO Plus AT360 FREE 10CONT RAINHEAD</t>
  </si>
  <si>
    <t>ALEO Plus AFAT360 FREE 10CONT RAINHEAD</t>
  </si>
  <si>
    <t>ALEOAT360 FREE 10SS RAINHEAD</t>
  </si>
  <si>
    <t>SQUAREAT360 FREE 8ABS RAINHEAD</t>
  </si>
  <si>
    <t>ROUNDAT360 FREE 8ABS RAINHEAD</t>
  </si>
  <si>
    <t>LADENA  SMALL 528X366 MM UC LAVATORY</t>
  </si>
  <si>
    <t>LADENA 591 X 410MM UNDERCOUNTER LAVATORY</t>
  </si>
  <si>
    <t>LADENA  581X402 MM UC LAVATORY</t>
  </si>
  <si>
    <t>LADENA  58X40 CM UNDERCOUNTER LAVATORY</t>
  </si>
  <si>
    <t>BANCROFT   MULTI FCTN HANDSHOWER 2.5GPM</t>
  </si>
  <si>
    <t>PURIST  MULTIFUNCTION HANDSHOWER 2.5GPM</t>
  </si>
  <si>
    <t>PURIST  MULTIFUNCTION HANDSHOWER 1.75GPM</t>
  </si>
  <si>
    <t>MODERN LIFE WM DUAL FLOW SHOWERARM</t>
  </si>
  <si>
    <t>BEITOU WM SHOWER ARM MULTI FUNCTION</t>
  </si>
  <si>
    <t>MODERN LIFE CM DUAL FLOW SHOWERARM</t>
  </si>
  <si>
    <t>WASHER</t>
  </si>
  <si>
    <t>MEMOIRS  PEDESTAL LAV</t>
  </si>
  <si>
    <t>MEMOIRS  LAV</t>
  </si>
  <si>
    <t>VINTAGE  21X12 UNDERCOUNTER LAV</t>
  </si>
  <si>
    <t>MEMOIRS 579 X 459 MM SR, SGL HOLE</t>
  </si>
  <si>
    <t>COMPLEMENTARY 460MM WM SHOWER ARM</t>
  </si>
  <si>
    <t>COMPLEMENTARY 254MM CM SHOWER ARM</t>
  </si>
  <si>
    <t>COMPLEMENTARY SUPPLY ELBOW</t>
  </si>
  <si>
    <t>HONE SC LAV FAUCET W/O DRAIN</t>
  </si>
  <si>
    <t>HONE SC TALL LAV FAUCET W/O DRAIN</t>
  </si>
  <si>
    <t>HONE PILLAR TAP</t>
  </si>
  <si>
    <t>HONE TALL PILLAR TAP</t>
  </si>
  <si>
    <t>HONE SC WM LAV FAUCET W/O DRAIN</t>
  </si>
  <si>
    <t>HONE SC WM LAV FACUET W/O DRAIN</t>
  </si>
  <si>
    <t>HONE RECESSED BATH  and  SHOWER TRIM</t>
  </si>
  <si>
    <t>HONE AT235 RBS TRIM</t>
  </si>
  <si>
    <t>HONE SHOWER ONLY TRIM</t>
  </si>
  <si>
    <t>HONE BATH SPOUT</t>
  </si>
  <si>
    <t>ONE BATH SPOUT W DIVERTER</t>
  </si>
  <si>
    <t>HONE BATH SPOUT W DIVERTER</t>
  </si>
  <si>
    <t>REACH QUIET CLOSE SLIM SEAT</t>
  </si>
  <si>
    <t>COVER</t>
  </si>
  <si>
    <t>PARALLEL SQUARE SHOWER HEAD W SHOWER ARM</t>
  </si>
  <si>
    <t>PARLIAMENT GRANDE SLIM SEAT</t>
  </si>
  <si>
    <t>PARLIAMENT GRANDE WALL FACED BOWL</t>
  </si>
  <si>
    <t>COMPOSED 40MM RBS TRIM Plus AT235 VALVE</t>
  </si>
  <si>
    <t>ALEOPlusAT 360 TRIM Plus AT360 VALVE</t>
  </si>
  <si>
    <t>ALEOPlus40MM RBS TRIM Plus AT235 VALVE</t>
  </si>
  <si>
    <t>ALEOPlus RECE SHOWER TRIM Plus AT135 VALVE</t>
  </si>
  <si>
    <t>ALEO AT360 TRIM Plus AT360 VALVE</t>
  </si>
  <si>
    <t>ALEO 40MM RBS TRIM Plus AT 235 VALVE</t>
  </si>
  <si>
    <t>ALEO 40MM RECE SHOWER TRIM Plus AT135</t>
  </si>
  <si>
    <t>TOOBI 20</t>
  </si>
  <si>
    <t>POU PRE FILTER</t>
  </si>
  <si>
    <t>PURECLEAN  UNIVERSAL BIDET</t>
  </si>
  <si>
    <t>PUREWASH M100 UNIVERSAL BIDET ATTACHMENT</t>
  </si>
  <si>
    <t>FLANGE FOR SHOWER ARM</t>
  </si>
  <si>
    <t>VITALITY  76 X 101 RECT LIGHT MIRROR</t>
  </si>
  <si>
    <t>VITALITY  76 PERIMETER LIGHT MIRROR</t>
  </si>
  <si>
    <t>VITALITY  101 PERIMETER LIGHT MIRROR</t>
  </si>
  <si>
    <t>VITALITY  76 INSET LIGHT MIRROR</t>
  </si>
  <si>
    <t>VITALITY  101 INSET LIGHT MIRROR</t>
  </si>
  <si>
    <t>DEVONSHIRE  27X20 LAV, CENTER HOLE</t>
  </si>
  <si>
    <t>COMPONENTS  and  ARTIFACTS PARENT CODE.1</t>
  </si>
  <si>
    <t>COMPONENTS  and  ARTIFACTS PARENT CODE.2</t>
  </si>
  <si>
    <t>BEAM  SENSOR FACEPLATE</t>
  </si>
  <si>
    <t>AC ADAPTOR, OUTPUT 6V</t>
  </si>
  <si>
    <t>PURIST  WADING POOL  LAV, 4CC</t>
  </si>
  <si>
    <t>RAIN DUET  SF GEOMETRIC SHOWERHEAD</t>
  </si>
  <si>
    <t>TERRACE MIRROR 1000MM</t>
  </si>
  <si>
    <t>ESCALE  100 X 65 RECT. LIGHT MIRROR</t>
  </si>
  <si>
    <t>FOREFRONT  60 X 65 RECT. LIGHT MIRROR</t>
  </si>
  <si>
    <t>FOREFRONT  90 X 65 RECT. LIGHT MIRROR</t>
  </si>
  <si>
    <t>REVE  100 X 65 RECT. LIGHT MIRROR</t>
  </si>
  <si>
    <t>PURIST  WADING POOL  MARBLE  LAVATORY</t>
  </si>
  <si>
    <t>MEMOIRS SINGLE HANDLE LAV FAUCET</t>
  </si>
  <si>
    <t>MEMOIRS SINGLE HANDLE TALL LAV FAUCET</t>
  </si>
  <si>
    <t>MEMOIRS UC LAVATORY</t>
  </si>
  <si>
    <t>PARALLEL SC LAV FAUCET W/O DRAIN</t>
  </si>
  <si>
    <t>PARALLEL SC LAV FCT</t>
  </si>
  <si>
    <t>PARALLEL SC TALL LAV W/O DRAIN</t>
  </si>
  <si>
    <t>PARALLEL SC TALL</t>
  </si>
  <si>
    <t>PARALLEL SC TALL LAV W DRAIN</t>
  </si>
  <si>
    <t>PARALLEL PILLAR TAP</t>
  </si>
  <si>
    <t>PARALLEL TALL PILLAR TAP</t>
  </si>
  <si>
    <t>PARALLEL 1 HANDEL WM LAV FCT(SHORT SPOUT</t>
  </si>
  <si>
    <t>PARALLEL  WM SC LAV FAUCET</t>
  </si>
  <si>
    <t>PARALLEL WM SC LAV FAUCET</t>
  </si>
  <si>
    <t>PARALLEL WM SC LAV FAUCET</t>
  </si>
  <si>
    <t>PARALLEL SO TRIM (40MM)</t>
  </si>
  <si>
    <t>PARALLEL RBS TRIM (40MM)</t>
  </si>
  <si>
    <t>PARALLEL AT235 RBS TRIM</t>
  </si>
  <si>
    <t>SPECIAL PARALLEL 40MM REC B/S TRIM</t>
  </si>
  <si>
    <t>PARALLEL AT 360 TRIM</t>
  </si>
  <si>
    <t>QUILA  410X410MM UNDERCOUNTER LAV</t>
  </si>
  <si>
    <t>PARLLEL BATH SPOUT W DIVERTER</t>
  </si>
  <si>
    <t>PARALLEL BATH SPOUT W DIVERTER</t>
  </si>
  <si>
    <t>PARALLEL BATH SPOUT W DIVERTER</t>
  </si>
  <si>
    <t>ARALLEL BATH SPOUT W DIVERTER</t>
  </si>
  <si>
    <t>PARALLEL BATH SPOUT W/O DIVERTER</t>
  </si>
  <si>
    <t>PARALLEL ANGLE VALVE</t>
  </si>
  <si>
    <t>FOUNTAINHEAD  MARBLE LAVATORY</t>
  </si>
  <si>
    <t>KALLOS  UNDERCOUNTER GLASS LAV</t>
  </si>
  <si>
    <t>RAIN DUET SF ORGANIC SHOWERHEAD</t>
  </si>
  <si>
    <t>RAIN DUET MF GEOMETRIC SHOWERHEAD</t>
  </si>
  <si>
    <t>ANTILIA  GLASS LAVATORY</t>
  </si>
  <si>
    <t>STAINLESS STEEL CLEANER</t>
  </si>
  <si>
    <t>NEOROC CLEANER</t>
  </si>
  <si>
    <t>BRIOLETTE  GLASS LAV</t>
  </si>
  <si>
    <t>BRIOLETTE  GLASS LAV (TRANSLUCENT DUSK)</t>
  </si>
  <si>
    <t xml:space="preserve"> RIOLETTE  GLASS LAV (TRANS SAPPHIRE)</t>
  </si>
  <si>
    <t>BRIOLETTE  GLASS LAV (TRANS SANDALWOOD)</t>
  </si>
  <si>
    <t>AWAKEN BODYJET W AT 360 VALVE COMBO</t>
  </si>
  <si>
    <t>TOOBI 5020 POE</t>
  </si>
  <si>
    <t>TOOBI 50 CARTRIDGE POE</t>
  </si>
  <si>
    <t>TOOBI 20 CARTRIDGE POE</t>
  </si>
  <si>
    <t>TOOBI AUTO SAND FILTER</t>
  </si>
  <si>
    <t>POU CARTRIDGE</t>
  </si>
  <si>
    <t>URBANITY Plus TH 3WAY COLUMN W/ MF SHOWERHEAD</t>
  </si>
  <si>
    <t>COMPONENTS WIDESPREAD LAV SPOUT, ROW</t>
  </si>
  <si>
    <t>BOTTICELLI  VESSELS 17" LAV</t>
  </si>
  <si>
    <t>VIVE SC LAV FAUCET WO DRAIN</t>
  </si>
  <si>
    <t>VIVE SC TALL LAV FAUCET WO DRAIN</t>
  </si>
  <si>
    <t>VIVE PILLAR TAP</t>
  </si>
  <si>
    <t>VIVE AT 235 RBS TRIM</t>
  </si>
  <si>
    <t>VIVE AT235 RBS TRIM</t>
  </si>
  <si>
    <t>VIVE BATH SPOUT W/O DIVERTER</t>
  </si>
  <si>
    <t>VIVE BATH SPOUT W DIVERTER</t>
  </si>
  <si>
    <t>VIVE SC MONOBLOCK WM LAV FAUCET</t>
  </si>
  <si>
    <t>VIVE SC MONOBLOCK WM LAV FAUCET W VALVE</t>
  </si>
  <si>
    <t>VIVE SC MONOBLOCK WM LAV FAUCET w VALVE</t>
  </si>
  <si>
    <t>SUMMON SENSOR FP  DC , MANUAL OVERRIDE</t>
  </si>
  <si>
    <t>SKIM PNE IWT FACEPLATE (BLACK W/ AFP BN)</t>
  </si>
  <si>
    <t>SKIM PNE IWT FACEPLATE (BLACK W/ AFP BV)</t>
  </si>
  <si>
    <t>SKIM PNE IWT FACEPLATE (WHITE W/ AFP BN)</t>
  </si>
  <si>
    <t>SKIM PNE IWT FACEPLATE (WHITE W/ AFP BV)</t>
  </si>
  <si>
    <t>PATIO URINAL SENSOR</t>
  </si>
  <si>
    <t>OBLO SENSOR FAUCET W/O DRAIN</t>
  </si>
  <si>
    <t>PARALLEL WM SC LAV FAUCET COMBO</t>
  </si>
  <si>
    <t>PARALLEL  WM SC LAV FAUCET COMBO</t>
  </si>
  <si>
    <t xml:space="preserve"> EIL  21" VESSEL</t>
  </si>
  <si>
    <t>AUTOSENSE TH REC B and S UNIVERSAL TRIM</t>
  </si>
  <si>
    <t>MODERN LIFE DUAL FLOW 330X230MM RAINHEAD</t>
  </si>
  <si>
    <t>QUILA  COUNTERTOP TO USE W/QUILA UC</t>
  </si>
  <si>
    <t>SOFTPRESS  DUAL FLUSH FACEPLATE</t>
  </si>
  <si>
    <t>SPAN SQ WM 545X489 LAVATORY W HALF PED</t>
  </si>
  <si>
    <t>SPAN RD 482X466 WM LAVATORY W HALF PED</t>
  </si>
  <si>
    <t>SPAN SQ 484X459 WM LAVATORY W HALF PED</t>
  </si>
  <si>
    <t>MERSING  MIRROR</t>
  </si>
  <si>
    <t>ARISE  LIGHTED SHOWERHEAD</t>
  </si>
  <si>
    <t>REACH 1PC CLASS FIVE W/ QC SEAT 220MM</t>
  </si>
  <si>
    <t>FOREFRONT REC W/O DECK WITH ALEOPlusWM</t>
  </si>
  <si>
    <t>FOREFRONT RECT W/O DECK WITH ALEOPlusTALL</t>
  </si>
  <si>
    <t>RAINDUET 3.0 HANDSHOWER</t>
  </si>
  <si>
    <t>CERAMIC DRAIN, W/O OVERFLOW</t>
  </si>
  <si>
    <t>PATIO VESSEL LAVATORY</t>
  </si>
  <si>
    <t>ELATE SC LAV FAUCET WO DRAIN</t>
  </si>
  <si>
    <t>ELATE SC WM LAV FAUCET TRIM</t>
  </si>
  <si>
    <t>ELATE AT235 RBS TRIM</t>
  </si>
  <si>
    <t>WIRELESS MUSIC KIT</t>
  </si>
  <si>
    <t>CLERMONT  48" EXPANDABLE FURNITURE</t>
  </si>
  <si>
    <t>LEDGE/WATER DEVIDER 1250 MM</t>
  </si>
  <si>
    <t>LEDGE/WATER DEVIDER 1550 MM</t>
  </si>
  <si>
    <t>LEDGE/WATER DEVIDER 1850 MM</t>
  </si>
  <si>
    <t>LEDGE/WATER DEVIDER 2150 MM</t>
  </si>
  <si>
    <t>COMPLEMENTARY SQUARE 610 MM SINGLE TOWEL</t>
  </si>
  <si>
    <t>COMPLEMENTARY SQUARE TOWEL SHELF</t>
  </si>
  <si>
    <t>COMPLEMENTARY SQUARE TOWEL RING</t>
  </si>
  <si>
    <t>COMPLEMENTARY SQUARE SOAP DISH</t>
  </si>
  <si>
    <t>COMPLEMENTARY SQUARE SOAP DISH GLASS</t>
  </si>
  <si>
    <t>COMPLEMENTARY SQ TOILET PPR HOLD W/O COV</t>
  </si>
  <si>
    <t>COMPLEMENTARY SQ TOILET PAPER HOLD W/COV</t>
  </si>
  <si>
    <t>COMPLEMENTARY SQUARE SINGLE ROBE HOOK</t>
  </si>
  <si>
    <t>COMPLEMENTARY SQUARE DOUBLE ROBE HOOK</t>
  </si>
  <si>
    <t>COMPLEMENTARY SQUARE TUMBLER HOLDER</t>
  </si>
  <si>
    <t>ALEO S EXPOSED BATH  and  SHOWER FAUCET</t>
  </si>
  <si>
    <t>WM COLD ONLY VALVE</t>
  </si>
  <si>
    <t>SC WM VALVE</t>
  </si>
  <si>
    <t>EVOK 2.0 SEAMLESS REC 1.7M FS BATH</t>
  </si>
  <si>
    <t>EVOK 2.0 SEAMLESS OVAL 1.7M FS BATH</t>
  </si>
  <si>
    <t>SPAN SQUARE VESSEL 536X457</t>
  </si>
  <si>
    <t>SPAN SQ WM LAVATORY 545X489</t>
  </si>
  <si>
    <t>SPAN ROUND VESSEL 472X360</t>
  </si>
  <si>
    <t>ACCENT TOILET TISSUE HOLDER</t>
  </si>
  <si>
    <t>ACCENT TOWEL RING</t>
  </si>
  <si>
    <t>ACCENT 610MM SINGLE TOWEL BAR</t>
  </si>
  <si>
    <t>ACCENT SINGLE ROBE HOOK</t>
  </si>
  <si>
    <t>CARAFE UF PRO</t>
  </si>
  <si>
    <t>MASTERSHOWER  3 WAY BODYJET COMBO</t>
  </si>
  <si>
    <t>ACCENT TUMBLER HOLDER</t>
  </si>
  <si>
    <t>ACCENT SOAP DISH</t>
  </si>
  <si>
    <t>ACCENT TOILET BRUSH HOLDER</t>
  </si>
  <si>
    <t>WATERFOIL LAVATORY WALL HUNG BOWL</t>
  </si>
  <si>
    <t>MODERNLIFE EDGE SC LAV FAUCET WO DRAIN</t>
  </si>
  <si>
    <t>MODERNLIFE EDGE TALL LAV FAUCET WO DRAIN</t>
  </si>
  <si>
    <t>ML EDGE DECORATIVE TALL LAV FAUCET</t>
  </si>
  <si>
    <t>MODERNLIFE EDGE WM LAV FAUCET TRIM</t>
  </si>
  <si>
    <t>MODERNLIFE EDGE AUTOSENSE TRIM</t>
  </si>
  <si>
    <t>MODERNLIFE EDGE BATH SPOUT W DIVERTER</t>
  </si>
  <si>
    <t>MODERNLIFE EDGE BATH SPOUT W/O DIVERTER</t>
  </si>
  <si>
    <t>CAIRN  1 BASIN 36" SHORT APRN</t>
  </si>
  <si>
    <t>REPLAY WALL HUNG WITH PURECLEAN SEAT</t>
  </si>
  <si>
    <t>SPAN SQUARE WH WITH PURECLEAN SEAT</t>
  </si>
  <si>
    <t>PATIO WALLHUNG BOWL WITH PURETIDE SEAT</t>
  </si>
  <si>
    <t>REJUVENATE AT360 CP COMBO</t>
  </si>
  <si>
    <t>REJUVENATE AT360 AF COMBO</t>
  </si>
  <si>
    <t>COMPOSED WM SENSOR FCT COLD(W/O P)BN</t>
  </si>
  <si>
    <t>PATIO URINAL ANTI MICROBIAL WITH SENSOR</t>
  </si>
  <si>
    <t>ESSENTIAL 71 ROUND MIRROR</t>
  </si>
  <si>
    <t>ESSENTIAL 51X101 CAPSULE MIRROR</t>
  </si>
  <si>
    <t>ESSENTIAL 51 X 101 CAPSULE MIRROR</t>
  </si>
  <si>
    <t>ESSENTIAL 56 X 86 RECTANGULAR MIRROR</t>
  </si>
  <si>
    <t>ALEOPlusWM COMBO</t>
  </si>
  <si>
    <t>RIBANA NEO W/O DECK</t>
  </si>
  <si>
    <t>BRINK VESSEL W/O DECK 500MM</t>
  </si>
  <si>
    <t>BRINK VESSEL W/O DECK 600MM</t>
  </si>
  <si>
    <t>STATEMENT 3F OBLONG HANDSHOWER</t>
  </si>
  <si>
    <t>STATEMENTTM 1F ICONIC HS 1.75GPM/6.6LPM</t>
  </si>
  <si>
    <t>STATEMENT  1F ICONIC HS 1.75GPM/6.6LPM</t>
  </si>
  <si>
    <t>STATEMENT MF SHOWERHEAD</t>
  </si>
  <si>
    <t>STATEMENT  1F 14" ROUND RAINHEAD</t>
  </si>
  <si>
    <t>STATEMENT  1F 14" OBLONG RAINHEAD</t>
  </si>
  <si>
    <t>STATEMENT  2F 14" DPMSG RAINHEAD</t>
  </si>
  <si>
    <t>STATEMENT  2F 353MM (14") RIBBON RH</t>
  </si>
  <si>
    <t>STATEMENT  2F 14" RBN RAINHEAD</t>
  </si>
  <si>
    <t>STATEMENT  2F 453MM (18") DEEPMSG RH</t>
  </si>
  <si>
    <t>STATEMENT ROUND DEEPMSG BODY SPRAY</t>
  </si>
  <si>
    <t>STATEMENT OBLONG VICHY BODY SPRAY</t>
  </si>
  <si>
    <t>STATEMENT ICONIC DUAL SHOWER ARM W/FIT</t>
  </si>
  <si>
    <t>STATEMENT 1F WM RH ARM   19" (482MM)</t>
  </si>
  <si>
    <t>STATEMENT WALL SUPPLY W/BRACKET</t>
  </si>
  <si>
    <t>STATEMENT 80CM SLIDEBAR W/SUPPLY</t>
  </si>
  <si>
    <t>STATEMENT  WALL MOUNT SHOWERHEAD ARM</t>
  </si>
  <si>
    <t>STATEMENT WALL MOUNT SHOWERHEAD ARM</t>
  </si>
  <si>
    <t>STATEMENT 1F CM RH ARM   6" (152MM)</t>
  </si>
  <si>
    <t>STATEMENT 2F WM RH ARM   19" (482MM)</t>
  </si>
  <si>
    <t>STATEMENT 2F CM RH ARM   10" (254MM)</t>
  </si>
  <si>
    <t>STATEMENT 2F CM RH Arm   10" (254mm)</t>
  </si>
  <si>
    <t>ANTHEM TH BATH/SHOWER COLUMN W/FIT 4OT</t>
  </si>
  <si>
    <t>ANTHEM RECESSED MECH TH VALVE 3OT</t>
  </si>
  <si>
    <t>ANTHEM RECESSED MECH TH VALVE 4OT</t>
  </si>
  <si>
    <t>ANTHEM RECESSED MECH TH VALVE 5OT</t>
  </si>
  <si>
    <t>ANTHEM RECESSED MECH TH VALVE 6OT</t>
  </si>
  <si>
    <t>ANTHEM RECESSED MECH TH CONTROL 3OT</t>
  </si>
  <si>
    <t>ANTHEM RECESSED MECH TH CONTROL 4OT</t>
  </si>
  <si>
    <t>ANTHEM RECESSED MECH TH CONTROL 5OT</t>
  </si>
  <si>
    <t>ANTHEM RECESSED MECH TH CONTROL 6OT</t>
  </si>
  <si>
    <t>INSTAFITPlus NXT GEN   MECH IN WALL TANK</t>
  </si>
  <si>
    <t>SPAN SQUARE REAR INLET</t>
  </si>
  <si>
    <t>SPAN ROUND REAR INLET</t>
  </si>
  <si>
    <t>VOX  RECT VESSEL W/FAUCET DECK</t>
  </si>
  <si>
    <t>12 PURECLEAN COMBO OVAL 15 Percentage</t>
  </si>
  <si>
    <t>12 PURECLEAN COMBO SQUARE 15 Percentage</t>
  </si>
  <si>
    <t>7 PURECLEAN COMBO OVAL 10 Percentage</t>
  </si>
  <si>
    <t>7 PURECLEAN COMBO SQUARE 10 Percentage</t>
  </si>
  <si>
    <t>FOREFRONT VESSEL W/FAUCET DECK</t>
  </si>
  <si>
    <t>FOREFRONT SQUARE VESSEL</t>
  </si>
  <si>
    <t>FOREFRONT SQ VESSEL W/O DECK ALMOND</t>
  </si>
  <si>
    <t>FOREFRONT SQ VESSEL W/O DECK BLACK</t>
  </si>
  <si>
    <t>FOREFRONT SQ VESSEL W/O DECK CASHMERE</t>
  </si>
  <si>
    <t>ACCLIV SC WM LAV TRIM ASSY</t>
  </si>
  <si>
    <t>2 Plus1 FRAGRANCE COMBO</t>
  </si>
  <si>
    <t>AC POWER UNIT, OUTPUT 6V</t>
  </si>
  <si>
    <t>RAIN MAX 254MM (10") ROUND RH</t>
  </si>
  <si>
    <t>RAIN MAX 254MM (10") SQUARE RH</t>
  </si>
  <si>
    <t>RAIN MAX 305MM (12") SQUARE RH</t>
  </si>
  <si>
    <t>BRAZN  ROUND WH TOILET W/SEAT</t>
  </si>
  <si>
    <t>BRAZN WH TOILET WITH SEAT</t>
  </si>
  <si>
    <t>KOHLER VIVE WH TOILET WITH SEAT</t>
  </si>
  <si>
    <t>VIVE WH TOILET WITH SEAT</t>
  </si>
  <si>
    <t>ELATE  TOILET ROLL HOLDER</t>
  </si>
  <si>
    <t>FORE TRI SC LAV FAUCET WO DRAIN</t>
  </si>
  <si>
    <t>FORE LINE SC LAV FAUCET WO DRAIN</t>
  </si>
  <si>
    <t>FORE ARC SC LAV FAUCET WO DRAIN</t>
  </si>
  <si>
    <t>FORE LINE SC TALL LAV FAUCET WO DRAIN</t>
  </si>
  <si>
    <t>FORE TRI SC WM LAV FAUCET TRIM WO DRAIN</t>
  </si>
  <si>
    <t>FORE LINE SC WM LAV FAUCET TRIM WO DRAIN</t>
  </si>
  <si>
    <t>FORE ARC SC WM LAV FAUCET TRIM WO DRAIN</t>
  </si>
  <si>
    <t>FORE TRI PILLAR TAP</t>
  </si>
  <si>
    <t>FORE LINE PILLAR TAP</t>
  </si>
  <si>
    <t>FORE ARC PILLAR TAP</t>
  </si>
  <si>
    <t>FORE TRI WM COLD ONLY TRIM ASSY</t>
  </si>
  <si>
    <t>FORE LINE WM COLD ONLY TRIM ASSY</t>
  </si>
  <si>
    <t>FORE ARC WM COLD ONLY TRIM ASSY</t>
  </si>
  <si>
    <t>FORE BATH SPOUT W/O DIVERTER</t>
  </si>
  <si>
    <t>FORE ARC BATH SPOUT W/O DIVERTER</t>
  </si>
  <si>
    <t>FORE BATH SPOUT W DIVERTER</t>
  </si>
  <si>
    <t>FORE ARC BATH SPOUT W DIVERTER</t>
  </si>
  <si>
    <t>FORE TRI AT230 RBS TRIM ASSY</t>
  </si>
  <si>
    <t>FORE ARC AT230 RBS TRIM ASSY</t>
  </si>
  <si>
    <t>FORE TRI AT235 RBS TRIM ASSY</t>
  </si>
  <si>
    <t>FORE LINE AT235 RBS TRIM ASSY</t>
  </si>
  <si>
    <t>FOREFRONT VANITY 900MM</t>
  </si>
  <si>
    <t>FORE ARC AT235 RBS TRIM ASSY</t>
  </si>
  <si>
    <t>ALEO LAV FAUCET COMBO 6 Plus 1</t>
  </si>
  <si>
    <t>ALEO LAV FAUCET COMBO 10 Plus 2</t>
  </si>
  <si>
    <t>ALEO TALL LAV FAUCET COMBO 6 Plus 1</t>
  </si>
  <si>
    <t>ALEO TALL LAV FAUCET COMBO 10 Plus 2</t>
  </si>
  <si>
    <t>ALEO PILLAT TAP COMBO 6 Plus 1</t>
  </si>
  <si>
    <t>ALEO PILLAT TAP COMBO 10 Plus 2</t>
  </si>
  <si>
    <t>ALEO TALL PILLAR TAP COMBO 6 Plus 1</t>
  </si>
  <si>
    <t>ALEO TALL PILLAR TAP COMBO 10 Plus 2</t>
  </si>
  <si>
    <t>ALEO WALL MOUNT LAV COMBO 6 Plus 1</t>
  </si>
  <si>
    <t>ALEO WALL MOUNT LAV COMBO 10 Plus 2</t>
  </si>
  <si>
    <t>ALEOPlusLAV FAUCET COMBO 6 Plus 1</t>
  </si>
  <si>
    <t>ALEOPlusLAV FAUCET COMBO 10 Plus 2</t>
  </si>
  <si>
    <t>ALEOPlusTALL LAV FAUCET COMBO 6 Plus 1</t>
  </si>
  <si>
    <t>ALEOPlusTALL LAV FAUCET COMBO 10 Plus 2</t>
  </si>
  <si>
    <t>ALEOPlusPILLAR TAP COMBO 6 Plus 1</t>
  </si>
  <si>
    <t>ALEOPlusPILLAR TAP COMBO 10 Plus 2</t>
  </si>
  <si>
    <t>ALEOPlusTALL PILLAR TAP COMBO 6 Plus 1</t>
  </si>
  <si>
    <t>ALEOPlusTALL PILLAR TAP COMBO 10 Plus 2</t>
  </si>
  <si>
    <t>ALEOPlusWALL MOUNT LAV COMBO 6 Plus 1</t>
  </si>
  <si>
    <t>ALEOPlusWALL MOUNT LAV COMBO 10 Plus 2</t>
  </si>
  <si>
    <t>STRAYT SC LAV COMBO 6 Plus 1</t>
  </si>
  <si>
    <t>STRAYT SC LAV COMBO 10 Plus 2</t>
  </si>
  <si>
    <t>STRAYT TAL PILLAR TAP COMBO 6 Plus 1</t>
  </si>
  <si>
    <t>STRAYT TAL PILLAR TAP COMBO 10 Plus 2</t>
  </si>
  <si>
    <t>STRAYT SC WM COMBO 6 Plus 1</t>
  </si>
  <si>
    <t>STRAYT SC WM COMBO 10 Plus 2</t>
  </si>
  <si>
    <t>MODERN LIFE SF 330X230MM RAINHEAD</t>
  </si>
  <si>
    <t>INIA  WADING POOL GLASS LAV</t>
  </si>
  <si>
    <t>INIA  WADING POOL GLASS (TRANS SAPPHIRE)</t>
  </si>
  <si>
    <t>ANTHEMPlusSYSTEM CONTROLLER MODULE</t>
  </si>
  <si>
    <t>MODERN LIFE EDGE WH WITH UF SEAT</t>
  </si>
  <si>
    <t>MODERN LIFE EDGE WH WITH UF SEAT HG1</t>
  </si>
  <si>
    <t>MODERN LIFE EDGE WH WITH UF SEAT HP1</t>
  </si>
  <si>
    <t>MODERNLIFE EDGE  DECORATIVE WH W SEAT</t>
  </si>
  <si>
    <t>MLE WH BOWL WITH PUREWASH E880 SEAT</t>
  </si>
  <si>
    <t>FOREFRONT RECT VESSEL 6 Plus 1</t>
  </si>
  <si>
    <t>FOREFRONT RECT VESSEL 10 Plus 2</t>
  </si>
  <si>
    <t>MODERN LIFE EDGE WH TOILET WITH UF SEAT</t>
  </si>
  <si>
    <t>MODERNLIFE EDGE   WH BOWL W/O SEAT</t>
  </si>
  <si>
    <t>MODERN LIFE EDGE WH BOWL HG1</t>
  </si>
  <si>
    <t>MODERN LIFE EDGE WH BOWL HP1</t>
  </si>
  <si>
    <t>MODERN LIFE EDGE WALL HUNG BOWL</t>
  </si>
  <si>
    <t>MODERNLIFE EDGE   DECORATIVE WH BOWL</t>
  </si>
  <si>
    <t>MODERNLIFE EDGE   DECORATIVE WH BOWL</t>
  </si>
  <si>
    <t>MODERNLIFE EDGE  QUIET CLOSE UF SEAT</t>
  </si>
  <si>
    <t>CAIRN  24" UNDERMOUNT SGL BASIN W/RACK</t>
  </si>
  <si>
    <t>SINGLE CONTROL WM LAV VALVE</t>
  </si>
  <si>
    <t>REJUVENATE WITH AQUA TURBO 360</t>
  </si>
  <si>
    <t>ACTIVE WITH AUTOSENSE   FRENCH GOLD</t>
  </si>
  <si>
    <t>ACTIVE WITH AUTOSENSE   CHROME</t>
  </si>
  <si>
    <t>PROJECT BOARD</t>
  </si>
  <si>
    <t>ANTIQUE  LAV FCT/OVAL L/TRIM</t>
  </si>
  <si>
    <t>ANTHEM DIGITAL TH VALVE 4OT</t>
  </si>
  <si>
    <t>ANTHEM DIGITAL TH VALVE 6OT</t>
  </si>
  <si>
    <t>ANTHEM  DIGITAL CONTROL 2 6 OT</t>
  </si>
  <si>
    <t>ANTHEMPlus DIGITAL CONTROL</t>
  </si>
  <si>
    <t>Modern Life Revolution 360 1PC 305mm</t>
  </si>
  <si>
    <t>IRON WORKS  LAVATORY</t>
  </si>
  <si>
    <t>VEIL FM IT COMBO (2 Plus 1)</t>
  </si>
  <si>
    <t>VEIL WH IT COMBO (2 Plus 1)</t>
  </si>
  <si>
    <t>UNIVERSAL RITE TEMP  THERM VLV KIT,STOP</t>
  </si>
  <si>
    <t>PUREWASH E910 BIDET SEAT</t>
  </si>
  <si>
    <t>Purewash E910 BIDET SEAT</t>
  </si>
  <si>
    <t>SUMMIT IWT FACEPLATE MECHANICAL CP</t>
  </si>
  <si>
    <t>RIVIERA IWT FACEPLATE MECHANICAL CP</t>
  </si>
  <si>
    <t>LEAP INTELLIGENT TOILET S305</t>
  </si>
  <si>
    <t>SWITCH MULTIMODE HANDSHOWER</t>
  </si>
  <si>
    <t>STATEMENT 3F ROUND HS w/ WATERMIND  TECH</t>
  </si>
  <si>
    <t>STATEMENT 3F OBLONG HS w/WATERMIND  TECH</t>
  </si>
  <si>
    <t>STATEMENT 3F OBLONG HS W/WATERMIND  TECH</t>
  </si>
  <si>
    <t>FOREFRONT VESSEL, RGD</t>
  </si>
  <si>
    <t>FOREFRONT UC, RGD</t>
  </si>
  <si>
    <t>CANVAS  CAST IRON LAVATORY</t>
  </si>
  <si>
    <t>SPAN WALL HUNG WITH PURCLEAN SEAT</t>
  </si>
  <si>
    <t>VIVE  WALL HUNG BOWL W/O SEAT</t>
  </si>
  <si>
    <t>VIVE WALL HUNG HC BOWL</t>
  </si>
  <si>
    <t>VIVE  QUIET CLOSE  ROUND UF SEAT</t>
  </si>
  <si>
    <t>KOHLER VIVE VANITY BASIN 720*500MM</t>
  </si>
  <si>
    <t>KOHLER VIVE VESSEL W/O DECK 545*400MM</t>
  </si>
  <si>
    <t>VIVE VESSEL W/O DECK</t>
  </si>
  <si>
    <t>KOHLER VIVE GEO VESSEL W/O DECK550*400MM</t>
  </si>
  <si>
    <t>VIVE GEO VESSEL CASHMERE</t>
  </si>
  <si>
    <t>VIVE GEO VESSEL W/O DECK</t>
  </si>
  <si>
    <t>VEIL  WH TOILET W C3 230 CLEANSING SEAT</t>
  </si>
  <si>
    <t>VERTICYL  RECTANGLE UNDERCOUNTER LAV</t>
  </si>
  <si>
    <t>VERTICYL  ROUND UNDERCOUNTER LAVATORY</t>
  </si>
  <si>
    <t>SPACITY WH TOILET W/O SEAT</t>
  </si>
  <si>
    <t>SPACITY WH TOILET W/SEAT</t>
  </si>
  <si>
    <t>SPACITY QC SEAT</t>
  </si>
  <si>
    <t>ROLL UP DRYING RACK</t>
  </si>
  <si>
    <t>ALEO TOUCHLESS GROOMING FAUCET</t>
  </si>
  <si>
    <t>PRESQUILE QC UF SLIM IN BLACK</t>
  </si>
  <si>
    <t>ESCALE VESSEL 600 MM</t>
  </si>
  <si>
    <t>CHALICE ROUND VESSEL 1TAP HOLE</t>
  </si>
  <si>
    <t>STRAINER BODY LEVER LIFT</t>
  </si>
  <si>
    <t>AT360 Plus STRAYT Plus 10 SS RAINHEAD,FREE</t>
  </si>
  <si>
    <t>AT360 Plus 10 SQ RHPlusALEOPlus and  RAINDUET HS,FREE</t>
  </si>
  <si>
    <t>11PCS WH COMBO1</t>
  </si>
  <si>
    <t>11PCS WH COMBO2</t>
  </si>
  <si>
    <t>23PCS WH COMBO1</t>
  </si>
  <si>
    <t>23PCS WH COMBO2</t>
  </si>
  <si>
    <t>11PCS WH COMBO4</t>
  </si>
  <si>
    <t>23PCS WH COMBO4</t>
  </si>
  <si>
    <t>FOREFRONT  LITE 72X65 RECT. LIGHT MIRROR</t>
  </si>
  <si>
    <t>FOREFRONT  LITE 90X 65 RECT. MIRROR</t>
  </si>
  <si>
    <t>MICA SQUARE VESSEL 6 Plus 1</t>
  </si>
  <si>
    <t>MICA SQUARE VESSEL 10 Plus 2</t>
  </si>
  <si>
    <t>MICA ROUND VESSEL 6 Plus 1</t>
  </si>
  <si>
    <t>MICA ROUND VESSEL 10 Plus 2</t>
  </si>
  <si>
    <t>SPAN ROUND WALL HUNG BOWL</t>
  </si>
  <si>
    <t>SPAN ROUND QUIET CLOSE SEAT</t>
  </si>
  <si>
    <t>SPAN ROUND WH TOILET W/SEAT</t>
  </si>
  <si>
    <t>SPAN SQUARE WALL HUNG BOWL</t>
  </si>
  <si>
    <t>SPAN SQUARE QUIET CLOSE SEAT</t>
  </si>
  <si>
    <t>SPAN SQUARE WH TOILET W/SEAT</t>
  </si>
  <si>
    <t>MODERNLIFE EDGE WM LAV FAUCET TRIM Plus VALVE</t>
  </si>
  <si>
    <t>ML EDGE DECORATIVE WM LAV FAUCET</t>
  </si>
  <si>
    <t>FORE TRI WM COLD ONLY KITCHEN FAUCET</t>
  </si>
  <si>
    <t>FORE LINE WM COLD ONLY KITCHEN FAUCET</t>
  </si>
  <si>
    <t>FORE ARC WM COLD ONLY KITCHEN FAUCET</t>
  </si>
  <si>
    <t>COMPONENTS WM LAV FAUCET TRIM PlusVALVE</t>
  </si>
  <si>
    <t>FOREFRONT UC LAVATORY</t>
  </si>
  <si>
    <t>KARESS VESSEL 6 Plus 1</t>
  </si>
  <si>
    <t>KARESS VESSEL 10 Plus 2</t>
  </si>
  <si>
    <t>DRAIN CRANK</t>
  </si>
  <si>
    <t>AQUIFER PLUS  FILTRATION SYSTEM</t>
  </si>
  <si>
    <t>STOPPER</t>
  </si>
  <si>
    <t>INNATE INTELLIGENT TOILET (SE) S305</t>
  </si>
  <si>
    <t>MASTERSHOWER , 3/4" VOLUME CONTROL</t>
  </si>
  <si>
    <t>AVID DUO SENSOR FAUCET MIXER,AC,W/ P,0.5</t>
  </si>
  <si>
    <t>PUREWASH  M120 BIDET ATTACHMENT</t>
  </si>
  <si>
    <t>ML EDGE  DF HEX 425X330MM(17"X13") RP</t>
  </si>
  <si>
    <t>ML EDGE  DF RECT 425X330MM(17"X13") RP</t>
  </si>
  <si>
    <t>SPOUT ASSY (SPARE)</t>
  </si>
  <si>
    <t>COLD LEVER KOHLER</t>
  </si>
  <si>
    <t>HOT LEVER KOHLER</t>
  </si>
  <si>
    <t>1POUT</t>
  </si>
  <si>
    <t>3H BS SPOUT ASSY</t>
  </si>
  <si>
    <t>SET SCREW, M5 0.8MM X 6MM</t>
  </si>
  <si>
    <t>AERATOR</t>
  </si>
  <si>
    <t>HANDLE INSERT</t>
  </si>
  <si>
    <t>BUSH</t>
  </si>
  <si>
    <t>BODY</t>
  </si>
  <si>
    <t>DIVERTER VALVE NUT</t>
  </si>
  <si>
    <t>SPOUT</t>
  </si>
  <si>
    <t>FACEPLATE</t>
  </si>
  <si>
    <t>LIFT ROD ASSY</t>
  </si>
  <si>
    <t>Robinet flotteur AD COMPACT 99B   28 185</t>
  </si>
  <si>
    <t>HANDLE KIT</t>
  </si>
  <si>
    <t>FRICTION RING KIT</t>
  </si>
  <si>
    <t>SOUNDTILE  SPEAKERS   PAIR</t>
  </si>
  <si>
    <t>KOHLER AMPLIFIER</t>
  </si>
  <si>
    <t>TRIP LEVER  and  NUT</t>
  </si>
  <si>
    <t>DUTCHMASTER BLUSH FLORAL  ROUND LAV</t>
  </si>
  <si>
    <t>DUTCHMASTER MIDNIGHT FLORAL  ROUND LAV</t>
  </si>
  <si>
    <t>DUTCHMASTER BLUSH FLORAL  RECTANGLE LAV</t>
  </si>
  <si>
    <t>DUTCHMASTER MIDNIGHT FLORAL  RECT LAV</t>
  </si>
  <si>
    <t>TRACE ITB</t>
  </si>
  <si>
    <t>REACH ECOWHB Plus REACH QC SLIM SEAT</t>
  </si>
  <si>
    <t>REACH ECO WHB PlusPURECLEAN OVAL SEAT</t>
  </si>
  <si>
    <t>PROLOGUE  75 NATURAL OAK VANITY</t>
  </si>
  <si>
    <t>PROLOGUE  75 LIGHT TAUPE VANITY</t>
  </si>
  <si>
    <t>LUXE 75 NATURAL OAK VANITY</t>
  </si>
  <si>
    <t>LUXE 75 TITANIUM GREY VANITY</t>
  </si>
  <si>
    <t>BRINK VESSEL W/DECK 500MM</t>
  </si>
  <si>
    <t>BRINK VESSEL W/DECK 600MM</t>
  </si>
  <si>
    <t>TRACE WSHB 55X40 1TAP H W/OV WHITE</t>
  </si>
  <si>
    <t>TRACE WSHB 55X40 1TAP H W/O OVERFLOW WH</t>
  </si>
  <si>
    <t>ESSENTIAL 60 X 91 ARCH MIRROR</t>
  </si>
  <si>
    <t>ESSENTIAL 50 X 81 ARCH MIRROR</t>
  </si>
  <si>
    <t>STEAM GEN ASSEMBLY FOR SVEDĀ</t>
  </si>
  <si>
    <t>BOTTLE TRAP ASSEMBLY FOR SVEDĀ</t>
  </si>
  <si>
    <t>SVEDA  VESSEL W/ STEAM GEN</t>
  </si>
  <si>
    <t>NEOROC LADENA SGL SR/UC/TI SINK,UM1,450</t>
  </si>
  <si>
    <t>NEOROC LADENA OFFSET SINK,UM1,780</t>
  </si>
  <si>
    <t>ARCHER 51 X 79 RECT. MIRROR CABINET</t>
  </si>
  <si>
    <t>VEIL  WH TOILET W C3 150 CLEANSING SEAT</t>
  </si>
  <si>
    <t>FINIAL  LAV FAUCET/LEVER</t>
  </si>
  <si>
    <t>NYSA LAV IN WHITE</t>
  </si>
  <si>
    <t>SVEDA  VESSEL</t>
  </si>
  <si>
    <t>ESSENTIAL 55 ROUND MIRROR</t>
  </si>
  <si>
    <t>VIVE  70 LIGHT MIRROR</t>
  </si>
  <si>
    <t>SPAN ROUND WM LAVATORY (SMALL) 482X466</t>
  </si>
  <si>
    <t>SPAN SQ VESSEL W/O DECK 485X344</t>
  </si>
  <si>
    <t>SPAN SQ WM LAVATORY (SMALL) 484X459</t>
  </si>
  <si>
    <t>SPAN WALL MOUNT LAV W/O OVERFLOW  and  1TH</t>
  </si>
  <si>
    <t>SPAN CORNER WALL MOUNT 569X403</t>
  </si>
  <si>
    <t>SOFTPRESS  DUAL FLUSH WC FLUSH VALVE</t>
  </si>
  <si>
    <t>VEIL WALL HUNG RIMLESS BOWL</t>
  </si>
  <si>
    <t>VEIL  WALL HUNG RIMLESS BOWL INDIGO</t>
  </si>
  <si>
    <t>REVE TALL UNIT 1500MM P406 C</t>
  </si>
  <si>
    <t>VITALITY  60 PERIMETER LIGHT MIRROR</t>
  </si>
  <si>
    <t>VITALITY 40 COMBO OFFER</t>
  </si>
  <si>
    <t>UNDERTONE  33" TROUGH SINK</t>
  </si>
  <si>
    <t>NEOROC LADENA SGL SR/UC/TI SINK,UM1,600</t>
  </si>
  <si>
    <t>NEOROC TASK OFFSET SR/UC/TI SINK,UM1,860</t>
  </si>
  <si>
    <t>NEOROC TASK SGL SR/UC/TI SINK, UM1,750</t>
  </si>
  <si>
    <t>PARALLEL RBS TRIMPlusAT 235</t>
  </si>
  <si>
    <t>PARALLEL RBS TRIMPlusAT 235 IN ROSE GOLD</t>
  </si>
  <si>
    <t>PARALLEL AT 360 TRIM Plus VALVE IN ROSE GOLD</t>
  </si>
  <si>
    <t>PUREWASH  M350 MANUAL BIDET SEAT ROUND</t>
  </si>
  <si>
    <t>INVIGORATION  SERIES LINEAR STEAMHEAD</t>
  </si>
  <si>
    <t>INVIGORATION  SERIES SQUARE STEAMHEAD</t>
  </si>
  <si>
    <t>DIGITAL STEAM ADAPTER KIT, SINGLE</t>
  </si>
  <si>
    <t>INVIGORATION  CONTROL KIT, SINGLE</t>
  </si>
  <si>
    <t>INVIGORATION  STEAM GENERATOR, 5 KW</t>
  </si>
  <si>
    <t>INVIGORATION  STEAM GENERATOR, 7 KW</t>
  </si>
  <si>
    <t>INVIGORATION  STEAM GENERATOR, 9 KW</t>
  </si>
  <si>
    <t>INVIGORATION  STEAM GENERATOR, 11 KW</t>
  </si>
  <si>
    <t>INVIGORATION  STEAM GENERATOR, 13 KW</t>
  </si>
  <si>
    <t>INVIGORATION  STEAM GENERATOR, 15 KW</t>
  </si>
  <si>
    <t>INVIGORATION  STEAM GENERATOR, 18 KW</t>
  </si>
  <si>
    <t>PUREWASH E880 ELECTRONIC BIDET SEAT</t>
  </si>
  <si>
    <t>VIVE HIDDEN DRAIN</t>
  </si>
  <si>
    <t>BEITOU HI FLOW TH VALVE PlusTRIM, 6 WAY</t>
  </si>
  <si>
    <t>NEOROC  KITCHEN SINK CLEANER</t>
  </si>
  <si>
    <t>ACCLIV SINGLE CONTROL LAV W/O DRAIN</t>
  </si>
  <si>
    <t>ACCLIV TALL SINGLE CONTROL LAV W/O DRAIN</t>
  </si>
  <si>
    <t>ACCLIV BATH SPOUT W/O DIVERTER</t>
  </si>
  <si>
    <t>ACCLIV PILLAR TAP (COLD ONLY)</t>
  </si>
  <si>
    <t>ACCLIV TALL PILLAR TAP (COLD ONLY)</t>
  </si>
  <si>
    <t>ACCLIV WM COLD TRIM WO DRAIN</t>
  </si>
  <si>
    <t>ACCLIV RECESSED B and S TRIM 40MM</t>
  </si>
  <si>
    <t>FINIAL  BATH FAUCET W/HANDSHOWER</t>
  </si>
  <si>
    <t>BELAY 18" GRAB BAR</t>
  </si>
  <si>
    <t>APT CURV AT230 TRIM</t>
  </si>
  <si>
    <t>VIVE  QUIET CLOSE  ROUND PP SEAT</t>
  </si>
  <si>
    <t>TRACE  QUIET CLOSE  ROUND PP SEAT</t>
  </si>
  <si>
    <t>RIALTO 6L PB S TRAP 305MM 1 PC TOILET</t>
  </si>
  <si>
    <t>APT FLUX SC LAV FAUCET WO DRAIN</t>
  </si>
  <si>
    <t>EVOFLUSH FRAMLESS MECH IN WALL TANK</t>
  </si>
  <si>
    <t>EVOFLUSH FRAMLESS PNEU IN WALL TANK</t>
  </si>
  <si>
    <t>EVOFIT HALF FRAME MECH IN WALL TANK</t>
  </si>
  <si>
    <t>EVOFIT HALF FRAME PNEU IN WALL TANK</t>
  </si>
  <si>
    <t>EVOFITPlusFULL FRAME MECH IN WALL TANK</t>
  </si>
  <si>
    <t>EVOFITPlusFULL FRAME PNEU IN WALL TANK</t>
  </si>
  <si>
    <t>APT 2 WAY BIB TAP</t>
  </si>
  <si>
    <t>APT ANGLE VALVE</t>
  </si>
  <si>
    <t>APT STOP TRIM</t>
  </si>
  <si>
    <t>APT FLUX AT230 TRIM</t>
  </si>
  <si>
    <t>APT BATH SPOUT W/O DIVERTER</t>
  </si>
  <si>
    <t>APT BATH SPOUT W DIVERTER</t>
  </si>
  <si>
    <t>APT CURV SC LAV FAUCET WO DRAIN</t>
  </si>
  <si>
    <t>APT CURV PILLAR TAP</t>
  </si>
  <si>
    <t>APT CURV TALL LAV FAUCET WO DRAIN</t>
  </si>
  <si>
    <t>APT FLUX SC WM LAV FAUCET TRIM WO DRAIN</t>
  </si>
  <si>
    <t>APT CURV TALL PILLAR TAP</t>
  </si>
  <si>
    <t>APT ROUND SHOWER HEAD</t>
  </si>
  <si>
    <t>APT SQUARE SHOWER HEAD</t>
  </si>
  <si>
    <t>APT FLUX PILLAR TAP</t>
  </si>
  <si>
    <t>APT FLUX TALL LAV FAUCET WO DRAIN</t>
  </si>
  <si>
    <t>APT CURV SC WM LAV FAUCET TRIM WO DRAIN</t>
  </si>
  <si>
    <t>APT FLUX TALL PILLAR TAP</t>
  </si>
  <si>
    <t>APT B and S EXPOSED</t>
  </si>
  <si>
    <t>RADIANCE SHOULDER SHOWER 2F W DIVERTER</t>
  </si>
  <si>
    <t>RADIANCE SHOULDER SHOWER 2F W/O DIVERTER</t>
  </si>
  <si>
    <t>FLUENCE AT360 TRIM Plus VALVE</t>
  </si>
  <si>
    <t>FLUENCEPlusAT360 TRIM Plus VALVE</t>
  </si>
  <si>
    <t>APT WALL MOUNT 550MM WHITE</t>
  </si>
  <si>
    <t>APT VESSEL 550MM WHITE</t>
  </si>
  <si>
    <t>MEMOIRS , 2 PC  TOILET, W/SC and A SEAT</t>
  </si>
  <si>
    <t>UNIVERSAL DUAL HANDLE WM LAV VALVE_B</t>
  </si>
  <si>
    <t>APT INLINE STOP VALVE G3/4 G19MM</t>
  </si>
  <si>
    <t>VITALITY COLUMN 600X700</t>
  </si>
  <si>
    <t>PATIO S TRAP 305MM BOWL</t>
  </si>
  <si>
    <t>SAILE 1 PC TOILET W/QC SEAT</t>
  </si>
  <si>
    <t>VIA WALL HUNG EB BOWL W/O SEAT</t>
  </si>
  <si>
    <t>APT WIDE SHOWER HEAD</t>
  </si>
  <si>
    <t>PEBBLE PNEUMATIC FACEPLATE</t>
  </si>
  <si>
    <t>MAGNA LOW PRESSURE MULTI MODE SHOWERHEAD</t>
  </si>
  <si>
    <t>MAGNA HIGH PRESSURE MULTI FUNCTION SHOWE</t>
  </si>
  <si>
    <t>FORTÉ  DECK HANDSHOWER HOLDER</t>
  </si>
  <si>
    <t>HOOK RAIL W/HOOKS</t>
  </si>
  <si>
    <t>MISTOS 18" TOWEL BAR</t>
  </si>
  <si>
    <t>MISTOS TISSUE HOLDER</t>
  </si>
  <si>
    <t>MISTOS ROBE HOOK</t>
  </si>
  <si>
    <t>MISTOS TOWEL RING</t>
  </si>
  <si>
    <t>AIRFOIL 24'' TOWEL BAR</t>
  </si>
  <si>
    <t>AIRFOIL 24'' DOUBLE TOWEL BAR</t>
  </si>
  <si>
    <t>AIRFOIL 24'' DOUBLE TOWEL SHELF</t>
  </si>
  <si>
    <t>AIRFOIL CELLING MOUNT SHOWER HEAD</t>
  </si>
  <si>
    <t>AIRFOIL MULTI FUNCTION W M SHOWER HEAD</t>
  </si>
  <si>
    <t>AIRFOIL WALL MOUNT HOLDER AND ELBOW</t>
  </si>
  <si>
    <t>CUFF SC LAV FAUCET WITH DRAIN</t>
  </si>
  <si>
    <t>CUFF SC LAV FAUCET WITHOUT DRAIN</t>
  </si>
  <si>
    <t>CUFF SC TALL LAV FAUCET W/ DRAIN</t>
  </si>
  <si>
    <t>CUFF SC TALL LAV FAUCET W/O DRAIN</t>
  </si>
  <si>
    <t>CUFF 2H WS LAV FAUCET WITH DRAIN</t>
  </si>
  <si>
    <t>CUFF 2H WS LAV FAUCET W/O DRAIN</t>
  </si>
  <si>
    <t>CUFF 2H MONOBLOCK LAV FAUCET W/O DRAIN</t>
  </si>
  <si>
    <t>CUFF PILLAR TAP</t>
  </si>
  <si>
    <t>CUFF TALL PILLAR TAP</t>
  </si>
  <si>
    <t>CUFF RECESSED BATH  and  SHOWER TRIM</t>
  </si>
  <si>
    <t>CUFF 3H BATH FILLER W DIV FOR HANDSHOWER</t>
  </si>
  <si>
    <t>CUFF 1HANDLE DM COLD ONLY KITCHEN FAUCET</t>
  </si>
  <si>
    <t>CUFF 1HANDLE WM COLD ONLY KITCHEN FAUCET</t>
  </si>
  <si>
    <t>CUFF 2HANDLE WM KITCHEN MIXER</t>
  </si>
  <si>
    <t>CUFF 2HANDLE DM KITCHEN MIXER</t>
  </si>
  <si>
    <t>CUFF 1 WAY BIB TAP</t>
  </si>
  <si>
    <t>CUFF 2 WAY BIB TAP</t>
  </si>
  <si>
    <t>CUFF WM BATH SPOUT WITH DIVERTER</t>
  </si>
  <si>
    <t>CUFF WM BATH SPOUT W/O DIVERTER</t>
  </si>
  <si>
    <t>STRAYT SC LAV FAUCET WITH DRAIN</t>
  </si>
  <si>
    <t>STRAYT SC LAV FAUCET W/O DRAIN</t>
  </si>
  <si>
    <t>STRAYT SC LAV FAUCET WITHOUT DRAIN</t>
  </si>
  <si>
    <t>STRAYT SC TALL LAV FAUCET W/O DRAIN</t>
  </si>
  <si>
    <t>STRAYT RECESSED SHOWER ONLY TRIM</t>
  </si>
  <si>
    <t>STRAYT WM BATH SPOUT  DIVERTER</t>
  </si>
  <si>
    <t>STRAYT WM BATH SPOUT WITH DIVERTER</t>
  </si>
  <si>
    <t>STRAYT  WM BATH SPOUT WITH DIVERTER</t>
  </si>
  <si>
    <t>SPECIAL STRAYT BATH SPOUT WITH DIVERTER</t>
  </si>
  <si>
    <t>STRAYT WM BATH SPOUT W/O DIVERTER</t>
  </si>
  <si>
    <t>STRAYT  WM BATH SPOUT W/O DIVERTER</t>
  </si>
  <si>
    <t>SPECIAL STRAYT CUBIC BATH SPOUT</t>
  </si>
  <si>
    <t>STRAYT SINGLE ROBE HOOK</t>
  </si>
  <si>
    <t>STRAYT 610 MM TOWEL BAR</t>
  </si>
  <si>
    <t>STRAYT TOILET TISSUE HOLDER</t>
  </si>
  <si>
    <t>STRAYT TOILET TISSUE HOLDER WITH COVER</t>
  </si>
  <si>
    <t>RAINDUET ROUND RAINHEAD 7"</t>
  </si>
  <si>
    <t>RAIN DUET MF HANDSPRAY W/HOSE</t>
  </si>
  <si>
    <t>VITALITY  LITE 76X101 RECT. LIGHT MIRROR</t>
  </si>
  <si>
    <t>ML EDGE 51 x 101 CAPSULE LIGHT MIRROR</t>
  </si>
  <si>
    <t>ML  52 x 70 RECT LIGHT MIRROR</t>
  </si>
  <si>
    <t>ML EDGE 60 x 90 OVAL LIGHT MIRROR</t>
  </si>
  <si>
    <t>ML  80 x 55 PEBBLE LIGHT MIRROR</t>
  </si>
  <si>
    <t>ML  20 SHAVING LIGHT MIRROR</t>
  </si>
  <si>
    <t>GLASS PACK 26</t>
  </si>
  <si>
    <t>VIVE WH HC BOWL W PUREWASH M350 COLD</t>
  </si>
  <si>
    <t>AT235 RBS TRIM SLEEVE AND KNOB</t>
  </si>
  <si>
    <t>ESSENTIAL 66 X 120 RECT NON LIGHT MIRROR</t>
  </si>
  <si>
    <t>ESSENTIAL 46 CIRCULAR NON LIGHT MIRROR</t>
  </si>
  <si>
    <t>ESSENTIAL 60X120 CAPSULE NONLIGHT MIRROR</t>
  </si>
  <si>
    <t>ESSENTIAL 167 X 61 RECT FL MIRROR</t>
  </si>
  <si>
    <t>REACH 2PC BOWL, SKIRTED, 3.3/4.8L</t>
  </si>
  <si>
    <t>ENGAGE SC LAV FAUCET</t>
  </si>
  <si>
    <t>ENGAGE SC TALL LAV FAUCET</t>
  </si>
  <si>
    <t>ENGAGE WM LAV FAUCET TRIM</t>
  </si>
  <si>
    <t>ENGAGE AT 230 TRIM</t>
  </si>
  <si>
    <t>ENGAGE AT 235 TRIM</t>
  </si>
  <si>
    <t>ENGAGE BATH SPOUT W/O DIVERTER</t>
  </si>
  <si>
    <t>ENGAGE BATH SPOUT W DIVERTER</t>
  </si>
  <si>
    <t>APT VESSEL 550MM WO DECK</t>
  </si>
  <si>
    <t>RAIN MAX SQUARE 305MM DF</t>
  </si>
  <si>
    <t>BANCROFT 51 X 79 RECT. MIRROR CABINET</t>
  </si>
  <si>
    <t>AERODYNE 3.3/4.8L CLASS FIVE Plus 1PC TOILET</t>
  </si>
  <si>
    <t>SHOWER PANEL</t>
  </si>
  <si>
    <t>STRIVE  18X16 SINGLE BOWL SS FABRICATED</t>
  </si>
  <si>
    <t>STRIVE  21X18 SINGLE BOWL SS FABRICATED</t>
  </si>
  <si>
    <t>STRIVE  24X18 SINGLE BOWL SS FABRICATED</t>
  </si>
  <si>
    <t>ML EDGE WH W/SEAT  and  PURECLEAN UNIVERSAL</t>
  </si>
  <si>
    <t>STRIVE  24X20 SINGLE BOWL SS FABRICATED</t>
  </si>
  <si>
    <t>STRIVE  30X18 SINGLE BOWL SS FABRICATED</t>
  </si>
  <si>
    <t>STRIVE  30X18 DOUBLE BOWL SS FABRICATED</t>
  </si>
  <si>
    <t>STRIVE  36X18 DOUBLE BOWL SS FABRICATED</t>
  </si>
  <si>
    <t>STRIVE  36X20 DOUBLE BOWL SS FABRICATED</t>
  </si>
  <si>
    <t>STRIVE  40X18 DOUBLE BOWL SS FABRICATED</t>
  </si>
  <si>
    <t>STRIVE  45X18 DOUBLE BOWL SS FABRICATED</t>
  </si>
  <si>
    <t>STRIVE  45X20 DOUBLE BOWL SS FABRICATED</t>
  </si>
  <si>
    <t>POISE S SGL UC SINK,F,NA</t>
  </si>
  <si>
    <t>FLUENCE SC LAV FAUCET WO DRAIN</t>
  </si>
  <si>
    <t>FLUENCE TALL LAV FAUCET WO DRAIN</t>
  </si>
  <si>
    <t>ENCE WM LAV FAUCET TRIM Plus VALVE</t>
  </si>
  <si>
    <t>FLUENCE WM LAV FAUCET TRIM Plus VALVE</t>
  </si>
  <si>
    <t>FLUENCE AT235 RBS TRIM</t>
  </si>
  <si>
    <t>FLUENCE AT 235 RBS TRIM</t>
  </si>
  <si>
    <t>FLUENCE AT 360 TRIM</t>
  </si>
  <si>
    <t>FLUENCE BATH SPOUT W DIVERTER</t>
  </si>
  <si>
    <t>FLUENCE BATH SPOUT W/O DIVERTER</t>
  </si>
  <si>
    <t>FLUENCEPlusSC LAV FAUCET WO DRAIN</t>
  </si>
  <si>
    <t>FLUENCEPlusTALL LAV FAUCET WO DRAIN</t>
  </si>
  <si>
    <t>FLUENCEPlusWM LAV FAUCET TRIM Plus VALVE</t>
  </si>
  <si>
    <t xml:space="preserve"> LUENCEPlusWM LAV FAUCET TRIM Plus VALVE</t>
  </si>
  <si>
    <t>FLUENCEPlusAT235 RBS TRIM</t>
  </si>
  <si>
    <t>ENCEPlusAT235 RBS TRIM</t>
  </si>
  <si>
    <t>FLUENCEPlusAT 360 TRIM</t>
  </si>
  <si>
    <t>HONE AT235 TRIM</t>
  </si>
  <si>
    <t>HONE AT230 TRIM</t>
  </si>
  <si>
    <t>HONE LOW FLOW LAV FAUCET</t>
  </si>
  <si>
    <t>TRACE WALL HUNG BOWL W PP SEAT</t>
  </si>
  <si>
    <t>VIVE WALL HUNG BOWL W PP SEAT</t>
  </si>
  <si>
    <t>NUMIPlusINTELLIGENT TOILET(HB1 IOT)</t>
  </si>
  <si>
    <t>NEW TRILOGY HARDWARE WITH WALL HINGE S</t>
  </si>
  <si>
    <t>SINGULIER HARDWARE FOR PARTITION S</t>
  </si>
  <si>
    <t>ELATE 1320MM. 1370MM.</t>
  </si>
  <si>
    <t>ELATE 1370MM. 1470MM.</t>
  </si>
  <si>
    <t>ELATE 1470MM. 1600MM.</t>
  </si>
  <si>
    <t>ESSENTIAL 167 X 61 ARCH FL MIRROR</t>
  </si>
  <si>
    <t>STAINLESS STEEL KITCHEN SINK CLEANER</t>
  </si>
  <si>
    <t>STRIVE  SS SINK FLEXIBLE COLANDER</t>
  </si>
  <si>
    <t>STRIVE  SINGLE BOWL SS WIRE RACK 18*16</t>
  </si>
  <si>
    <t>STRIVE  SINGLE BOWL SS WIRE RACK 21*18</t>
  </si>
  <si>
    <t>STRIVE  SINGLE BOWL SS WIRE RACK 24</t>
  </si>
  <si>
    <t>STRIVE  SINGLE BOWL SS WIRE RACK 30*18</t>
  </si>
  <si>
    <t>STRIVE  DOUBLE BOWL SS WIRE RACK 30*18</t>
  </si>
  <si>
    <t>STRIVE  DOUBLE BOWL SS WIRE RACK 36 ONLY</t>
  </si>
  <si>
    <t>STRIVE  DOUBLE BOWL SS WIRE RACK 40*18</t>
  </si>
  <si>
    <t>STRIVE  DOUBLE BOWL SS WIRE RACK 45</t>
  </si>
  <si>
    <t>ELATE 1600MM   1800MM</t>
  </si>
  <si>
    <t>DEVONSHIRE  WIDESPREAD LAV FAUCET, LEVER</t>
  </si>
  <si>
    <t>COMPONENTS TB DM COMM FCT COLD 0.5G</t>
  </si>
  <si>
    <t>COMPONENTS TB WMS COMM FCT COLD 0.5G</t>
  </si>
  <si>
    <t>TOOBI WALL MOUNT BATH SPOUT</t>
  </si>
  <si>
    <t>TRESHAM  CH 1PC 1.28 EB TOILET</t>
  </si>
  <si>
    <t>REACH 1PC CLASS FIVE 3.3/4.8L W/ QC SEAT</t>
  </si>
  <si>
    <t>REACH ECO WITH ODEON SEAT</t>
  </si>
  <si>
    <t>ADJUSTABLE LINKAGE</t>
  </si>
  <si>
    <t>2 PUREWASH E910  and  1 PUREWASH E880 COMBO</t>
  </si>
  <si>
    <t>1 PUREWASH E910  and  2 PUREWASH E880 COMBO</t>
  </si>
  <si>
    <t>3 PUREWASH E910 BIDET SEAT</t>
  </si>
  <si>
    <t>C3 230 BIDET SEAT</t>
  </si>
  <si>
    <t>2 HANDLE CERAMIC VALVE</t>
  </si>
  <si>
    <t>SCREW 8 32 X .875</t>
  </si>
  <si>
    <t>Replay2 Vanity t 80cm w/gov, s White</t>
  </si>
  <si>
    <t>VEIL  WH QUIET CLOSE SEAT</t>
  </si>
  <si>
    <t>DROPLET FACEPLATE SATIN CHROME</t>
  </si>
  <si>
    <t>PATIO WALLHUNG BOWL W/ FLUSH DIVERTER</t>
  </si>
  <si>
    <t>SAN RAPHAEL QUIET CLOSE EB SEAT</t>
  </si>
  <si>
    <t>HIGHLINE  CLASS FIVE  BOWL EB</t>
  </si>
  <si>
    <t>NOZZLE</t>
  </si>
  <si>
    <t>ROD</t>
  </si>
  <si>
    <t>TRIP LEVER SA</t>
  </si>
  <si>
    <t>MEMOIRS  EB S TRAP 305MM BOWL</t>
  </si>
  <si>
    <t>VACUUM BREAKER</t>
  </si>
  <si>
    <t>SKIRT, SHOWER MIXER</t>
  </si>
  <si>
    <t>STEM, HANDLE</t>
  </si>
  <si>
    <t>PLUG BUTTON</t>
  </si>
  <si>
    <t>DEVONSHIRE  COMFORT HEIGHT  BOWL, EB</t>
  </si>
  <si>
    <t>ESCALE QUIET CLOSE   SEAT UF</t>
  </si>
  <si>
    <t>PERSUADE 3.3/4.8L TANK</t>
  </si>
  <si>
    <t>VIRAGIO WALL HUNG BOWL</t>
  </si>
  <si>
    <t>MEMOIRS  TANK/STATELY</t>
  </si>
  <si>
    <t>ESCALE TANK</t>
  </si>
  <si>
    <t>HYDRORAIL SHOWER COLUMN   SQUARE</t>
  </si>
  <si>
    <t>LOURE  2.0GPM SF KATALYST  SHOWERHEAD</t>
  </si>
  <si>
    <t>AIRFOIL SHOWER PANEL</t>
  </si>
  <si>
    <t>JULY THERMOSTATIC SHOWER COLUMN</t>
  </si>
  <si>
    <t>JULY LM SR SINK,2KD,NA</t>
  </si>
  <si>
    <t>GRID DRAIN W/OVERFLOW HOLE</t>
  </si>
  <si>
    <t>MEMOIRS  LAV FAUCET</t>
  </si>
  <si>
    <t>MISTOS 24" DOUBLE TOWEL SHELF</t>
  </si>
  <si>
    <t>MISTOS COVERED TISSUE HOLDER</t>
  </si>
  <si>
    <t>MEMOIRS  WIDESPREAD LAVATORY FAUCET</t>
  </si>
  <si>
    <t>LOURE SHOWER ARM</t>
  </si>
  <si>
    <t>CUFF EXPOSED BATH SHOWER FAUCET</t>
  </si>
  <si>
    <t>LOURE RECESSED THERMOSTATIC SHOWER TRIM</t>
  </si>
  <si>
    <t>FOREFRONT 900MM WOOD CABINET IN WALNUT</t>
  </si>
  <si>
    <t>HYDRORAIL  S BATH/SHOWER COLUMN</t>
  </si>
  <si>
    <t>GILDED MEADOW  VESSELS  CONICAL LAV</t>
  </si>
  <si>
    <t>WASHING MACHINE FLOOR DRAIN</t>
  </si>
  <si>
    <t>FRENCH CURVE  QUIET CLOSE ELONGATED SEAT</t>
  </si>
  <si>
    <t>C3  201 W/IN LINE HEATER EB TOILET SEAT</t>
  </si>
  <si>
    <t>PANACHE TOILET SEAT</t>
  </si>
  <si>
    <t>AVANTIS   WOOD EB TOILET SEAT</t>
  </si>
  <si>
    <t>HEATED TOILET SEAT</t>
  </si>
  <si>
    <t>C3 108 TOILET SEAT WITH BIDET FUNCTIONAL</t>
  </si>
  <si>
    <t>MEMOIRS STATELY TOWEL RING</t>
  </si>
  <si>
    <t>BARDON  0.5L URINAL, REAR INLET</t>
  </si>
  <si>
    <t>BARDON  0.5L URINAL, TOP INLET</t>
  </si>
  <si>
    <t>REACH VANITY TOP 650X400MM 1 TH LH BOWL</t>
  </si>
  <si>
    <t>REACH COMPACT HW BASIN 400X25MM 1TH LH</t>
  </si>
  <si>
    <t>BARDON  URINAL, TOP INLET</t>
  </si>
  <si>
    <t>MINI BARDON  URINAL, ET</t>
  </si>
  <si>
    <t>REACH 2PC TANK</t>
  </si>
  <si>
    <t>STEWARD ECO 0.5L URINAL, REAR INLET</t>
  </si>
  <si>
    <t>BARDON  ACCUFLUSH  1/8 GPF URINAL   REAR</t>
  </si>
  <si>
    <t>SCREW 10 24 X .375</t>
  </si>
  <si>
    <t>Rêve wall hung bowl w/o seat White</t>
  </si>
  <si>
    <t>DIVERTER BODY,UPPER</t>
  </si>
  <si>
    <t>DIVERTER BODY ASSY</t>
  </si>
  <si>
    <t>WASHER 1.00 ODX.328IDX.062</t>
  </si>
  <si>
    <t>QUICK FLOW STRAINER, 114</t>
  </si>
  <si>
    <t>STAINLESS STEEL HANDRAIL C, ST FINISH</t>
  </si>
  <si>
    <t>ADAIR  1 PC SKIRTED TOILET 305</t>
  </si>
  <si>
    <t>CERAMIC BELL, ENGLISH TRELLIS</t>
  </si>
  <si>
    <t>CERAMIC CAP ASSY, ENGLISH TRELLIS</t>
  </si>
  <si>
    <t>CUFF 12000 HEAVY WATER FILTRATION</t>
  </si>
  <si>
    <t>BOLT, .313   18 1.500</t>
  </si>
  <si>
    <t>FOREFRONT RECT W/O FAUCET DECK</t>
  </si>
  <si>
    <t>FOREFRONT RECT W/O DECK HONED THUNDER GR</t>
  </si>
  <si>
    <t>FOREFRONT RECT W/O DECK HONED PEACOCK</t>
  </si>
  <si>
    <t>FOREFRONT RECT W/O FAUCET DECK CASHMERE</t>
  </si>
  <si>
    <t>FOREFRONT ACCENT RECT W/O FAUCET DECK</t>
  </si>
  <si>
    <t>IRON PLAINS  WADING POOL  RECTANGLE LAV</t>
  </si>
  <si>
    <t>WH INTELLIGENT TOILET WITH NORMAL TANK</t>
  </si>
  <si>
    <t>PEBBLE FACEPLATE POLISHED CHROME</t>
  </si>
  <si>
    <t>PEBBLE  PNEUMATIC FACEPLATE</t>
  </si>
  <si>
    <t>BARDON  Touchless Soap Dispenser</t>
  </si>
  <si>
    <t>BARDON SOAP DISPENSER</t>
  </si>
  <si>
    <t>FLIPSIDE 01 SHOWERHEAD</t>
  </si>
  <si>
    <t>MOUNTING KIT ASSEMBLY</t>
  </si>
  <si>
    <t>STEAM ADAPTER KIT</t>
  </si>
  <si>
    <t>INVIGORATION  CONTROL KIT, TANDEM</t>
  </si>
  <si>
    <t>INVIGORATION  DRAIN PAN, SMALL</t>
  </si>
  <si>
    <t>INVIGORATION  DRAIN PAN, LARGE</t>
  </si>
  <si>
    <t>REACH ECO WH BOWL ONLY</t>
  </si>
  <si>
    <t>DTV DIGITAL 3 PORT THERMOSTATIC VALVE GL</t>
  </si>
  <si>
    <t>DTV 3 PORT THERMOSTATIC VALVE INDIA</t>
  </si>
  <si>
    <t>BRIVEPlus HALF PEDESTAL ONLY</t>
  </si>
  <si>
    <t>DTV PROMPT  MOUNTING BRACKET</t>
  </si>
  <si>
    <t>PREMEMBARK 51 X 79 RECT. MIRROR CABINET</t>
  </si>
  <si>
    <t>PREMEMBARK 51 X 91 ARCH MIRROR CABINET</t>
  </si>
  <si>
    <t>PREMEMBARK 41X 91 CAPSULE MIRROR CABINET</t>
  </si>
  <si>
    <t>MALLECO  PULLDOWN KITCHEN FAUCET</t>
  </si>
  <si>
    <t>PAPER HOLDER ROLLER</t>
  </si>
  <si>
    <t>PAPER/TISSUE HOLDER</t>
  </si>
  <si>
    <t>SOAP DISH HOLDER</t>
  </si>
  <si>
    <t>SINGLE ROBE HOOK</t>
  </si>
  <si>
    <t>TOOBI  DOUBLE ROBE HOOK</t>
  </si>
  <si>
    <t>SINGLE CONTROL WALL MOUNT VALVE</t>
  </si>
  <si>
    <t>SC WM VALVE ASSY</t>
  </si>
  <si>
    <t>SINGULIER SC WM LAV FAUCET TRIM</t>
  </si>
  <si>
    <t>CUFF SC WM LAV FAUCET TRIM</t>
  </si>
  <si>
    <t>ALEO WM LAV FAUCET TRIM</t>
  </si>
  <si>
    <t>ALEOPlusSC WM LAV FAUCET TRIM</t>
  </si>
  <si>
    <t>ALEOPlusWM LAV FAUCET TRIM</t>
  </si>
  <si>
    <t>PIN</t>
  </si>
  <si>
    <t>KARESS 2PC BOWL 3/4.8L, 305MM W/SC</t>
  </si>
  <si>
    <t>SLEEVE</t>
  </si>
  <si>
    <t>ELBOW ASSY</t>
  </si>
  <si>
    <t>HANDLE, LEVER</t>
  </si>
  <si>
    <t>STRUKTURA FLOOR STANDING URINAL (REAR)</t>
  </si>
  <si>
    <t>SCREW</t>
  </si>
  <si>
    <t>COMPRESSOR AIR;,DC12V,4500RPM,250mm</t>
  </si>
  <si>
    <t>KNOB, LIFT</t>
  </si>
  <si>
    <t>SIMPLICE  PULLDOWN KITCHEN FAUCET</t>
  </si>
  <si>
    <t>REPLAY WALL HUNG BOWL ONLY</t>
  </si>
  <si>
    <t>REPLAY WALL HUNG BOWL ONLY CASHMERE</t>
  </si>
  <si>
    <t>REPLAY QUIET CLOSE SEAT</t>
  </si>
  <si>
    <t>REPLAY QUITE CLOSE SEAT CASHMERE</t>
  </si>
  <si>
    <t>REPLAY WALL HUNG BOWL W/ QC SEAT</t>
  </si>
  <si>
    <t>REPLAY WALL HUNG BOWL W/ RC SEAT</t>
  </si>
  <si>
    <t>GROUNDING WIRE, 36"</t>
  </si>
  <si>
    <t>HYDRO TOWER 100 Touchless Inwall Tank wi</t>
  </si>
  <si>
    <t>VEIL  INWALL TANK FACE PLATE</t>
  </si>
  <si>
    <t>VEIL  WALL HUNG BOWL, EB WITHOUT SEAT</t>
  </si>
  <si>
    <t>EVOKE  PULLOUT KITCHEN FAUCET</t>
  </si>
  <si>
    <t>TRIM KIT .375BR</t>
  </si>
  <si>
    <t>SCREW, 10 24 X 3.25</t>
  </si>
  <si>
    <t>COVER, SUCTION</t>
  </si>
  <si>
    <t>TRIM RING, LARGE FACE, SMALL NOZZLE</t>
  </si>
  <si>
    <t>PLUG, SUCTION COVER</t>
  </si>
  <si>
    <t>NUT</t>
  </si>
  <si>
    <t>COUPLING</t>
  </si>
  <si>
    <t>DTV 6 PORT THERMOSTATIC VALVE INDIA</t>
  </si>
  <si>
    <t>MEMOIRS  WALLHUNG W/ SEAT</t>
  </si>
  <si>
    <t>DRAIN, BATH</t>
  </si>
  <si>
    <t>CLICK DRAIN, BIG CAP</t>
  </si>
  <si>
    <t>GRID DRAIN WITH OVERFLOW</t>
  </si>
  <si>
    <t>CLEARFLO 1 1/2" BTH DRAIN/P UP</t>
  </si>
  <si>
    <t>Clearflo 1 1/2 BTH DRN 20 22</t>
  </si>
  <si>
    <t>SENSATE   KITCHEN FAUCET</t>
  </si>
  <si>
    <t>ALEO LAV FAUCET W/O DRAIN</t>
  </si>
  <si>
    <t>ALEO LAV FAUCET W/ DRAIN</t>
  </si>
  <si>
    <t>ALEO SC SW SPOUT LAV FAUCET W/O DRAIN</t>
  </si>
  <si>
    <t>ALEO  PILLAR TAP</t>
  </si>
  <si>
    <t>ALEO RECE B and S TRIM, 40MM</t>
  </si>
  <si>
    <t>ALEO AT235 RBS TRIM</t>
  </si>
  <si>
    <t>ALEO  RECE SHOWER TRIM, 40mm</t>
  </si>
  <si>
    <t>ALEO  RECE SHOWER TRIM, 40MM</t>
  </si>
  <si>
    <t>ALEO RECESSED SHOWER ONLY TRIM</t>
  </si>
  <si>
    <t>ALEO TALL LAV FAUCET W/O DRAIN</t>
  </si>
  <si>
    <t>ALEOPlusLAV FAUCET W/O DRAIN</t>
  </si>
  <si>
    <t>ALEOPlusWM B/S  SC MIXER, CHR</t>
  </si>
  <si>
    <t>ALEOPlusPILLAR TAP</t>
  </si>
  <si>
    <t>ALEOPlusRECE B and S TRIM, 40MM</t>
  </si>
  <si>
    <t>ALEOPlusRBS TRIM</t>
  </si>
  <si>
    <t>ALEOPlusRECE B and S TRIM, 40mm</t>
  </si>
  <si>
    <t>ALEOPlusAT235 RBS TRIM</t>
  </si>
  <si>
    <t>ALEOPlusRECE SHOWER TRIM, 40MM</t>
  </si>
  <si>
    <t>ALEOPlusTALL LAV FAUCET W/O DRAIN</t>
  </si>
  <si>
    <t>ALEOPlusSC SW SPOUT LAV FAUCET W/O DRAIN</t>
  </si>
  <si>
    <t>AWAKEN G110 MULTI MODE HANDSHOWER</t>
  </si>
  <si>
    <t>AWAKEN  G110 MULTI MODE SHOWERHEAD</t>
  </si>
  <si>
    <t>AWAKEN B110 MULTI MODE HANDSHOWER</t>
  </si>
  <si>
    <t>AWAKEN B110 MULTI MODE SHOWERHEAD</t>
  </si>
  <si>
    <t>RAINDUET ROUND 178MM RAINHEAD</t>
  </si>
  <si>
    <t>RAIN DUET SHOWER HEAD 7"   MODERN</t>
  </si>
  <si>
    <t>COMPLEMENTARY SHOWERHEAD W/O SHOWER ARM</t>
  </si>
  <si>
    <t>MAZZ PULLDOWN KITCHEN FAUCET</t>
  </si>
  <si>
    <t>MODULO CLASSIC S/O TRIM and VALVE  ARTIFACTS</t>
  </si>
  <si>
    <t>MODULO CLASSICTH B/S TRIM and VALVE ARTIFACT</t>
  </si>
  <si>
    <t>MODULO CLASSICTH B/S TRIM and VLV ARTIFACTS</t>
  </si>
  <si>
    <t>BEITOU WALL MOUNT SHOWERHEAD</t>
  </si>
  <si>
    <t>FOREFRONT QUIET CLOSE SEAT</t>
  </si>
  <si>
    <t>STRAYT DM SENSOR FCT COLD ONLY</t>
  </si>
  <si>
    <t>STRAYT COLD ONLY FAUCET   DC</t>
  </si>
  <si>
    <t>STRAYT SENSOR FAUCET COLD,DC, W/ P,0.5G</t>
  </si>
  <si>
    <t>MASTERSHOWER  2 OR 3 WAY TRANSFER VALVE</t>
  </si>
  <si>
    <t>JULY DOUBLE TOILET TISSUE HOLDER WITH CO</t>
  </si>
  <si>
    <t>JULY MIRROR</t>
  </si>
  <si>
    <t>LADENA SEMI RECESSED LAV, SINGLE HOLE</t>
  </si>
  <si>
    <t>FLIPSIDE 02 HANDSHOWER</t>
  </si>
  <si>
    <t>RAINDUET EDGE ROUND 203MM RAINHEAD</t>
  </si>
  <si>
    <t>8"ROUND RAIN SS RAINHEAD CONTEMPORARY</t>
  </si>
  <si>
    <t>RAINDUET EDGE SQUARE 203MM RAINHEAD</t>
  </si>
  <si>
    <t>RAINDUET EDGE ROUND 254MM RAINHEAD</t>
  </si>
  <si>
    <t>RAINDUET EDGE SQUARE 254MM RAINHEAD</t>
  </si>
  <si>
    <t>BOTTLE TRAP,300MM</t>
  </si>
  <si>
    <t>BOTTLE TRAP   300MM</t>
  </si>
  <si>
    <t>COMPOSED SH LAV FAUCET   JOYSTICK HANDLE</t>
  </si>
  <si>
    <t>COMPOSED  TALL SINGLE HDL FAUCET, CYL</t>
  </si>
  <si>
    <t>COMPOSED SH TALL LAV FCT SIDE HANDLE</t>
  </si>
  <si>
    <t>COMPOSED SH TALL  LAV FAUCET ACH</t>
  </si>
  <si>
    <t>COMPOSED SH TALL  LAV FAUCET GCH</t>
  </si>
  <si>
    <t>COMPOSED SH LAV FAUCET    SIDE LEVER</t>
  </si>
  <si>
    <t>COMPOSED SH TALL  LAV FCT SIDE LEVER</t>
  </si>
  <si>
    <t>COMPOSED SH SUPER TALL LAV FAUCET   SIDE</t>
  </si>
  <si>
    <t>TAUT  WM SHOWER COLUMN</t>
  </si>
  <si>
    <t>BEZEL, I.R. SENSOR</t>
  </si>
  <si>
    <t>TOOBI SINGLE CONTROL LAV FAUCET</t>
  </si>
  <si>
    <t>LIFT ROD ASSEMBLY</t>
  </si>
  <si>
    <t>SLEEVE MIXER</t>
  </si>
  <si>
    <t>MOUNT, ISOLATION</t>
  </si>
  <si>
    <t>MARGAUX 40MM SC B and S TRIM</t>
  </si>
  <si>
    <t>PURIST 40MM RBS TRIM</t>
  </si>
  <si>
    <t>STILLNESS  40MM SC S TRIM</t>
  </si>
  <si>
    <t>TRADITIONAL HANDLE KIT</t>
  </si>
  <si>
    <t>SCROLL HANDLE KIT</t>
  </si>
  <si>
    <t>PURIST  40MM SC S TRIM</t>
  </si>
  <si>
    <t>FORTE  40MM SC S TRIM</t>
  </si>
  <si>
    <t>ODEON SQUAT SENSOR  (DC,6/8L)</t>
  </si>
  <si>
    <t>OVERFLOW HOOD ASSY</t>
  </si>
  <si>
    <t>OVERFLOW HOOD ASSY.</t>
  </si>
  <si>
    <t>ESCUTCHEON, SMALL</t>
  </si>
  <si>
    <t>ARCHER WIDESPREAD LAVATORY FAUCET</t>
  </si>
  <si>
    <t>BONNET, SIDE LEVER</t>
  </si>
  <si>
    <t>SHANK</t>
  </si>
  <si>
    <t>AQUA TURBO 230 MANUAL VALVE</t>
  </si>
  <si>
    <t>FINIAL CUT OUT SHOWERHEAD</t>
  </si>
  <si>
    <t>ALEOPlusTUBE SPOUT KITCHEN MIXER</t>
  </si>
  <si>
    <t>FOREFRONT SQ W/ DECK</t>
  </si>
  <si>
    <t>FOREFRONT 900MM W/O DECK</t>
  </si>
  <si>
    <t>TRACE VESSEL WITH 1TH</t>
  </si>
  <si>
    <t>HIDDEN FLOOR DRAIN   100X100MM</t>
  </si>
  <si>
    <t>DRAIN (HIDDEN)</t>
  </si>
  <si>
    <t>ESCUTCHEON SA</t>
  </si>
  <si>
    <t>RADIATE MULTIFUNCTION SHOWERHEAD</t>
  </si>
  <si>
    <t>ENLIGHTEN  MULTIFUNCTION SHOWERHEAD</t>
  </si>
  <si>
    <t>BEARING, SMALL</t>
  </si>
  <si>
    <t>BONNET, LAV SHORT</t>
  </si>
  <si>
    <t>STEM, BATH</t>
  </si>
  <si>
    <t>VEIL  WH TOILET WITH QC PP SEAT</t>
  </si>
  <si>
    <t>VEIL WALL HUNG TOILET W/QC SEAT</t>
  </si>
  <si>
    <t>VEIL  TOILET W/ UF SEAT INDIGO</t>
  </si>
  <si>
    <t>VEIL  WH TOILET WITH QC UF SEAT</t>
  </si>
  <si>
    <t>HERRINGBONE ROUND LAVATORY</t>
  </si>
  <si>
    <t>PAISLEY RECTANGLE LAVATORY</t>
  </si>
  <si>
    <t>HERRINGBONE RECTANGLE LAVATORY</t>
  </si>
  <si>
    <t>NUT, TRANSFER VALVE CARTRIDGE</t>
  </si>
  <si>
    <t>CAP, TRANSFER VALVE</t>
  </si>
  <si>
    <t>ESCUTCHEON, TRANSFER VLV</t>
  </si>
  <si>
    <t>BOTTLE TRAP 350MM</t>
  </si>
  <si>
    <t>DIVERTER ASSY, DECK MOUNT</t>
  </si>
  <si>
    <t>HANDLE, CROSS</t>
  </si>
  <si>
    <t>LYNK FACEPLATE FRENCH GOLD</t>
  </si>
  <si>
    <t>LYNK FACEPLATE BRUSHED NICKEL</t>
  </si>
  <si>
    <t>LYNK FACEPLATE POLISHED CHROME</t>
  </si>
  <si>
    <t>LYNK PNEUMATIC FACEPLATE GLOSSY WHITE</t>
  </si>
  <si>
    <t>LYNK PNEUMATIC FACEPLATE GLOSSY BLACK</t>
  </si>
  <si>
    <t>LYNK PNEUMATIC FACEPLATE FRENCH GOLD</t>
  </si>
  <si>
    <t>LYNK PNEUMATIC FACEPLATE</t>
  </si>
  <si>
    <t>LYNK PNEUMATIC FACEPLATE BRUSH NICKEL</t>
  </si>
  <si>
    <t>LYNK PNEUMATIC FACEPLATE POLISHED CHROME</t>
  </si>
  <si>
    <t>LYNK PNEUMATIC FACEPLATE ROSE GOLD</t>
  </si>
  <si>
    <t>D3 DUAL FLUSH FACEPLATE GLOSSY WHITE</t>
  </si>
  <si>
    <t>NOTE  FACEPLATE GLOSSY WHITE</t>
  </si>
  <si>
    <t>NOTE  FACEPLATE GLOSSY BLACK</t>
  </si>
  <si>
    <t>NOTE  FACEPLATE BRUSHED ROSE GOLD</t>
  </si>
  <si>
    <t>NOTE  FACEPLATE BRUSHED BRONZE</t>
  </si>
  <si>
    <t>NOTE  FACEPLATE POLISHED CHROME</t>
  </si>
  <si>
    <t>NOTE IN WALL TANK FACEPLATE</t>
  </si>
  <si>
    <t>INSTAFIT</t>
  </si>
  <si>
    <t>RAIN DUET  MF ORGANIC  SHOWERHEAD</t>
  </si>
  <si>
    <t>RAIN DUET SHOWERHEAD</t>
  </si>
  <si>
    <t>BEITOU CEILING MOUNT SHOWERHEAD 500X500</t>
  </si>
  <si>
    <t>PARLIAMENT GRANDE BTW BOWL RI 305mm</t>
  </si>
  <si>
    <t>HANDLE, SMALL LEVER</t>
  </si>
  <si>
    <t>ODEON UP QC SEAT</t>
  </si>
  <si>
    <t>VEIL WALL HUNG INTELLIGENT TOILET</t>
  </si>
  <si>
    <t>TOILET AND FACEPLATE</t>
  </si>
  <si>
    <t>VALVE BODY ASSY, D M TRANSFER</t>
  </si>
  <si>
    <t>VLV BODY ASSY, R M TRNSFR</t>
  </si>
  <si>
    <t>KARESS  1.7M DROP IN WHIRLPOOL</t>
  </si>
  <si>
    <t>TOUCH ME MIRRORED CABINET,LEFT OPEN</t>
  </si>
  <si>
    <t>KANKARA VESSEL WITH 1TH</t>
  </si>
  <si>
    <t>KANKARA VESSEL W/O TH</t>
  </si>
  <si>
    <t>KANKARA VESSEL W/O DECK ALMOND</t>
  </si>
  <si>
    <t>KANKARA VESSEL W/O DECK BLACK</t>
  </si>
  <si>
    <t>KANKARA VESSEL W/O DECK INDIGO</t>
  </si>
  <si>
    <t>KANKARA VESSEL W/O DECK CASHMERE</t>
  </si>
  <si>
    <t>PARLIAMENT GRANDE NBTW 2.6/4L TANK</t>
  </si>
  <si>
    <t>KIT, PLUG BUTTON</t>
  </si>
  <si>
    <t>ELBOW</t>
  </si>
  <si>
    <t>STANCE DM BATH FCT</t>
  </si>
  <si>
    <t>STANCE EXP TH S/O FAUCET</t>
  </si>
  <si>
    <t>CAP</t>
  </si>
  <si>
    <t>ARTIFACTS REC SHOWER BATH TRIM KIT W/DIV</t>
  </si>
  <si>
    <t>ARTIFACTS RECESSED SHOWER TRIM KIT</t>
  </si>
  <si>
    <t>FOREFRONT SQUARE W/DECK VESSEL 6 Plus 1</t>
  </si>
  <si>
    <t>FOREFRONT SQUARE W/DECK VESSEL 10 Plus 2</t>
  </si>
  <si>
    <t>PARLIAMENT/P'MENT II/DUAL/GRANDE CISTERN</t>
  </si>
  <si>
    <t>INSTA FLUSH MECH. TANK 3/6L W/O FRAME</t>
  </si>
  <si>
    <t>INSTA FLUSH PNEUMATIC TANK 3/6LW/O FRAME</t>
  </si>
  <si>
    <t>INSTAFIT MECHANICAL</t>
  </si>
  <si>
    <t>RIBANA VESSEL WITH 1TH</t>
  </si>
  <si>
    <t>VEIL  WH QC UF SEAT</t>
  </si>
  <si>
    <t>SERVICE KIT, ESCUTCHEON</t>
  </si>
  <si>
    <t>MING  80 LIGHT MIRROR</t>
  </si>
  <si>
    <t>MODERN LIFE WH TOILET HONED THUNDER GREY</t>
  </si>
  <si>
    <t>MODERN LIFE WH TOILET HONED PEACOCK</t>
  </si>
  <si>
    <t>MODERN LIFE   SS WH SEAT</t>
  </si>
  <si>
    <t>MODERN LIFE WH SEAT HONED  THUNDER GREY</t>
  </si>
  <si>
    <t>MODERN LIFE WH SEAT HONED PEACOCK</t>
  </si>
  <si>
    <t>VEIL VESSEL</t>
  </si>
  <si>
    <t>VEIL VESSEL IN BLACK</t>
  </si>
  <si>
    <t>VEIL  VESSEL INDIGO</t>
  </si>
  <si>
    <t>ESCUTCHEON, SPOUT</t>
  </si>
  <si>
    <t>ESCUTCHEON, BATH</t>
  </si>
  <si>
    <t>BEITOU HI FLOW THERMOSTATIC VALVE, 6 WAY</t>
  </si>
  <si>
    <t>FRAGRANCE REFILL PACK FOR SLIM SEATS</t>
  </si>
  <si>
    <t>BEITOU HI FLOW THERMOSTATIC TRIM, 6 WAY</t>
  </si>
  <si>
    <t>BEITOU MF CEILING MOUNT SHOWER HEAD</t>
  </si>
  <si>
    <t>ALEO AQUA TURBO 360 TRIM</t>
  </si>
  <si>
    <t>ALEOPlusAQUA TURBO 360 TRIM</t>
  </si>
  <si>
    <t>HOSE</t>
  </si>
  <si>
    <t>ESCUTCHEON  G8</t>
  </si>
  <si>
    <t>LUXE HEALTH FAUCET WITH HOSE  and  BRACKET</t>
  </si>
  <si>
    <t>LUXE HYGIENE SPRAY</t>
  </si>
  <si>
    <t>BONNET, SPOUT</t>
  </si>
  <si>
    <t>BONNET SPOUT  G8</t>
  </si>
  <si>
    <t>SCREEN/WASHER</t>
  </si>
  <si>
    <t>VEIL  WH QC UF SEAT BLACK</t>
  </si>
  <si>
    <t>VEIL  WH QC UF SEAT INDIGO</t>
  </si>
  <si>
    <t>MICA ROUND VESSEL，GOLDEN</t>
  </si>
  <si>
    <t>SHAGREEN ROUND LAVATORY</t>
  </si>
  <si>
    <t>SHAGREEN RECTANGLE LAVATORY</t>
  </si>
  <si>
    <t>MODERN LIFE WH BOWL HONED  THUNDER GREY</t>
  </si>
  <si>
    <t>MODERN LIFE WH BOWL HONED PEACOCK</t>
  </si>
  <si>
    <t>MODERNLIFE WH BOWL ONLY</t>
  </si>
  <si>
    <t>MODERN LIFE 3/4.5L 2PC 305MM,W/SL.0 SEAT</t>
  </si>
  <si>
    <t>MALLECO TOUCHLESS PULLDOWN KITCHENFAUCET</t>
  </si>
  <si>
    <t>MALLECO  TOUCHLESS KITCHEN FAUCET</t>
  </si>
  <si>
    <t>MODERN LIFE VESSEL WITH FAUCET DECK</t>
  </si>
  <si>
    <t>ARISE  PULLDOWN KITCHEN FAUCET</t>
  </si>
  <si>
    <t>MODERN LIFE WALL HUNG LAVATORY</t>
  </si>
  <si>
    <t>COMPONENTS SC LAV FCT</t>
  </si>
  <si>
    <t>COMPONENTS TALL SC LAV FCT</t>
  </si>
  <si>
    <t>COMPONENTS ROCKER HANDLE</t>
  </si>
  <si>
    <t>COMPONENTS WIDESPREAD LAV SPOUT, TUBE</t>
  </si>
  <si>
    <t>COMPONENTS WIDESPREAD LAV SPOUT, RIBBON</t>
  </si>
  <si>
    <t>COMPONENTS  2H 8' WS SPOUT</t>
  </si>
  <si>
    <t>COMPONENTS  LAV WS SPOUT   TUBE</t>
  </si>
  <si>
    <t>COMPONENTS  LAV WS SPOUT   RIBBON</t>
  </si>
  <si>
    <t>COMPONENTS  WS HANDLE SET   LEVER</t>
  </si>
  <si>
    <t>COMPONENTS LEVER HANDLES</t>
  </si>
  <si>
    <t>COMPONENTS OYL HANDLES</t>
  </si>
  <si>
    <t>COMPONENTS INDUSTRIAL HANDLES</t>
  </si>
  <si>
    <t>QUILA VANA  536X370MM RECT. LAV</t>
  </si>
  <si>
    <t>COMPONENT 40MM RBS TRIM (PIN HANDLE)</t>
  </si>
  <si>
    <t>MODULO REC S/O TRIM  and  VALVE   PIN</t>
  </si>
  <si>
    <t>MODULO REC TH B/S TRIM  and  VALVE OYL</t>
  </si>
  <si>
    <t>WATERTILE  54 NOZZLE BODY SPRAY</t>
  </si>
  <si>
    <t>WATERTILE  54 NOZZLE BODYSPRAY</t>
  </si>
  <si>
    <t>1436642-UF-HP1</t>
  </si>
  <si>
    <t>1436643-UF-HG1</t>
  </si>
  <si>
    <t>14379-CP</t>
  </si>
  <si>
    <t>14389T-CP</t>
  </si>
  <si>
    <t>14397T-RGD</t>
  </si>
  <si>
    <t>14402-4A-2MB</t>
  </si>
  <si>
    <t>14402-4A-BN</t>
  </si>
  <si>
    <t>14402-4A-BV</t>
  </si>
  <si>
    <t>14402IN-4A-CP</t>
  </si>
  <si>
    <t>14402IN-4AND-BL</t>
  </si>
  <si>
    <t>14402T-4A-PGD</t>
  </si>
  <si>
    <t>14404-4A-2MB</t>
  </si>
  <si>
    <t>14404-4A-BL</t>
  </si>
  <si>
    <t>14404-4A-BN</t>
  </si>
  <si>
    <t>14404-4A-BV</t>
  </si>
  <si>
    <t>14404IN-4AND-PGD</t>
  </si>
  <si>
    <t>14404T-ZU-BV</t>
  </si>
  <si>
    <t>1442101-CP</t>
  </si>
  <si>
    <t>14426-2MB</t>
  </si>
  <si>
    <t>14426-CP</t>
  </si>
  <si>
    <t>14426IN-CP</t>
  </si>
  <si>
    <t>1442726-SP</t>
  </si>
  <si>
    <t>14428IN-3-CP</t>
  </si>
  <si>
    <t>14428T-4-CP</t>
  </si>
  <si>
    <t>14428T-4-RGD</t>
  </si>
  <si>
    <t>1443146-SP</t>
  </si>
  <si>
    <t>1443300-0</t>
  </si>
  <si>
    <t>14435-BL</t>
  </si>
  <si>
    <t>14436-AF</t>
  </si>
  <si>
    <t>14436-BL</t>
  </si>
  <si>
    <t>14436-CP</t>
  </si>
  <si>
    <t>14441-CP</t>
  </si>
  <si>
    <t>14443-AF</t>
  </si>
  <si>
    <t>14443-BN</t>
  </si>
  <si>
    <t>14443-CP</t>
  </si>
  <si>
    <t>14443-PGD</t>
  </si>
  <si>
    <t>1444424-CP</t>
  </si>
  <si>
    <t>14444-AF</t>
  </si>
  <si>
    <t>14444-BN</t>
  </si>
  <si>
    <t>14444-CP</t>
  </si>
  <si>
    <t>14444-RGD</t>
  </si>
  <si>
    <t>14445-AF</t>
  </si>
  <si>
    <t>14445-CP</t>
  </si>
  <si>
    <t>14451T-RGD</t>
  </si>
  <si>
    <t>14456T-CP</t>
  </si>
  <si>
    <t>14456T-RGD</t>
  </si>
  <si>
    <t>14458T-RGD</t>
  </si>
  <si>
    <t>14459T-CP</t>
  </si>
  <si>
    <t>14459T-RGD</t>
  </si>
  <si>
    <t>14461T-CP</t>
  </si>
  <si>
    <t>1446924-U</t>
  </si>
  <si>
    <t>15398T-CP</t>
  </si>
  <si>
    <t>15399IN-B-BRD</t>
  </si>
  <si>
    <t>15399T-B-BN</t>
  </si>
  <si>
    <t>15399T-B-BV</t>
  </si>
  <si>
    <t>16086IN-4-AF</t>
  </si>
  <si>
    <t>16086IN-4-RGD</t>
  </si>
  <si>
    <t>16087IN-4-AF</t>
  </si>
  <si>
    <t>16087IN-4-BRD</t>
  </si>
  <si>
    <t>16087IN-4-BV</t>
  </si>
  <si>
    <t>16087IN-4-CP</t>
  </si>
  <si>
    <t>16087IN-4-RGD</t>
  </si>
  <si>
    <t>16088IN-NA</t>
  </si>
  <si>
    <t>16089IN-NA</t>
  </si>
  <si>
    <t>16093IN-4-AF</t>
  </si>
  <si>
    <t>16093IN-4-CP</t>
  </si>
  <si>
    <t>16094IN-4-AF</t>
  </si>
  <si>
    <t>16094IN-4-CP</t>
  </si>
  <si>
    <t>16094IN-4-RGD</t>
  </si>
  <si>
    <t>1611373IN-SP</t>
  </si>
  <si>
    <t>1612299-SP</t>
  </si>
  <si>
    <t>16135-2BZ</t>
  </si>
  <si>
    <t>1614903-CP</t>
  </si>
  <si>
    <t>1618822-U</t>
  </si>
  <si>
    <t>1619732-U-AF</t>
  </si>
  <si>
    <t>1619732-U-CP</t>
  </si>
  <si>
    <t>1619843-U</t>
  </si>
  <si>
    <t>1620318-SP</t>
  </si>
  <si>
    <t>1620319-SP</t>
  </si>
  <si>
    <t>1620320-SP</t>
  </si>
  <si>
    <t>1620322-SP</t>
  </si>
  <si>
    <t>16230IN-4-CP</t>
  </si>
  <si>
    <t>16231IN-4ND-CP</t>
  </si>
  <si>
    <t>16246-BV</t>
  </si>
  <si>
    <t>16251-CP</t>
  </si>
  <si>
    <t>16253-CP</t>
  </si>
  <si>
    <t>16253-SN</t>
  </si>
  <si>
    <t>16254-CP</t>
  </si>
  <si>
    <t>16256-CP</t>
  </si>
  <si>
    <t>16265-CP</t>
  </si>
  <si>
    <t>1628311-0</t>
  </si>
  <si>
    <t>1628313-0</t>
  </si>
  <si>
    <t>1628336-CP</t>
  </si>
  <si>
    <t>1628337-CP</t>
  </si>
  <si>
    <t>1628344-CP</t>
  </si>
  <si>
    <t>16292IN-NA</t>
  </si>
  <si>
    <t>16346IN-AF</t>
  </si>
  <si>
    <t>16346IN-BN</t>
  </si>
  <si>
    <t>16346IN-BRD</t>
  </si>
  <si>
    <t>16346IN-BV</t>
  </si>
  <si>
    <t>16346IN-CP</t>
  </si>
  <si>
    <t>16346IN-RGD</t>
  </si>
  <si>
    <t>16347IN-AF</t>
  </si>
  <si>
    <t>16347IN-CP</t>
  </si>
  <si>
    <t>16347IN-RGD</t>
  </si>
  <si>
    <t>16353IN-CP</t>
  </si>
  <si>
    <t>16356IN-A-AF</t>
  </si>
  <si>
    <t>16356IN-A-BN</t>
  </si>
  <si>
    <t>16356IN-A-CP</t>
  </si>
  <si>
    <t>16364IN-CP</t>
  </si>
  <si>
    <t>16381IN-AF</t>
  </si>
  <si>
    <t>16381IN-BN</t>
  </si>
  <si>
    <t>16381IN-BRD</t>
  </si>
  <si>
    <t>16381IN-BV</t>
  </si>
  <si>
    <t>16381IN-CP</t>
  </si>
  <si>
    <t>16381IN-RGD</t>
  </si>
  <si>
    <t>1639697-U-AF</t>
  </si>
  <si>
    <t>1639698-U-AF</t>
  </si>
  <si>
    <t>1639698-U-CP</t>
  </si>
  <si>
    <t>1641724-CP</t>
  </si>
  <si>
    <t>1663-CP</t>
  </si>
  <si>
    <t>16817IN-2SR-7</t>
  </si>
  <si>
    <t>16817IN-SS-0</t>
  </si>
  <si>
    <t>1704T-Z-0</t>
  </si>
  <si>
    <t>1707T-Z-0</t>
  </si>
  <si>
    <t>1709IN-K-0</t>
  </si>
  <si>
    <t>17156K-00</t>
  </si>
  <si>
    <t>17157W-00</t>
  </si>
  <si>
    <t>17158W-00</t>
  </si>
  <si>
    <t>17181T-S-0</t>
  </si>
  <si>
    <t>17295T-AF</t>
  </si>
  <si>
    <t>17295T-CP</t>
  </si>
  <si>
    <t>17296T-CP</t>
  </si>
  <si>
    <t>17529T-CP</t>
  </si>
  <si>
    <t>17530T-ST</t>
  </si>
  <si>
    <t>17531T-ST</t>
  </si>
  <si>
    <t>17629IN-SM-0</t>
  </si>
  <si>
    <t>17629T-NS-0</t>
  </si>
  <si>
    <t>17656K-00</t>
  </si>
  <si>
    <t>17660T-M-0</t>
  </si>
  <si>
    <t>17661K-S-0</t>
  </si>
  <si>
    <t>17662IN-0</t>
  </si>
  <si>
    <t>17663IN-0</t>
  </si>
  <si>
    <t>17669T-M-0</t>
  </si>
  <si>
    <t>1766T-0</t>
  </si>
  <si>
    <t>17676IN-0</t>
  </si>
  <si>
    <t>1783T-0</t>
  </si>
  <si>
    <t>1784T-0</t>
  </si>
  <si>
    <t>17889-RL-K8</t>
  </si>
  <si>
    <t>1788T-58-0</t>
  </si>
  <si>
    <t>17890-RL-K8</t>
  </si>
  <si>
    <t>17890-RL-RB2</t>
  </si>
  <si>
    <t>17890-RL-RB3</t>
  </si>
  <si>
    <t>17916-RL-K8</t>
  </si>
  <si>
    <t>17916-RL-RB2</t>
  </si>
  <si>
    <t>17916-RL-RB3</t>
  </si>
  <si>
    <t>1800T-0</t>
  </si>
  <si>
    <t>18055IN-CP</t>
  </si>
  <si>
    <t>18057IN-ND-CP</t>
  </si>
  <si>
    <t>18072K-1-WK</t>
  </si>
  <si>
    <t>18078IN-ND-CP</t>
  </si>
  <si>
    <t>18131IN-S-7</t>
  </si>
  <si>
    <t>18140-CP</t>
  </si>
  <si>
    <t>18144K-B-CP</t>
  </si>
  <si>
    <t>18152IN-0</t>
  </si>
  <si>
    <t>18153IN-0</t>
  </si>
  <si>
    <t>18153T-00</t>
  </si>
  <si>
    <t>18154W-00</t>
  </si>
  <si>
    <t>18161IN-ND-CP</t>
  </si>
  <si>
    <t>18353T-0</t>
  </si>
  <si>
    <t>18355T-RGD</t>
  </si>
  <si>
    <t>18358T-CL-CP</t>
  </si>
  <si>
    <t>18358T-CL-RGD</t>
  </si>
  <si>
    <t>18358T-RGD</t>
  </si>
  <si>
    <t>18359IN-CL-AF</t>
  </si>
  <si>
    <t>18359T-CL-2MB</t>
  </si>
  <si>
    <t>18359T-CL-BN</t>
  </si>
  <si>
    <t>18361IN-CL-AF</t>
  </si>
  <si>
    <t>18361IN-CL-BN</t>
  </si>
  <si>
    <t>18361IN-CL-RGD</t>
  </si>
  <si>
    <t>18361T-CL-2MB</t>
  </si>
  <si>
    <t>18361T-CL-CP</t>
  </si>
  <si>
    <t>18361T-L-PGD</t>
  </si>
  <si>
    <t>18396T-S</t>
  </si>
  <si>
    <t>18401T-1P</t>
  </si>
  <si>
    <t>18416T-NA</t>
  </si>
  <si>
    <t>18433IN-CP</t>
  </si>
  <si>
    <t>18436T-CP</t>
  </si>
  <si>
    <t>18464IN-CP</t>
  </si>
  <si>
    <t>18470IN-4FP-AF</t>
  </si>
  <si>
    <t>18470IN-4FP-CP</t>
  </si>
  <si>
    <t>18471IN-4-CP</t>
  </si>
  <si>
    <t>18471IN-4FP-BN</t>
  </si>
  <si>
    <t>18471T-4-AF</t>
  </si>
  <si>
    <t>1855IN-2-0</t>
  </si>
  <si>
    <t>18645IN-SS-0</t>
  </si>
  <si>
    <t>18647IN-NA</t>
  </si>
  <si>
    <t>18647SA-NA</t>
  </si>
  <si>
    <t>18655IN-ND-CP</t>
  </si>
  <si>
    <t>18656IN-NDR-CP</t>
  </si>
  <si>
    <t>18749IN-W03C-0</t>
  </si>
  <si>
    <t>18775T-0</t>
  </si>
  <si>
    <t>18776T-0</t>
  </si>
  <si>
    <t>18777IN-K-0</t>
  </si>
  <si>
    <t>18810K-WK</t>
  </si>
  <si>
    <t>18842D-00</t>
  </si>
  <si>
    <t>18866T-B-CP</t>
  </si>
  <si>
    <t>18871IN-ZZ-CP</t>
  </si>
  <si>
    <t>18876K-CP</t>
  </si>
  <si>
    <t>18922T-1P</t>
  </si>
  <si>
    <t>18922T-58</t>
  </si>
  <si>
    <t>1893-C-CP</t>
  </si>
  <si>
    <t>1895-C-CP</t>
  </si>
  <si>
    <t>1896T-S</t>
  </si>
  <si>
    <t>19038W-00</t>
  </si>
  <si>
    <t>19039W-00</t>
  </si>
  <si>
    <t>19044W-00</t>
  </si>
  <si>
    <t>19045IN-2-7</t>
  </si>
  <si>
    <t>19045IN-SS-0</t>
  </si>
  <si>
    <t>19045IN-SS-RGD</t>
  </si>
  <si>
    <t>19080IN-0</t>
  </si>
  <si>
    <t>19080IN-2-7</t>
  </si>
  <si>
    <t>193-4-PB</t>
  </si>
  <si>
    <t>19461IN-2-0</t>
  </si>
  <si>
    <t>19480IN-BN</t>
  </si>
  <si>
    <t>19480IN-CP</t>
  </si>
  <si>
    <t>19774IN-ND-CP</t>
  </si>
  <si>
    <t>19957IN-2-0</t>
  </si>
  <si>
    <t>19957T-0</t>
  </si>
  <si>
    <t>19990T-2-0</t>
  </si>
  <si>
    <t>20070IN-4-CP</t>
  </si>
  <si>
    <t>20071IN-4-CP</t>
  </si>
  <si>
    <t>20075IN-4-CP</t>
  </si>
  <si>
    <t>20077IN-AF</t>
  </si>
  <si>
    <t>20077IN-BL</t>
  </si>
  <si>
    <t>20077IN-CP</t>
  </si>
  <si>
    <t>20084IN-M-NA</t>
  </si>
  <si>
    <t>20084IN-M-NP</t>
  </si>
  <si>
    <t>20085IN-M-NP</t>
  </si>
  <si>
    <t>20137IN-CP</t>
  </si>
  <si>
    <t>20138IN-CP</t>
  </si>
  <si>
    <t>20192IN-SS-0</t>
  </si>
  <si>
    <t>20192IN-UF-7</t>
  </si>
  <si>
    <t>20217IN-S-0</t>
  </si>
  <si>
    <t>20217IN-S-7</t>
  </si>
  <si>
    <t>20218IN-0</t>
  </si>
  <si>
    <t>20218IN-7</t>
  </si>
  <si>
    <t>20218IN-K4</t>
  </si>
  <si>
    <t>20219IN-UF-0</t>
  </si>
  <si>
    <t>20219IN-UF-7</t>
  </si>
  <si>
    <t>20249T-0</t>
  </si>
  <si>
    <t>20274IN-0</t>
  </si>
  <si>
    <t>20345-CP</t>
  </si>
  <si>
    <t>20429-CP</t>
  </si>
  <si>
    <t>20526IN-0</t>
  </si>
  <si>
    <t>20585IN-4-CP</t>
  </si>
  <si>
    <t>20587IN-4-CP</t>
  </si>
  <si>
    <t>20588IN-4-CP</t>
  </si>
  <si>
    <t>20589IN-4-CP</t>
  </si>
  <si>
    <t>20590IN-4-CP</t>
  </si>
  <si>
    <t>20591IN-4-CP</t>
  </si>
  <si>
    <t>20592IN-4-CP</t>
  </si>
  <si>
    <t>20593IN-4-CP</t>
  </si>
  <si>
    <t>20608T-CP</t>
  </si>
  <si>
    <t>20627IN-K-0</t>
  </si>
  <si>
    <t>20701-0</t>
  </si>
  <si>
    <t>20702-0</t>
  </si>
  <si>
    <t>20703-0</t>
  </si>
  <si>
    <t>20704-0</t>
  </si>
  <si>
    <t>20705-0</t>
  </si>
  <si>
    <t>20713IN-ER-0</t>
  </si>
  <si>
    <t>20713IN-ER-7</t>
  </si>
  <si>
    <t>20740IN-A-NA</t>
  </si>
  <si>
    <t>20741IN-9FP-BN</t>
  </si>
  <si>
    <t>20741IN-9FP-BRD</t>
  </si>
  <si>
    <t>20742IN-9FP-AF</t>
  </si>
  <si>
    <t>20742IN-9FP-BL</t>
  </si>
  <si>
    <t>20742IN-9FP-BRD</t>
  </si>
  <si>
    <t>20742IN-9FP-BV</t>
  </si>
  <si>
    <t>20742IN-9FP-CP</t>
  </si>
  <si>
    <t>20742IN-9FP-RGD</t>
  </si>
  <si>
    <t>20746IN-AF</t>
  </si>
  <si>
    <t>20746IN-CP</t>
  </si>
  <si>
    <t>20746IN-RGD</t>
  </si>
  <si>
    <t>20922X-BS</t>
  </si>
  <si>
    <t>21060IN-0</t>
  </si>
  <si>
    <t>21060IN-HB1</t>
  </si>
  <si>
    <t>21096T-0</t>
  </si>
  <si>
    <t>210IN-ND-CP</t>
  </si>
  <si>
    <t>21128IN-0</t>
  </si>
  <si>
    <t>21128IN-HB1</t>
  </si>
  <si>
    <t>21226IN-HB1</t>
  </si>
  <si>
    <t>21226IN-HG1</t>
  </si>
  <si>
    <t>21226IN-HL1</t>
  </si>
  <si>
    <t>21226IN-HP1</t>
  </si>
  <si>
    <t>21226IN-SS-0</t>
  </si>
  <si>
    <t>21226IN-WAF-0</t>
  </si>
  <si>
    <t>21226IN-WRGD-0</t>
  </si>
  <si>
    <t>21229IN-NA</t>
  </si>
  <si>
    <t>21230IN-NA</t>
  </si>
  <si>
    <t>21231IN-NA</t>
  </si>
  <si>
    <t>21232IN-NA</t>
  </si>
  <si>
    <t>21233IN-NA</t>
  </si>
  <si>
    <t>21234IN-NA</t>
  </si>
  <si>
    <t>21235IN-NA</t>
  </si>
  <si>
    <t>21236IN-NA</t>
  </si>
  <si>
    <t>21237IN-NA</t>
  </si>
  <si>
    <t>21318-AF</t>
  </si>
  <si>
    <t>21318-CP</t>
  </si>
  <si>
    <t>21335IN-AF</t>
  </si>
  <si>
    <t>21335IN-CP</t>
  </si>
  <si>
    <t>21335T-RGD</t>
  </si>
  <si>
    <t>21336IN-CP</t>
  </si>
  <si>
    <t>21336T-AF</t>
  </si>
  <si>
    <t>21336T-RGD</t>
  </si>
  <si>
    <t>21336-TT</t>
  </si>
  <si>
    <t>21388T-AE3-0</t>
  </si>
  <si>
    <t>21388T-AE4-0</t>
  </si>
  <si>
    <t>21702IN-NA</t>
  </si>
  <si>
    <t>21748IN-HB1</t>
  </si>
  <si>
    <t>21748IN-SS-0</t>
  </si>
  <si>
    <t>2176T-1-0</t>
  </si>
  <si>
    <t>21839T-2ER-0</t>
  </si>
  <si>
    <t>2189-8-0</t>
  </si>
  <si>
    <t>21936T-0</t>
  </si>
  <si>
    <t>21969IN-4ND-BRD</t>
  </si>
  <si>
    <t>21969IN-4ND-BV</t>
  </si>
  <si>
    <t>21969IN-4ND-RGD</t>
  </si>
  <si>
    <t>21970IN-4ND-BRD</t>
  </si>
  <si>
    <t>21970IN-4ND-BV</t>
  </si>
  <si>
    <t>21970IN-4ND-RGD</t>
  </si>
  <si>
    <t>2200IN-0</t>
  </si>
  <si>
    <t>2200IN-7</t>
  </si>
  <si>
    <t>2200IN-DGS</t>
  </si>
  <si>
    <t>2200IN-G-K4</t>
  </si>
  <si>
    <t>2200IN-K4</t>
  </si>
  <si>
    <t>2210IN-0</t>
  </si>
  <si>
    <t>2211IN-0</t>
  </si>
  <si>
    <t>22142IN-CP</t>
  </si>
  <si>
    <t>22144IN-CP</t>
  </si>
  <si>
    <t>22145IN-CP</t>
  </si>
  <si>
    <t>22147IN-CP</t>
  </si>
  <si>
    <t>22148IN-CP</t>
  </si>
  <si>
    <t>22149IN-CP</t>
  </si>
  <si>
    <t>2214IN-0</t>
  </si>
  <si>
    <t>2215IN-0</t>
  </si>
  <si>
    <t>2215IN-2-0</t>
  </si>
  <si>
    <t>2215IN-2-7</t>
  </si>
  <si>
    <t>22163-2BZ</t>
  </si>
  <si>
    <t>22163-BN</t>
  </si>
  <si>
    <t>22166-BV</t>
  </si>
  <si>
    <t>22166-CP</t>
  </si>
  <si>
    <t>22166-G-BL</t>
  </si>
  <si>
    <t>22308IN-CP</t>
  </si>
  <si>
    <t>22308T-CP</t>
  </si>
  <si>
    <t>22310IN-CP</t>
  </si>
  <si>
    <t>22352-SP</t>
  </si>
  <si>
    <t>2238T-1-0</t>
  </si>
  <si>
    <t>2239T-1-0</t>
  </si>
  <si>
    <t>2240-0</t>
  </si>
  <si>
    <t>2241IN-1-0</t>
  </si>
  <si>
    <t>22446IN-BL</t>
  </si>
  <si>
    <t>22447IN-BL</t>
  </si>
  <si>
    <t>22448IN-BL</t>
  </si>
  <si>
    <t>22534IN-4AND-AF</t>
  </si>
  <si>
    <t>22534IN-4AND-CP</t>
  </si>
  <si>
    <t>22534IN-4ND-AF</t>
  </si>
  <si>
    <t>22534IN-4ND-BN</t>
  </si>
  <si>
    <t>22534IN-4ND-CP</t>
  </si>
  <si>
    <t>22535IN-4AND-AF</t>
  </si>
  <si>
    <t>22535IN-4AND-CP</t>
  </si>
  <si>
    <t>22535IN-4ND-AF</t>
  </si>
  <si>
    <t>22535IN-4ND-BN</t>
  </si>
  <si>
    <t>22535IN-4ND-CP</t>
  </si>
  <si>
    <t>22538IN-4A-AF</t>
  </si>
  <si>
    <t>22538IN-4A-CP</t>
  </si>
  <si>
    <t>22538IN-4-AF</t>
  </si>
  <si>
    <t>22538IN-4-CP</t>
  </si>
  <si>
    <t>22539IN-4A-AF</t>
  </si>
  <si>
    <t>22539IN-4A-CP</t>
  </si>
  <si>
    <t>22539IN-4-AF</t>
  </si>
  <si>
    <t>22539IN-4-CP</t>
  </si>
  <si>
    <t>22540IN-4AND-AF</t>
  </si>
  <si>
    <t>22540IN-4AND-CP</t>
  </si>
  <si>
    <t>22540IN-4ND-AF</t>
  </si>
  <si>
    <t>22540IN-4ND-CP</t>
  </si>
  <si>
    <t>22541IN-4FP-AF</t>
  </si>
  <si>
    <t>22541IN-4FP-BN</t>
  </si>
  <si>
    <t>22541IN-4FP-CP</t>
  </si>
  <si>
    <t>22541IN-4FS-AF</t>
  </si>
  <si>
    <t>22542IN-4FP-CP</t>
  </si>
  <si>
    <t>22543IN-AF</t>
  </si>
  <si>
    <t>22543IN-CP</t>
  </si>
  <si>
    <t>22543IN-N-AF</t>
  </si>
  <si>
    <t>22543IN-N-CP</t>
  </si>
  <si>
    <t>22544IN-AF</t>
  </si>
  <si>
    <t>22544IN-CP</t>
  </si>
  <si>
    <t>22544IN-N-AF</t>
  </si>
  <si>
    <t>22544IN-N-CP</t>
  </si>
  <si>
    <t>22562IN-UF-0</t>
  </si>
  <si>
    <t>22644-CP</t>
  </si>
  <si>
    <t>22645IN-AF</t>
  </si>
  <si>
    <t>22645IN-CP</t>
  </si>
  <si>
    <t>22756K-0</t>
  </si>
  <si>
    <t>22758K-0</t>
  </si>
  <si>
    <t>22785IN-4-RGD</t>
  </si>
  <si>
    <t>22786IN-4-BRD</t>
  </si>
  <si>
    <t>22786IN-4-BV</t>
  </si>
  <si>
    <t>22786IN-4-RGD</t>
  </si>
  <si>
    <t>22787IN-4-RGD</t>
  </si>
  <si>
    <t>22788IN-4-RGD</t>
  </si>
  <si>
    <t>22789IN-4-RGD</t>
  </si>
  <si>
    <t>22790IN-4-RGD</t>
  </si>
  <si>
    <t>22791IN-4-BV</t>
  </si>
  <si>
    <t>22791IN-4-RGD</t>
  </si>
  <si>
    <t>22792IN-4FP-BRD</t>
  </si>
  <si>
    <t>22792IN-4FP-BV</t>
  </si>
  <si>
    <t>22843IN-0</t>
  </si>
  <si>
    <t>22844IN-0</t>
  </si>
  <si>
    <t>22860IN-0</t>
  </si>
  <si>
    <t>22860IN-2-0</t>
  </si>
  <si>
    <t>22860IN-2-7</t>
  </si>
  <si>
    <t>22911-AF</t>
  </si>
  <si>
    <t>22911-CP</t>
  </si>
  <si>
    <t>22928IN-NA</t>
  </si>
  <si>
    <t>22929IN-NA</t>
  </si>
  <si>
    <t>22930IN-NA</t>
  </si>
  <si>
    <t>22931IN-NA</t>
  </si>
  <si>
    <t>22932IN-NA</t>
  </si>
  <si>
    <t>2295-1-0</t>
  </si>
  <si>
    <t>23003IN-00</t>
  </si>
  <si>
    <t>23004IN-00</t>
  </si>
  <si>
    <t>23056T-CP</t>
  </si>
  <si>
    <t>23106IN-NA</t>
  </si>
  <si>
    <t>2314-4-K4</t>
  </si>
  <si>
    <t>23152IN-CP</t>
  </si>
  <si>
    <t>23262IN-NA</t>
  </si>
  <si>
    <t>23264IN-NA</t>
  </si>
  <si>
    <t>23265IN-NA</t>
  </si>
  <si>
    <t>23266IN-NA</t>
  </si>
  <si>
    <t>23268IN-NA</t>
  </si>
  <si>
    <t>2335-WH</t>
  </si>
  <si>
    <t>23372T-4-CP</t>
  </si>
  <si>
    <t>23373T-4-CP</t>
  </si>
  <si>
    <t>2339T-0</t>
  </si>
  <si>
    <t>23472IN-4ND-AF</t>
  </si>
  <si>
    <t>23472IN-4ND-BL</t>
  </si>
  <si>
    <t>23472IN-4ND-BN</t>
  </si>
  <si>
    <t>23472IN-4ND-BRD</t>
  </si>
  <si>
    <t>23472IN-4ND-BV</t>
  </si>
  <si>
    <t>23472IN-4ND-CP</t>
  </si>
  <si>
    <t>23472IN-4ND-RGD</t>
  </si>
  <si>
    <t>23472T-4-BL</t>
  </si>
  <si>
    <t>23472T-4-RGD</t>
  </si>
  <si>
    <t>23475IN-4ND-AF</t>
  </si>
  <si>
    <t>23475IN-4ND-BL</t>
  </si>
  <si>
    <t>23475IN-4ND-BN</t>
  </si>
  <si>
    <t>23475IN-4ND-BRD</t>
  </si>
  <si>
    <t>23475IN-4ND-BV</t>
  </si>
  <si>
    <t>23475IN-4ND-CP</t>
  </si>
  <si>
    <t>23475IN-4ND-RGD</t>
  </si>
  <si>
    <t>23475ME-4ND-AF</t>
  </si>
  <si>
    <t>23475ME-4ND-CP</t>
  </si>
  <si>
    <t>23482IN-4-CP</t>
  </si>
  <si>
    <t>23483IN-4-CP</t>
  </si>
  <si>
    <t>23485T-4-BL</t>
  </si>
  <si>
    <t>23485T-4-RGD</t>
  </si>
  <si>
    <t>23486IN-4ND-AF</t>
  </si>
  <si>
    <t>23486IN-4ND-BL</t>
  </si>
  <si>
    <t>23486IN-4ND-CP</t>
  </si>
  <si>
    <t>23495IN-4-CP</t>
  </si>
  <si>
    <t>23496IN-4-CP</t>
  </si>
  <si>
    <t>23496IN-4SL-AF</t>
  </si>
  <si>
    <t>23496IN-4SL-BRD</t>
  </si>
  <si>
    <t>23496IN-4SL-BV</t>
  </si>
  <si>
    <t>23496IN-4SL-RGD</t>
  </si>
  <si>
    <t>23496T-ZZ-2BL</t>
  </si>
  <si>
    <t>23497IN-4-AF</t>
  </si>
  <si>
    <t>23497IN-4-CP</t>
  </si>
  <si>
    <t>23497IN-4-RGD</t>
  </si>
  <si>
    <t>2349IN-FDL-96</t>
  </si>
  <si>
    <t>23511IN-AF</t>
  </si>
  <si>
    <t>23511IN-BL</t>
  </si>
  <si>
    <t>23511IN-BRD</t>
  </si>
  <si>
    <t>23511IN-BV</t>
  </si>
  <si>
    <t>23511IN-CP</t>
  </si>
  <si>
    <t>23511IN-RGD</t>
  </si>
  <si>
    <t>23512IN-AF</t>
  </si>
  <si>
    <t>23512IN-BL</t>
  </si>
  <si>
    <t>23512IN-BN</t>
  </si>
  <si>
    <t>23512IN-BRD</t>
  </si>
  <si>
    <t>23512IN-BV</t>
  </si>
  <si>
    <t>23512IN-CP</t>
  </si>
  <si>
    <t>23512IN-RGD</t>
  </si>
  <si>
    <t>23515IN-4-AF</t>
  </si>
  <si>
    <t>23515IN-4-CP</t>
  </si>
  <si>
    <t>23515IN-4-RGD</t>
  </si>
  <si>
    <t>2352-TH</t>
  </si>
  <si>
    <t>2361-B11</t>
  </si>
  <si>
    <t>23657IN-CP</t>
  </si>
  <si>
    <t>23658IN-CP</t>
  </si>
  <si>
    <t>2369-CG-B11</t>
  </si>
  <si>
    <t>23729-NA</t>
  </si>
  <si>
    <t>23730-NA</t>
  </si>
  <si>
    <t>2373-B11</t>
  </si>
  <si>
    <t>2373-TG1</t>
  </si>
  <si>
    <t>2373-TG6</t>
  </si>
  <si>
    <t>2373-TG7</t>
  </si>
  <si>
    <t>23780IN-CP</t>
  </si>
  <si>
    <t>23849IN-0</t>
  </si>
  <si>
    <t>23849IN-NA</t>
  </si>
  <si>
    <t>23850IN-0</t>
  </si>
  <si>
    <t>23851IN-0</t>
  </si>
  <si>
    <t>23852IN-NA</t>
  </si>
  <si>
    <t>23854IN-0</t>
  </si>
  <si>
    <t>23861T-9-BL</t>
  </si>
  <si>
    <t>23861T-9-CP</t>
  </si>
  <si>
    <t>23887T-CP</t>
  </si>
  <si>
    <t>2393-WH</t>
  </si>
  <si>
    <t>23966IN-4ND-AF</t>
  </si>
  <si>
    <t>23966IN-4ND-BL</t>
  </si>
  <si>
    <t>23966IN-4ND-CP</t>
  </si>
  <si>
    <t>23966IN-4ND-RGD</t>
  </si>
  <si>
    <t>23967IN-4ND-AF</t>
  </si>
  <si>
    <t>23967IN-4ND-BL</t>
  </si>
  <si>
    <t>23967IN-4ND-CP</t>
  </si>
  <si>
    <t>23967IN-4ND-RGD</t>
  </si>
  <si>
    <t>23968IN-4-AF</t>
  </si>
  <si>
    <t>23968IN-4-CP</t>
  </si>
  <si>
    <t>23971IN-4FP-CP</t>
  </si>
  <si>
    <t>23971IN-4FS-AF</t>
  </si>
  <si>
    <t>23971IN-4SL-RGD</t>
  </si>
  <si>
    <t>23973IN-AA-AF</t>
  </si>
  <si>
    <t>23973IN-AA-BL</t>
  </si>
  <si>
    <t>23973IN-AA-CP</t>
  </si>
  <si>
    <t>23973IN-AA-RGD</t>
  </si>
  <si>
    <t>23973IN-AF</t>
  </si>
  <si>
    <t>23973IN-CP</t>
  </si>
  <si>
    <t>23974IN-AA-AF</t>
  </si>
  <si>
    <t>23974IN-AA-BL</t>
  </si>
  <si>
    <t>23974IN-AA-CP</t>
  </si>
  <si>
    <t>23974IN-AA-RGD</t>
  </si>
  <si>
    <t>23975IN-4ND-AF</t>
  </si>
  <si>
    <t>23975IN-4ND-BL</t>
  </si>
  <si>
    <t>23975IN-4ND-CP</t>
  </si>
  <si>
    <t>23975IN-4ND-RGD</t>
  </si>
  <si>
    <t>24146IN-7</t>
  </si>
  <si>
    <t>24149IN-F-BN</t>
  </si>
  <si>
    <t>24149IN-F-BV</t>
  </si>
  <si>
    <t>24151IN-F-BN</t>
  </si>
  <si>
    <t>24151IN-F-BV</t>
  </si>
  <si>
    <t>24199IN-C01-CP</t>
  </si>
  <si>
    <t>24199IN-C03-CP</t>
  </si>
  <si>
    <t>24270IN-ND-CP</t>
  </si>
  <si>
    <t>24280IN-4ND-BRD</t>
  </si>
  <si>
    <t>24280IN-4ND-BV</t>
  </si>
  <si>
    <t>24280IN-4ND-RGD</t>
  </si>
  <si>
    <t>24386-JE-0</t>
  </si>
  <si>
    <t>24431IN-9FP-AF</t>
  </si>
  <si>
    <t>24431IN-9FP-BRD</t>
  </si>
  <si>
    <t>24431IN-9FP-BV</t>
  </si>
  <si>
    <t>24431IN-9FP-CP</t>
  </si>
  <si>
    <t>24431IN-9FP-RGD</t>
  </si>
  <si>
    <t>24470IN-AF</t>
  </si>
  <si>
    <t>24470IN-BL</t>
  </si>
  <si>
    <t>24470IN-BV</t>
  </si>
  <si>
    <t>24470IN-CP</t>
  </si>
  <si>
    <t>24470IN-RGD</t>
  </si>
  <si>
    <t>2447IN-FDL-96</t>
  </si>
  <si>
    <t>24555IN-P-AF</t>
  </si>
  <si>
    <t>24555IN-P-CP</t>
  </si>
  <si>
    <t>24558IN-0</t>
  </si>
  <si>
    <t>24560IN-0</t>
  </si>
  <si>
    <t>24563IN-0</t>
  </si>
  <si>
    <t>2460-F10</t>
  </si>
  <si>
    <t>24613IN-CP</t>
  </si>
  <si>
    <t>24673IN-S-0</t>
  </si>
  <si>
    <t>24678IN-NA</t>
  </si>
  <si>
    <t>24679IN-NA</t>
  </si>
  <si>
    <t>24717IN-AF</t>
  </si>
  <si>
    <t>24717IN-BRD</t>
  </si>
  <si>
    <t>24717IN-BV</t>
  </si>
  <si>
    <t>24717IN-CP</t>
  </si>
  <si>
    <t>24717IN-RGD</t>
  </si>
  <si>
    <t>24717T-BL</t>
  </si>
  <si>
    <t>24740IN-0</t>
  </si>
  <si>
    <t>24740IN-7</t>
  </si>
  <si>
    <t>24740IN-K4</t>
  </si>
  <si>
    <t>2479T-0</t>
  </si>
  <si>
    <t>24844IN-4ND-CP</t>
  </si>
  <si>
    <t>24844ME-4ND-CP</t>
  </si>
  <si>
    <t>24845IN-4ND-CP</t>
  </si>
  <si>
    <t>24848IN-4FP-CP</t>
  </si>
  <si>
    <t>24916-NA</t>
  </si>
  <si>
    <t>2497-F39</t>
  </si>
  <si>
    <t>25001111IN-0</t>
  </si>
  <si>
    <t>25001112IN-0</t>
  </si>
  <si>
    <t>25001113IN-0</t>
  </si>
  <si>
    <t>25001114IN-0</t>
  </si>
  <si>
    <t>25065IN-CP</t>
  </si>
  <si>
    <t>25066IN-CP</t>
  </si>
  <si>
    <t>25067IN-CP</t>
  </si>
  <si>
    <t>25068IN-CP</t>
  </si>
  <si>
    <t>25069IN-CP</t>
  </si>
  <si>
    <t>25070IN-CP</t>
  </si>
  <si>
    <t>25071IN-CP</t>
  </si>
  <si>
    <t>25072IN-CP</t>
  </si>
  <si>
    <t>25073IN-CP</t>
  </si>
  <si>
    <t>25074IN-CP</t>
  </si>
  <si>
    <t>25107T-4-CP</t>
  </si>
  <si>
    <t>25149IN-NA</t>
  </si>
  <si>
    <t>25150IN-NA</t>
  </si>
  <si>
    <t>25164T-0</t>
  </si>
  <si>
    <t>25165T-0</t>
  </si>
  <si>
    <t>25316IN-0</t>
  </si>
  <si>
    <t>25317IN-0</t>
  </si>
  <si>
    <t>25318IN-0</t>
  </si>
  <si>
    <t>25346IN-AF</t>
  </si>
  <si>
    <t>25346IN-BL</t>
  </si>
  <si>
    <t>25346IN-BRD</t>
  </si>
  <si>
    <t>25346IN-BV</t>
  </si>
  <si>
    <t>25346IN-RGD</t>
  </si>
  <si>
    <t>25347IN-AF</t>
  </si>
  <si>
    <t>25347IN-BL</t>
  </si>
  <si>
    <t>25347IN-BN</t>
  </si>
  <si>
    <t>25347IN-BRD</t>
  </si>
  <si>
    <t>25347IN-BV</t>
  </si>
  <si>
    <t>25347IN-RGD</t>
  </si>
  <si>
    <t>25348IN-AF</t>
  </si>
  <si>
    <t>25348IN-BL</t>
  </si>
  <si>
    <t>25348IN-BN</t>
  </si>
  <si>
    <t>25348IN-BRD</t>
  </si>
  <si>
    <t>25348IN-BV</t>
  </si>
  <si>
    <t>25348IN-RGD</t>
  </si>
  <si>
    <t>25349IN-AF</t>
  </si>
  <si>
    <t>25349IN-BL</t>
  </si>
  <si>
    <t>25349IN-BN</t>
  </si>
  <si>
    <t>25349IN-BRD</t>
  </si>
  <si>
    <t>25349IN-BV</t>
  </si>
  <si>
    <t>25349IN-RGD</t>
  </si>
  <si>
    <t>25350IN-BL</t>
  </si>
  <si>
    <t>25372IN-0</t>
  </si>
  <si>
    <t>25423IN-CP</t>
  </si>
  <si>
    <t>25428IN-AF</t>
  </si>
  <si>
    <t>25428IN-BL</t>
  </si>
  <si>
    <t>25428IN-BRD</t>
  </si>
  <si>
    <t>25428IN-BV</t>
  </si>
  <si>
    <t>25428IN-RGD</t>
  </si>
  <si>
    <t>25429IN-AF</t>
  </si>
  <si>
    <t>25429IN-BL</t>
  </si>
  <si>
    <t>25429IN-BN</t>
  </si>
  <si>
    <t>25429IN-BRD</t>
  </si>
  <si>
    <t>25429IN-BV</t>
  </si>
  <si>
    <t>25429IN-RGD</t>
  </si>
  <si>
    <t>25430IN-AF</t>
  </si>
  <si>
    <t>25430IN-BL</t>
  </si>
  <si>
    <t>25430IN-BN</t>
  </si>
  <si>
    <t>25430IN-BRD</t>
  </si>
  <si>
    <t>25430IN-BV</t>
  </si>
  <si>
    <t>25430IN-RGD</t>
  </si>
  <si>
    <t>25631T-0</t>
  </si>
  <si>
    <t>25757IN-4ND-AF</t>
  </si>
  <si>
    <t>25757IN-4ND-BL</t>
  </si>
  <si>
    <t>25757IN-4ND-CP</t>
  </si>
  <si>
    <t>25757IN-4ND-RGD</t>
  </si>
  <si>
    <t>25758IN-4ND-AF</t>
  </si>
  <si>
    <t>25758IN-4ND-BL</t>
  </si>
  <si>
    <t>25758IN-4ND-CP</t>
  </si>
  <si>
    <t>25758IN-4ND-RGD</t>
  </si>
  <si>
    <t>25758IN-ECH-RGD</t>
  </si>
  <si>
    <t>25759IN-4ND-AF</t>
  </si>
  <si>
    <t>25759IN-4ND-BL</t>
  </si>
  <si>
    <t>25759IN-4ND-CP</t>
  </si>
  <si>
    <t>25761IN-9-AF</t>
  </si>
  <si>
    <t>25761IN-9-BL</t>
  </si>
  <si>
    <t>25761IN-9-CP</t>
  </si>
  <si>
    <t>25761IN-9-RGD</t>
  </si>
  <si>
    <t>25764IN-AF</t>
  </si>
  <si>
    <t>25764IN-BL</t>
  </si>
  <si>
    <t>25764IN-CP</t>
  </si>
  <si>
    <t>25764IN-RGD</t>
  </si>
  <si>
    <t>25765IN-AF</t>
  </si>
  <si>
    <t>25765IN-BL</t>
  </si>
  <si>
    <t>25765IN-CP</t>
  </si>
  <si>
    <t>25765IN-RGD</t>
  </si>
  <si>
    <t>25784IN-CM1</t>
  </si>
  <si>
    <t>25872IN-0</t>
  </si>
  <si>
    <t>25873IN-0</t>
  </si>
  <si>
    <t>25874IN-0</t>
  </si>
  <si>
    <t>25960IN-CP</t>
  </si>
  <si>
    <t>25961IN-AF</t>
  </si>
  <si>
    <t>25998T-BN</t>
  </si>
  <si>
    <t>26049IN-NA</t>
  </si>
  <si>
    <t>26050IN-BGL</t>
  </si>
  <si>
    <t>26050IN-BLL</t>
  </si>
  <si>
    <t>26050IN-CPL</t>
  </si>
  <si>
    <t>26051IN-BGL</t>
  </si>
  <si>
    <t>26051IN-BLL</t>
  </si>
  <si>
    <t>26051IN-CPL</t>
  </si>
  <si>
    <t>26052IN-BGL</t>
  </si>
  <si>
    <t>26052IN-BLL</t>
  </si>
  <si>
    <t>26052IN-CPL</t>
  </si>
  <si>
    <t>26236IN-CP</t>
  </si>
  <si>
    <t>26249IN-0</t>
  </si>
  <si>
    <t>26269IN-0</t>
  </si>
  <si>
    <t>26270IN-0</t>
  </si>
  <si>
    <t>26284IN-BL</t>
  </si>
  <si>
    <t>26284IN-BV</t>
  </si>
  <si>
    <t>26284T-2MB</t>
  </si>
  <si>
    <t>26286IN-G-AF</t>
  </si>
  <si>
    <t>26286IN-G-BL</t>
  </si>
  <si>
    <t>26286IN-G-BRD</t>
  </si>
  <si>
    <t>26286IN-G-BV</t>
  </si>
  <si>
    <t>26286IN-G-CP</t>
  </si>
  <si>
    <t>26286IN-G-RGD</t>
  </si>
  <si>
    <t>26290IN-AF</t>
  </si>
  <si>
    <t>26290IN-BL</t>
  </si>
  <si>
    <t>26290IN-BRD</t>
  </si>
  <si>
    <t>26290IN-BV</t>
  </si>
  <si>
    <t>26290IN-CP</t>
  </si>
  <si>
    <t>26290IN-RGD</t>
  </si>
  <si>
    <t>26290T-2MB</t>
  </si>
  <si>
    <t>26292T-CP</t>
  </si>
  <si>
    <t>26292T-RGD</t>
  </si>
  <si>
    <t>26294IN-AF</t>
  </si>
  <si>
    <t>26294IN-BL</t>
  </si>
  <si>
    <t>26294IN-BRD</t>
  </si>
  <si>
    <t>26294IN-BV</t>
  </si>
  <si>
    <t>26294IN-CP</t>
  </si>
  <si>
    <t>26294IN-RGD</t>
  </si>
  <si>
    <t>26294T-2MB</t>
  </si>
  <si>
    <t>26295T-2MB</t>
  </si>
  <si>
    <t>26296IN-AF</t>
  </si>
  <si>
    <t>26296IN-BL</t>
  </si>
  <si>
    <t>26296IN-BRD</t>
  </si>
  <si>
    <t>26296IN-BV</t>
  </si>
  <si>
    <t>26296IN-CP</t>
  </si>
  <si>
    <t>26296IN-RGD</t>
  </si>
  <si>
    <t>26296T-2MB</t>
  </si>
  <si>
    <t>26297IN-AF</t>
  </si>
  <si>
    <t>26297IN-BL</t>
  </si>
  <si>
    <t>26297IN-BRD</t>
  </si>
  <si>
    <t>26297IN-BV</t>
  </si>
  <si>
    <t>26297IN-CP</t>
  </si>
  <si>
    <t>26297IN-RGD</t>
  </si>
  <si>
    <t>26299IN-AF</t>
  </si>
  <si>
    <t>26299IN-BL</t>
  </si>
  <si>
    <t>26299IN-BRD</t>
  </si>
  <si>
    <t>26299IN-BV</t>
  </si>
  <si>
    <t>26299IN-CP</t>
  </si>
  <si>
    <t>26299IN-RGD</t>
  </si>
  <si>
    <t>26299T-2MB</t>
  </si>
  <si>
    <t>26300IN-AF</t>
  </si>
  <si>
    <t>26300IN-BL</t>
  </si>
  <si>
    <t>26300IN-BRD</t>
  </si>
  <si>
    <t>26300IN-BV</t>
  </si>
  <si>
    <t>26300IN-CP</t>
  </si>
  <si>
    <t>26300IN-RGD</t>
  </si>
  <si>
    <t>26300T-2MB</t>
  </si>
  <si>
    <t>26303T-2MB</t>
  </si>
  <si>
    <t>26303T-AF</t>
  </si>
  <si>
    <t>26303T-BL</t>
  </si>
  <si>
    <t>26303T-CP</t>
  </si>
  <si>
    <t>26303T-RGD</t>
  </si>
  <si>
    <t>26307T-2MB</t>
  </si>
  <si>
    <t>26310T-2MB</t>
  </si>
  <si>
    <t>26314T-2MB</t>
  </si>
  <si>
    <t>26318-2MB</t>
  </si>
  <si>
    <t>26318IN-BL</t>
  </si>
  <si>
    <t>26318IN-BRD</t>
  </si>
  <si>
    <t>26318IN-BV</t>
  </si>
  <si>
    <t>26318IN-RGD</t>
  </si>
  <si>
    <t>26320T-2MB</t>
  </si>
  <si>
    <t>26324IN-AF</t>
  </si>
  <si>
    <t>26324IN-BL</t>
  </si>
  <si>
    <t>26324IN-BRD</t>
  </si>
  <si>
    <t>26324IN-BV</t>
  </si>
  <si>
    <t>26324IN-CP</t>
  </si>
  <si>
    <t>26324IN-RGD</t>
  </si>
  <si>
    <t>26324T-2MB</t>
  </si>
  <si>
    <t>26326IN-BRD</t>
  </si>
  <si>
    <t>26326T-2MB</t>
  </si>
  <si>
    <t>26326T-AF</t>
  </si>
  <si>
    <t>26326T-BL</t>
  </si>
  <si>
    <t>26326T-CP</t>
  </si>
  <si>
    <t>26326T-RGD</t>
  </si>
  <si>
    <t>26334IN-9-CP</t>
  </si>
  <si>
    <t>26341IN-NA</t>
  </si>
  <si>
    <t>26342IN-NA</t>
  </si>
  <si>
    <t>26343T-NA</t>
  </si>
  <si>
    <t>26344IN-NA</t>
  </si>
  <si>
    <t>26347IN-9-AF</t>
  </si>
  <si>
    <t>26347IN-9-BL</t>
  </si>
  <si>
    <t>26347IN-9-BRD</t>
  </si>
  <si>
    <t>26347IN-9-BV</t>
  </si>
  <si>
    <t>26347IN-9-CP</t>
  </si>
  <si>
    <t>26347IN-9-RGD</t>
  </si>
  <si>
    <t>26348IN-9-AF</t>
  </si>
  <si>
    <t>26348IN-9-BL</t>
  </si>
  <si>
    <t>26348IN-9-BRD</t>
  </si>
  <si>
    <t>26348IN-9-BV</t>
  </si>
  <si>
    <t>26348IN-9-CP</t>
  </si>
  <si>
    <t>26348IN-9-RGD</t>
  </si>
  <si>
    <t>26348T-9-2MB</t>
  </si>
  <si>
    <t>26349T-9-2MB</t>
  </si>
  <si>
    <t>26349T-9-AF</t>
  </si>
  <si>
    <t>26349T-9-BL</t>
  </si>
  <si>
    <t>26349T-9-CP</t>
  </si>
  <si>
    <t>26349T-9-RGD</t>
  </si>
  <si>
    <t>26349W-9-BV</t>
  </si>
  <si>
    <t>26350IN-9-AF</t>
  </si>
  <si>
    <t>26350IN-9-BL</t>
  </si>
  <si>
    <t>26350IN-9-BRD</t>
  </si>
  <si>
    <t>26350IN-9-BV</t>
  </si>
  <si>
    <t>26350IN-9-CP</t>
  </si>
  <si>
    <t>26350IN-9-RGD</t>
  </si>
  <si>
    <t>26350T-9-2MB</t>
  </si>
  <si>
    <t>26353IN-M-NA</t>
  </si>
  <si>
    <t>26474IN-ER-0</t>
  </si>
  <si>
    <t>26475IN-ER-0</t>
  </si>
  <si>
    <t>2660-1-0</t>
  </si>
  <si>
    <t>26603IN-0</t>
  </si>
  <si>
    <t>26604IN-0</t>
  </si>
  <si>
    <t>26606IN-0</t>
  </si>
  <si>
    <t>26607IN-0</t>
  </si>
  <si>
    <t>2660IN-1-0</t>
  </si>
  <si>
    <t>2660IN-1-7</t>
  </si>
  <si>
    <t>2661IN-0</t>
  </si>
  <si>
    <t>2661IN-47</t>
  </si>
  <si>
    <t>2661IN-7</t>
  </si>
  <si>
    <t>2661IN-K4</t>
  </si>
  <si>
    <t>26791IN-4ND-AF</t>
  </si>
  <si>
    <t>26791IN-4ND-CP</t>
  </si>
  <si>
    <t>26808IN-0</t>
  </si>
  <si>
    <t>26845IN-NA</t>
  </si>
  <si>
    <t>26854IN-AF</t>
  </si>
  <si>
    <t>26854IN-BL</t>
  </si>
  <si>
    <t>26854IN-BV</t>
  </si>
  <si>
    <t>26854IN-CP</t>
  </si>
  <si>
    <t>26854IN-RGD</t>
  </si>
  <si>
    <t>26855IN-AF</t>
  </si>
  <si>
    <t>26855IN-BL</t>
  </si>
  <si>
    <t>26855IN-BRD</t>
  </si>
  <si>
    <t>26855IN-BV</t>
  </si>
  <si>
    <t>26855IN-CP</t>
  </si>
  <si>
    <t>26855IN-RGD</t>
  </si>
  <si>
    <t>26856IN-AF</t>
  </si>
  <si>
    <t>26856IN-BL</t>
  </si>
  <si>
    <t>26856IN-BRD</t>
  </si>
  <si>
    <t>26856IN-BV</t>
  </si>
  <si>
    <t>26856IN-CP</t>
  </si>
  <si>
    <t>26856IN-RGD</t>
  </si>
  <si>
    <t>26994IN-0</t>
  </si>
  <si>
    <t>26994IN-HB1</t>
  </si>
  <si>
    <t>26998IN-0</t>
  </si>
  <si>
    <t>26998IN-7</t>
  </si>
  <si>
    <t>26998IN-DGS</t>
  </si>
  <si>
    <t>26998IN-TKB</t>
  </si>
  <si>
    <t>27292-CP</t>
  </si>
  <si>
    <t>27477IN-4ND-CP</t>
  </si>
  <si>
    <t>27478IN-4ND-CP</t>
  </si>
  <si>
    <t>27479IN-4ND-CP</t>
  </si>
  <si>
    <t>27480IN-4ND-CP</t>
  </si>
  <si>
    <t>27481IN-4ND-CP</t>
  </si>
  <si>
    <t>27482IN-4ND-CP</t>
  </si>
  <si>
    <t>27483IN-4ND-CP</t>
  </si>
  <si>
    <t>27484IN-4-CP</t>
  </si>
  <si>
    <t>27485IN-4-CP</t>
  </si>
  <si>
    <t>27486IN-4-CP</t>
  </si>
  <si>
    <t>27487IN-4ND-CP</t>
  </si>
  <si>
    <t>27488IN-4ND-CP</t>
  </si>
  <si>
    <t>27489IN-4ND-CP</t>
  </si>
  <si>
    <t>27490IN-CP</t>
  </si>
  <si>
    <t>27492IN-CP</t>
  </si>
  <si>
    <t>27493IN-CP</t>
  </si>
  <si>
    <t>27494IN-CP</t>
  </si>
  <si>
    <t>27495IN-4FP-CP</t>
  </si>
  <si>
    <t>27497IN-4FP-CP</t>
  </si>
  <si>
    <t>27498IN-4FP-CP</t>
  </si>
  <si>
    <t>27499IN-4FP-CP</t>
  </si>
  <si>
    <t>2749T-1-0</t>
  </si>
  <si>
    <t>27500IN-4FP-CP</t>
  </si>
  <si>
    <t>27532IN-CP</t>
  </si>
  <si>
    <t>27533IN-CP</t>
  </si>
  <si>
    <t>27534IN-CP</t>
  </si>
  <si>
    <t>27535IN-CP</t>
  </si>
  <si>
    <t>27536IN-CP</t>
  </si>
  <si>
    <t>27537IN-CP</t>
  </si>
  <si>
    <t>27538IN-CP</t>
  </si>
  <si>
    <t>27539IN-CP</t>
  </si>
  <si>
    <t>27540IN-CP</t>
  </si>
  <si>
    <t>27541IN-CP</t>
  </si>
  <si>
    <t>27542IN-CP</t>
  </si>
  <si>
    <t>27543IN-CP</t>
  </si>
  <si>
    <t>27544IN-CP</t>
  </si>
  <si>
    <t>27545IN-CP</t>
  </si>
  <si>
    <t>27546IN-CP</t>
  </si>
  <si>
    <t>27547IN-CP</t>
  </si>
  <si>
    <t>27548IN-CP</t>
  </si>
  <si>
    <t>27549IN-CP</t>
  </si>
  <si>
    <t>27550IN-CP</t>
  </si>
  <si>
    <t>27551IN-CP</t>
  </si>
  <si>
    <t>27562IN-CP</t>
  </si>
  <si>
    <t>27563IN-CP</t>
  </si>
  <si>
    <t>27568IN-CP</t>
  </si>
  <si>
    <t>27569IN-CP</t>
  </si>
  <si>
    <t>27570IN-CP</t>
  </si>
  <si>
    <t>27571IN-CP</t>
  </si>
  <si>
    <t>27731IN-AF</t>
  </si>
  <si>
    <t>27731IN-BL</t>
  </si>
  <si>
    <t>27731IN-BV</t>
  </si>
  <si>
    <t>27731IN-CP</t>
  </si>
  <si>
    <t>27731IN-RGD</t>
  </si>
  <si>
    <t>2773-B11</t>
  </si>
  <si>
    <t>2773-TG6</t>
  </si>
  <si>
    <t>27756IN-NA</t>
  </si>
  <si>
    <t>27791IN-0</t>
  </si>
  <si>
    <t>27791IN-HB1</t>
  </si>
  <si>
    <t>27791IN-HG1</t>
  </si>
  <si>
    <t>27791IN-HL1</t>
  </si>
  <si>
    <t>27791IN-HP1</t>
  </si>
  <si>
    <t>27791IN-WAF-0</t>
  </si>
  <si>
    <t>27791IN-WRGD-0</t>
  </si>
  <si>
    <t>27792IN-0</t>
  </si>
  <si>
    <t>27836IN-0</t>
  </si>
  <si>
    <t>27837IN-0</t>
  </si>
  <si>
    <t>27902IN-SS-0</t>
  </si>
  <si>
    <t>27903IN-2-HB1</t>
  </si>
  <si>
    <t>27903IN-2-HG1</t>
  </si>
  <si>
    <t>27903IN-2-HL1</t>
  </si>
  <si>
    <t>27903IN-2-HP1</t>
  </si>
  <si>
    <t>27903IN-2SS-0</t>
  </si>
  <si>
    <t>27903IN-SS-0</t>
  </si>
  <si>
    <t>27903IN-WAF-0</t>
  </si>
  <si>
    <t>27903IN-WRGD-0</t>
  </si>
  <si>
    <t>27904IN-HB1</t>
  </si>
  <si>
    <t>27904IN-HG1</t>
  </si>
  <si>
    <t>27904IN-HL1</t>
  </si>
  <si>
    <t>27904IN-HP1</t>
  </si>
  <si>
    <t>27904IN-SS-0</t>
  </si>
  <si>
    <t>28001IN-CM3</t>
  </si>
  <si>
    <t>28001IN-CM7</t>
  </si>
  <si>
    <t>28028T-NA</t>
  </si>
  <si>
    <t>28034IN-CP</t>
  </si>
  <si>
    <t>28035IN-AF</t>
  </si>
  <si>
    <t>28035IN-CP</t>
  </si>
  <si>
    <t>28040IN-NA</t>
  </si>
  <si>
    <t>280-9B-CP</t>
  </si>
  <si>
    <t>28211IN-NA</t>
  </si>
  <si>
    <t>28211T-NA</t>
  </si>
  <si>
    <t>28212IN-NA</t>
  </si>
  <si>
    <t>28214-2MB</t>
  </si>
  <si>
    <t>28214-ASC-BL</t>
  </si>
  <si>
    <t>28214-BL</t>
  </si>
  <si>
    <t>28220T-SL-0</t>
  </si>
  <si>
    <t>2822-8B-96</t>
  </si>
  <si>
    <t>28296IN-0</t>
  </si>
  <si>
    <t>28297IN-0</t>
  </si>
  <si>
    <t>28304-KS-NA</t>
  </si>
  <si>
    <t>28362IN-2-0</t>
  </si>
  <si>
    <t>28362T-0</t>
  </si>
  <si>
    <t>28475IN-M-CP</t>
  </si>
  <si>
    <t>28476IN-M-CP</t>
  </si>
  <si>
    <t>28529IN-0</t>
  </si>
  <si>
    <t>28585IN-0</t>
  </si>
  <si>
    <t>28694IN-AF</t>
  </si>
  <si>
    <t>28694IN-BL</t>
  </si>
  <si>
    <t>28694IN-BRD</t>
  </si>
  <si>
    <t>28694IN-BV</t>
  </si>
  <si>
    <t>28694IN-CP</t>
  </si>
  <si>
    <t>28694IN-RGD</t>
  </si>
  <si>
    <t>28695IN-AF</t>
  </si>
  <si>
    <t>28695IN-BL</t>
  </si>
  <si>
    <t>28695IN-BRD</t>
  </si>
  <si>
    <t>28695IN-BV</t>
  </si>
  <si>
    <t>28695IN-CP</t>
  </si>
  <si>
    <t>28695IN-RGD</t>
  </si>
  <si>
    <t>28729T-RGD</t>
  </si>
  <si>
    <t>28730T-RGD</t>
  </si>
  <si>
    <t>2874-J16</t>
  </si>
  <si>
    <t>28778IN-0</t>
  </si>
  <si>
    <t>28780IN-0</t>
  </si>
  <si>
    <t>28780IN-7</t>
  </si>
  <si>
    <t>28780IN-DGS</t>
  </si>
  <si>
    <t>28780IN-HC-0</t>
  </si>
  <si>
    <t>28780IN-K4</t>
  </si>
  <si>
    <t>28780IN-TKB</t>
  </si>
  <si>
    <t>28781IN-0</t>
  </si>
  <si>
    <t>28781IN-7</t>
  </si>
  <si>
    <t>28781IN-DGS</t>
  </si>
  <si>
    <t>28781IN-TKB</t>
  </si>
  <si>
    <t>28782IN-0</t>
  </si>
  <si>
    <t>28783IN-0</t>
  </si>
  <si>
    <t>28783IN-7</t>
  </si>
  <si>
    <t>28783IN-DGS</t>
  </si>
  <si>
    <t>28783IN-K4</t>
  </si>
  <si>
    <t>28783IN-TKB</t>
  </si>
  <si>
    <t>28784IN-0</t>
  </si>
  <si>
    <t>28784IN-7</t>
  </si>
  <si>
    <t>28784IN-DGS</t>
  </si>
  <si>
    <t>28784IN-K4</t>
  </si>
  <si>
    <t>28784IN-TKB</t>
  </si>
  <si>
    <t>28786IN-0</t>
  </si>
  <si>
    <t>2882-0</t>
  </si>
  <si>
    <t>2883-0</t>
  </si>
  <si>
    <t>28921IN-0</t>
  </si>
  <si>
    <t>28921IN-7</t>
  </si>
  <si>
    <t>28922IN-S-0</t>
  </si>
  <si>
    <t>28922IN-S-7</t>
  </si>
  <si>
    <t>28924IN-0</t>
  </si>
  <si>
    <t>28924IN-7</t>
  </si>
  <si>
    <t>28929IN-CHR</t>
  </si>
  <si>
    <t>29006IN-4ND-ECP</t>
  </si>
  <si>
    <t>29017IN-UF-7</t>
  </si>
  <si>
    <t>29018IN-0</t>
  </si>
  <si>
    <t>29024IN-1-0</t>
  </si>
  <si>
    <t>29060-BV</t>
  </si>
  <si>
    <t>29060-CP</t>
  </si>
  <si>
    <t>29117IN-CP</t>
  </si>
  <si>
    <t>29121IN-AF</t>
  </si>
  <si>
    <t>29124IN-0</t>
  </si>
  <si>
    <t>29125IN-0</t>
  </si>
  <si>
    <t>29127IN-0</t>
  </si>
  <si>
    <t>29128IN-0</t>
  </si>
  <si>
    <t>29130IN-0</t>
  </si>
  <si>
    <t>29134IN-0</t>
  </si>
  <si>
    <t>29155IN-NA</t>
  </si>
  <si>
    <t>29156IN-NA</t>
  </si>
  <si>
    <t>29162IN-0</t>
  </si>
  <si>
    <t>29163IN-0</t>
  </si>
  <si>
    <t>29164IN-0</t>
  </si>
  <si>
    <t>29165IN-0</t>
  </si>
  <si>
    <t>29169IN-0</t>
  </si>
  <si>
    <t>29170IN-0</t>
  </si>
  <si>
    <t>29171IN-S-0</t>
  </si>
  <si>
    <t>29172IN-0</t>
  </si>
  <si>
    <t>29173IN-0</t>
  </si>
  <si>
    <t>29174IN-S-0</t>
  </si>
  <si>
    <t>29199IN-4ND-RGD</t>
  </si>
  <si>
    <t>29199IN-ECH-RGD</t>
  </si>
  <si>
    <t>29307IN-4-CP</t>
  </si>
  <si>
    <t>29308IN-4-CP</t>
  </si>
  <si>
    <t>29309IN-4-CP</t>
  </si>
  <si>
    <t>29310IN-4ND-AF</t>
  </si>
  <si>
    <t>29310IN-4ND-BL</t>
  </si>
  <si>
    <t>29310IN-4ND-BV</t>
  </si>
  <si>
    <t>29310IN-4ND-RGD</t>
  </si>
  <si>
    <t>2949T-0</t>
  </si>
  <si>
    <t>29535IN-0</t>
  </si>
  <si>
    <t>29536IN-0</t>
  </si>
  <si>
    <t>29630-BC</t>
  </si>
  <si>
    <t>29638-NA</t>
  </si>
  <si>
    <t>29676-BV</t>
  </si>
  <si>
    <t>29676-CP</t>
  </si>
  <si>
    <t>29676-VF</t>
  </si>
  <si>
    <t>29777IN-0</t>
  </si>
  <si>
    <t>2977-K-NA</t>
  </si>
  <si>
    <t>29937IN-CP</t>
  </si>
  <si>
    <t>29958IN-0</t>
  </si>
  <si>
    <t>29959IN-AF</t>
  </si>
  <si>
    <t>29959IN-BL</t>
  </si>
  <si>
    <t>29959IN-BV</t>
  </si>
  <si>
    <t>29959IN-CP</t>
  </si>
  <si>
    <t>29959IN-RGD</t>
  </si>
  <si>
    <t>29961IN-CP</t>
  </si>
  <si>
    <t>3002318-CP</t>
  </si>
  <si>
    <t>3013546-U-CP</t>
  </si>
  <si>
    <t>3013572-CP</t>
  </si>
  <si>
    <t>3013573-CP</t>
  </si>
  <si>
    <t>3013574-CP</t>
  </si>
  <si>
    <t>3013574-U-CP</t>
  </si>
  <si>
    <t>3013575-CP</t>
  </si>
  <si>
    <t>3013575-U-CP</t>
  </si>
  <si>
    <t>3013580-CP</t>
  </si>
  <si>
    <t>3013596-CP</t>
  </si>
  <si>
    <t>3013596-U-CP</t>
  </si>
  <si>
    <t>3013599-CP</t>
  </si>
  <si>
    <t>3013599-U-CP</t>
  </si>
  <si>
    <t>3013703-CP</t>
  </si>
  <si>
    <t>3013703-U-CP</t>
  </si>
  <si>
    <t>3013706-U</t>
  </si>
  <si>
    <t>3013723-CP</t>
  </si>
  <si>
    <t>3013905-CP</t>
  </si>
  <si>
    <t>3013905-U-CP</t>
  </si>
  <si>
    <t>3013927-U</t>
  </si>
  <si>
    <t>3013930-CP</t>
  </si>
  <si>
    <t>3013965-AF</t>
  </si>
  <si>
    <t>3014237-AF</t>
  </si>
  <si>
    <t>3014237-CP</t>
  </si>
  <si>
    <t>3014249-CP</t>
  </si>
  <si>
    <t>3014293-U</t>
  </si>
  <si>
    <t>3022047-BV</t>
  </si>
  <si>
    <t>3022047-CP</t>
  </si>
  <si>
    <t>3022052-CP</t>
  </si>
  <si>
    <t>3022101-BV</t>
  </si>
  <si>
    <t>3025054-E</t>
  </si>
  <si>
    <t>3025573-CP</t>
  </si>
  <si>
    <t>3027038-RGD</t>
  </si>
  <si>
    <t>30318IN-AF</t>
  </si>
  <si>
    <t>30318IN-BL</t>
  </si>
  <si>
    <t>30318IN-BV</t>
  </si>
  <si>
    <t>30318IN-CP</t>
  </si>
  <si>
    <t>30318IN-RGD</t>
  </si>
  <si>
    <t>30319IN-NA</t>
  </si>
  <si>
    <t>30324-0</t>
  </si>
  <si>
    <t>30324-CP</t>
  </si>
  <si>
    <t>30333-DM1-0</t>
  </si>
  <si>
    <t>30333-DM2-0</t>
  </si>
  <si>
    <t>30334-DM1-0</t>
  </si>
  <si>
    <t>30334-DM2-0</t>
  </si>
  <si>
    <t>30375IN-0</t>
  </si>
  <si>
    <t>30438IN-0</t>
  </si>
  <si>
    <t>30439IN-0</t>
  </si>
  <si>
    <t>30457IN-MWF</t>
  </si>
  <si>
    <t>30457IN-PSH</t>
  </si>
  <si>
    <t>30459IN-MWF</t>
  </si>
  <si>
    <t>30459IN-N21</t>
  </si>
  <si>
    <t>30505IN-1-0</t>
  </si>
  <si>
    <t>30506IN-1-0</t>
  </si>
  <si>
    <t>30520IN-0</t>
  </si>
  <si>
    <t>30520IN-ZZ-0</t>
  </si>
  <si>
    <t>30637IN-BGL</t>
  </si>
  <si>
    <t>30637IN-BLL</t>
  </si>
  <si>
    <t>30638IN-BGL</t>
  </si>
  <si>
    <t>30638IN-BLL</t>
  </si>
  <si>
    <t>30684IN-NA</t>
  </si>
  <si>
    <t>30685IN-CP</t>
  </si>
  <si>
    <t>30686IN-0</t>
  </si>
  <si>
    <t>30717K-H-UM1</t>
  </si>
  <si>
    <t>30718K-2HD-UM1</t>
  </si>
  <si>
    <t>3073IN-NA</t>
  </si>
  <si>
    <t>31014IN-0</t>
  </si>
  <si>
    <t>310-4M-2BZ</t>
  </si>
  <si>
    <t>31343IN-SS-0</t>
  </si>
  <si>
    <t>31347IN-0</t>
  </si>
  <si>
    <t>31367IN-BGL</t>
  </si>
  <si>
    <t>31367IN-BLL</t>
  </si>
  <si>
    <t>31389IN-NA</t>
  </si>
  <si>
    <t>31458IN-0</t>
  </si>
  <si>
    <t>31459IN-0</t>
  </si>
  <si>
    <t>31460IN-0</t>
  </si>
  <si>
    <t>31460IN-ZY-0</t>
  </si>
  <si>
    <t>31461IN-0</t>
  </si>
  <si>
    <t>31538IN-NA</t>
  </si>
  <si>
    <t>31539IN-7</t>
  </si>
  <si>
    <t>31539IN-DGS</t>
  </si>
  <si>
    <t>31539IN-SS-0</t>
  </si>
  <si>
    <t>31597IN-PSH</t>
  </si>
  <si>
    <t>31646IN-NA</t>
  </si>
  <si>
    <t>31715IN-0</t>
  </si>
  <si>
    <t>3187-NA</t>
  </si>
  <si>
    <t>32014K-2HD-UM1</t>
  </si>
  <si>
    <t>32015K-H-UM1</t>
  </si>
  <si>
    <t>32018K-H-UM1</t>
  </si>
  <si>
    <t>32019IN-4-BV</t>
  </si>
  <si>
    <t>32019IN-4-RGD</t>
  </si>
  <si>
    <t>32020IN-4-RGD</t>
  </si>
  <si>
    <t>32275IN-HC-0</t>
  </si>
  <si>
    <t>32309-AF</t>
  </si>
  <si>
    <t>32309-BL</t>
  </si>
  <si>
    <t>32309-BV</t>
  </si>
  <si>
    <t>32309-CP</t>
  </si>
  <si>
    <t>32310-AF</t>
  </si>
  <si>
    <t>32310-BL</t>
  </si>
  <si>
    <t>32310-BV</t>
  </si>
  <si>
    <t>32310-CP</t>
  </si>
  <si>
    <t>32311-AF</t>
  </si>
  <si>
    <t>32311-BL</t>
  </si>
  <si>
    <t>32311-BV</t>
  </si>
  <si>
    <t>32311-CP</t>
  </si>
  <si>
    <t>32312-AF</t>
  </si>
  <si>
    <t>32312-BL</t>
  </si>
  <si>
    <t>32312-BV</t>
  </si>
  <si>
    <t>32312-CP</t>
  </si>
  <si>
    <t>32324-NA</t>
  </si>
  <si>
    <t>32325-NA</t>
  </si>
  <si>
    <t>32326-NA</t>
  </si>
  <si>
    <t>32327-NA</t>
  </si>
  <si>
    <t>32328-NA</t>
  </si>
  <si>
    <t>32329-NA</t>
  </si>
  <si>
    <t>32332-NA</t>
  </si>
  <si>
    <t>32387IN-0</t>
  </si>
  <si>
    <t>32485IN-NA</t>
  </si>
  <si>
    <t>32906IN-AF</t>
  </si>
  <si>
    <t>32989IN-NA</t>
  </si>
  <si>
    <t>33059IN-4ND-AF</t>
  </si>
  <si>
    <t>33059IN-4ND-CP</t>
  </si>
  <si>
    <t>33063IN-4ND-AF</t>
  </si>
  <si>
    <t>33063IN-4ND-CP</t>
  </si>
  <si>
    <t>33074IN-AF</t>
  </si>
  <si>
    <t>33074IN-CP</t>
  </si>
  <si>
    <t>33101IN-4-AF</t>
  </si>
  <si>
    <t>33101IN-4-CP</t>
  </si>
  <si>
    <t>33102IN-4-AF</t>
  </si>
  <si>
    <t>33102IN-4-CP</t>
  </si>
  <si>
    <t>33103IN-4ND-AF</t>
  </si>
  <si>
    <t>33103IN-4ND-CP</t>
  </si>
  <si>
    <t>33111IN-4FP-AF</t>
  </si>
  <si>
    <t>33111IN-4FP-CP</t>
  </si>
  <si>
    <t>331-4M-CP</t>
  </si>
  <si>
    <t>33457T-BL</t>
  </si>
  <si>
    <t>33645IN-4FP-CP</t>
  </si>
  <si>
    <t>33818IN-0</t>
  </si>
  <si>
    <t>33818IN-K4</t>
  </si>
  <si>
    <t>33819IN-K4</t>
  </si>
  <si>
    <t>3386T-0</t>
  </si>
  <si>
    <t>33913IN-4ND-CP</t>
  </si>
  <si>
    <t>33926IN-M-0</t>
  </si>
  <si>
    <t>33926IN-P-0</t>
  </si>
  <si>
    <t>33929IN-M-0</t>
  </si>
  <si>
    <t>33929IN-P-0</t>
  </si>
  <si>
    <t>33931IN-M-0</t>
  </si>
  <si>
    <t>33931IN-P-0</t>
  </si>
  <si>
    <t>33972IN-4-CP</t>
  </si>
  <si>
    <t>33978IN-4-CP</t>
  </si>
  <si>
    <t>33979IN-4-CP</t>
  </si>
  <si>
    <t>33992IN-4FP-CP</t>
  </si>
  <si>
    <t>33995IN-CP</t>
  </si>
  <si>
    <t>33996IN-CP</t>
  </si>
  <si>
    <t>33999IN-4ND-CP</t>
  </si>
  <si>
    <t>34032IN-4-CP</t>
  </si>
  <si>
    <t>34038IN-4ND-CP</t>
  </si>
  <si>
    <t>34039IN-4ND-CP</t>
  </si>
  <si>
    <t>34040IN-4-CP</t>
  </si>
  <si>
    <t>34042IN-CP</t>
  </si>
  <si>
    <t>34050IN-CP</t>
  </si>
  <si>
    <t>34067IN-4-CP</t>
  </si>
  <si>
    <t>34073IN-4ND-CP</t>
  </si>
  <si>
    <t>34076IN-4ND-CP</t>
  </si>
  <si>
    <t>34078IN-4-CP</t>
  </si>
  <si>
    <t>34080IN-4-CP</t>
  </si>
  <si>
    <t>34098IN-AF</t>
  </si>
  <si>
    <t>34098IN-BL</t>
  </si>
  <si>
    <t>34098IN-BRD</t>
  </si>
  <si>
    <t>34098IN-BV</t>
  </si>
  <si>
    <t>34098IN-CP</t>
  </si>
  <si>
    <t>34098IN-RGD</t>
  </si>
  <si>
    <t>34099IN-AF</t>
  </si>
  <si>
    <t>34099IN-BL</t>
  </si>
  <si>
    <t>34099IN-BRD</t>
  </si>
  <si>
    <t>34099IN-BV</t>
  </si>
  <si>
    <t>34099IN-CP</t>
  </si>
  <si>
    <t>34099IN-RGD</t>
  </si>
  <si>
    <t>34168IN-4-BRD</t>
  </si>
  <si>
    <t>34168IN-4-BV</t>
  </si>
  <si>
    <t>34168IN-4-RGD</t>
  </si>
  <si>
    <t>34170IN-4-BRD</t>
  </si>
  <si>
    <t>34170IN-4-BV</t>
  </si>
  <si>
    <t>34170IN-4-RGD</t>
  </si>
  <si>
    <t>34229IN-0</t>
  </si>
  <si>
    <t>34251IN-0</t>
  </si>
  <si>
    <t>34263-U</t>
  </si>
  <si>
    <t>34353-U</t>
  </si>
  <si>
    <t>3439T-S-0</t>
  </si>
  <si>
    <t>34667T-NA</t>
  </si>
  <si>
    <t>35568IN-NA</t>
  </si>
  <si>
    <t>35628IN-NA</t>
  </si>
  <si>
    <t>3563IN-0</t>
  </si>
  <si>
    <t>3564T-S2-0</t>
  </si>
  <si>
    <t>3594K-NS-0</t>
  </si>
  <si>
    <t>36211IN-CP</t>
  </si>
  <si>
    <t>36537IN-P-CP</t>
  </si>
  <si>
    <t>36878IN-CP</t>
  </si>
  <si>
    <t>36879IN-CP</t>
  </si>
  <si>
    <t>368-CP</t>
  </si>
  <si>
    <t>3691T-NA</t>
  </si>
  <si>
    <t>37050T-BN</t>
  </si>
  <si>
    <t>37054T-BN</t>
  </si>
  <si>
    <t>37055T-BN</t>
  </si>
  <si>
    <t>37057T-BN</t>
  </si>
  <si>
    <t>37060T-CP</t>
  </si>
  <si>
    <t>37061T-CP</t>
  </si>
  <si>
    <t>37062T-CP</t>
  </si>
  <si>
    <t>37268T-CP</t>
  </si>
  <si>
    <t>37269T-CP</t>
  </si>
  <si>
    <t>37273T-CP</t>
  </si>
  <si>
    <t>37301IN-4-CP</t>
  </si>
  <si>
    <t>37301IN-4ND-CP</t>
  </si>
  <si>
    <t>37303IN-4-CP</t>
  </si>
  <si>
    <t>37303IN-4ND-CP</t>
  </si>
  <si>
    <t>37305IN-4-CP</t>
  </si>
  <si>
    <t>37305IN-4ND-CP</t>
  </si>
  <si>
    <t>37307IN-4ND-CP</t>
  </si>
  <si>
    <t>37308IN-4-CP</t>
  </si>
  <si>
    <t>37309IN-4-CP</t>
  </si>
  <si>
    <t>37310IN-4FP-CP</t>
  </si>
  <si>
    <t>37312IN-B4-CP</t>
  </si>
  <si>
    <t>37313IN-4-CP</t>
  </si>
  <si>
    <t>37314IN-4-CP</t>
  </si>
  <si>
    <t>37315IN-4-CP</t>
  </si>
  <si>
    <t>37316IN-4-CP</t>
  </si>
  <si>
    <t>37319IN-4-AF</t>
  </si>
  <si>
    <t>37320IN-4-AF</t>
  </si>
  <si>
    <t>37321IN-AF</t>
  </si>
  <si>
    <t>37322IN-AF</t>
  </si>
  <si>
    <t>37327IN-4-CP</t>
  </si>
  <si>
    <t>37327IN-4ND-AF</t>
  </si>
  <si>
    <t>37327IN-4ND-CP</t>
  </si>
  <si>
    <t>37329IN-4ND-AF</t>
  </si>
  <si>
    <t>37336IN-4FP-CP</t>
  </si>
  <si>
    <t>37343IN-AF</t>
  </si>
  <si>
    <t>37343IN-BN</t>
  </si>
  <si>
    <t>37343IN-CP</t>
  </si>
  <si>
    <t>37343IN-RGD</t>
  </si>
  <si>
    <t>37343T-ZZ-RGD</t>
  </si>
  <si>
    <t>37344IN-BN</t>
  </si>
  <si>
    <t>37344IN-CP</t>
  </si>
  <si>
    <t>37344IN-RGD</t>
  </si>
  <si>
    <t>37344T-ZZ-RGD</t>
  </si>
  <si>
    <t>37345IN-CP</t>
  </si>
  <si>
    <t>37347IN-CP</t>
  </si>
  <si>
    <t>37350IN-CP</t>
  </si>
  <si>
    <t>37351IN-CP</t>
  </si>
  <si>
    <t>37431IN-CP</t>
  </si>
  <si>
    <t>37432IN-CP</t>
  </si>
  <si>
    <t>37758IN-NA</t>
  </si>
  <si>
    <t>37876IN-NA</t>
  </si>
  <si>
    <t>37877IN-BLL</t>
  </si>
  <si>
    <t>37878IN-NA</t>
  </si>
  <si>
    <t>37880IN-NA</t>
  </si>
  <si>
    <t>37881IN-BLL</t>
  </si>
  <si>
    <t>38112IN-NA</t>
  </si>
  <si>
    <t>38171IN-HC-0</t>
  </si>
  <si>
    <t>38262IN-CP</t>
  </si>
  <si>
    <t>38354IN-BLL</t>
  </si>
  <si>
    <t>38366IN-BLL</t>
  </si>
  <si>
    <t>38367IN-BLL</t>
  </si>
  <si>
    <t>38368IN-BLL</t>
  </si>
  <si>
    <t>3836T-M2-0</t>
  </si>
  <si>
    <t>38462IN-4ND-AF</t>
  </si>
  <si>
    <t>38462IN-4ND-CP</t>
  </si>
  <si>
    <t>38463IN-4ND-AF</t>
  </si>
  <si>
    <t>38463IN-4ND-CP</t>
  </si>
  <si>
    <t>38464IN-4ND-CP</t>
  </si>
  <si>
    <t>38468IN-4FP-AF</t>
  </si>
  <si>
    <t>38468IN-4FP-CP</t>
  </si>
  <si>
    <t>38469IN-4FP-CP</t>
  </si>
  <si>
    <t>38469IN-4FS-AF</t>
  </si>
  <si>
    <t>38470IN-AF</t>
  </si>
  <si>
    <t>38470IN-CP</t>
  </si>
  <si>
    <t>38471IN-AF</t>
  </si>
  <si>
    <t>38471IN-CP</t>
  </si>
  <si>
    <t>38520IN-0</t>
  </si>
  <si>
    <t>38520IN-7</t>
  </si>
  <si>
    <t>38520IN-K4</t>
  </si>
  <si>
    <t>38629IN-AF</t>
  </si>
  <si>
    <t>38629IN-BL</t>
  </si>
  <si>
    <t>38629IN-BRD</t>
  </si>
  <si>
    <t>38629IN-BV</t>
  </si>
  <si>
    <t>38629IN-CP</t>
  </si>
  <si>
    <t>38629IN-RGD</t>
  </si>
  <si>
    <t>38674IN-NA</t>
  </si>
  <si>
    <t>3869T-S-0</t>
  </si>
  <si>
    <t>3872IN-CP</t>
  </si>
  <si>
    <t>38735IN-NA</t>
  </si>
  <si>
    <t>38778IN-NA</t>
  </si>
  <si>
    <t>38779IN-NA</t>
  </si>
  <si>
    <t>38783IN-0</t>
  </si>
  <si>
    <t>38795IN-NA</t>
  </si>
  <si>
    <t>38796IN-NA</t>
  </si>
  <si>
    <t>38797IN-NA</t>
  </si>
  <si>
    <t>38801IN-NA</t>
  </si>
  <si>
    <t>38802IN-NA</t>
  </si>
  <si>
    <t>38803IN-NA</t>
  </si>
  <si>
    <t>38806IN-NA</t>
  </si>
  <si>
    <t>38807IN-NA</t>
  </si>
  <si>
    <t>3883T-F-NA</t>
  </si>
  <si>
    <t>38886IN-4ND-AF</t>
  </si>
  <si>
    <t>38886IN-4ND-BL</t>
  </si>
  <si>
    <t>38886IN-4ND-BRD</t>
  </si>
  <si>
    <t>38886IN-4ND-BV</t>
  </si>
  <si>
    <t>38886IN-4ND-CP</t>
  </si>
  <si>
    <t>38886IN-4ND-RGD</t>
  </si>
  <si>
    <t>38887IN-4ND-AF</t>
  </si>
  <si>
    <t>38887IN-4ND-BL</t>
  </si>
  <si>
    <t>38887IN-4ND-BRD</t>
  </si>
  <si>
    <t>38887IN-4ND-BV</t>
  </si>
  <si>
    <t>38887IN-4ND-CP</t>
  </si>
  <si>
    <t>38887IN-4ND-RGD</t>
  </si>
  <si>
    <t>38888IN-4ND-AF</t>
  </si>
  <si>
    <t>38888IN-4ND-BL</t>
  </si>
  <si>
    <t>38888IN-4ND-BRD</t>
  </si>
  <si>
    <t>38888IN-4ND-BV</t>
  </si>
  <si>
    <t>38888IN-4ND-CP</t>
  </si>
  <si>
    <t>38888IN-4ND-RGD</t>
  </si>
  <si>
    <t>38889IN-4FP-CP</t>
  </si>
  <si>
    <t>38889IN-4FS-AF</t>
  </si>
  <si>
    <t>38889IN-4FS-BRD</t>
  </si>
  <si>
    <t>38889IN-4FS-BV</t>
  </si>
  <si>
    <t>38889IN-4FS-RGD</t>
  </si>
  <si>
    <t>38890IN-4FP-AF</t>
  </si>
  <si>
    <t>38890IN-4FP-BL</t>
  </si>
  <si>
    <t>38890IN-4FP-CP</t>
  </si>
  <si>
    <t>38891IN-AF</t>
  </si>
  <si>
    <t>38891IN-BL</t>
  </si>
  <si>
    <t>38891IN-BRD</t>
  </si>
  <si>
    <t>38891IN-BV</t>
  </si>
  <si>
    <t>38891IN-CP</t>
  </si>
  <si>
    <t>38891IN-RGD</t>
  </si>
  <si>
    <t>38892IN-AF</t>
  </si>
  <si>
    <t>38892IN-BL</t>
  </si>
  <si>
    <t>38892IN-BRD</t>
  </si>
  <si>
    <t>38892IN-BV</t>
  </si>
  <si>
    <t>38892IN-CP</t>
  </si>
  <si>
    <t>38892IN-RGD</t>
  </si>
  <si>
    <t>38893IN-4ND-AF</t>
  </si>
  <si>
    <t>38893IN-4ND-BL</t>
  </si>
  <si>
    <t>38893IN-4ND-BRD</t>
  </si>
  <si>
    <t>38893IN-4ND-BV</t>
  </si>
  <si>
    <t>38893IN-4ND-CP</t>
  </si>
  <si>
    <t>38893IN-4ND-RGD</t>
  </si>
  <si>
    <t>38894IN-4ND-AF</t>
  </si>
  <si>
    <t>38894IN-4ND-BL</t>
  </si>
  <si>
    <t>38894IN-4ND-BRD</t>
  </si>
  <si>
    <t>38894IN-4ND-BV</t>
  </si>
  <si>
    <t>38894IN-4ND-CP</t>
  </si>
  <si>
    <t>38894IN-4ND-RGD</t>
  </si>
  <si>
    <t>38895IN-4ND-AF</t>
  </si>
  <si>
    <t>38895IN-4ND-BL</t>
  </si>
  <si>
    <t>38895IN-4ND-BRD</t>
  </si>
  <si>
    <t>38895IN-4ND-BV</t>
  </si>
  <si>
    <t>38895IN-4ND-CP</t>
  </si>
  <si>
    <t>38895IN-4ND-RGD</t>
  </si>
  <si>
    <t>38896IN-4FP-CP</t>
  </si>
  <si>
    <t>38896IN-4FS-AF</t>
  </si>
  <si>
    <t>38896IN-4FS-BRD</t>
  </si>
  <si>
    <t>38896IN-4FS-BV</t>
  </si>
  <si>
    <t>38896IN-4FS-RGD</t>
  </si>
  <si>
    <t>38897IN-4FP-AF</t>
  </si>
  <si>
    <t>38897IN-4FP-BL</t>
  </si>
  <si>
    <t>38897IN-4FP-CP</t>
  </si>
  <si>
    <t>38938IN-4FP-CP</t>
  </si>
  <si>
    <t>38938IN-4FS-AF</t>
  </si>
  <si>
    <t>38939IN-4FP-AF</t>
  </si>
  <si>
    <t>38939IN-4FP-CP</t>
  </si>
  <si>
    <t>38948IN-4ND-CP</t>
  </si>
  <si>
    <t>38989IN-0</t>
  </si>
  <si>
    <t>38989IN-K4</t>
  </si>
  <si>
    <t>38991IN-0</t>
  </si>
  <si>
    <t>38991IN-K4</t>
  </si>
  <si>
    <t>3900IN-XP2-HB1</t>
  </si>
  <si>
    <t>3900T-XP2-HB1</t>
  </si>
  <si>
    <t>39023IN-AF</t>
  </si>
  <si>
    <t>39023IN-BV</t>
  </si>
  <si>
    <t>39023IN-CP</t>
  </si>
  <si>
    <t>39023IN-RGD</t>
  </si>
  <si>
    <t>39059IN-SHP</t>
  </si>
  <si>
    <t>39060IN-SHP</t>
  </si>
  <si>
    <t>39061IN-SHP</t>
  </si>
  <si>
    <t>39120IN-BLL</t>
  </si>
  <si>
    <t>39208IN-NA</t>
  </si>
  <si>
    <t>39209IN-NA</t>
  </si>
  <si>
    <t>39218IN-ST</t>
  </si>
  <si>
    <t>39228IN-ST</t>
  </si>
  <si>
    <t>39237IN-ST</t>
  </si>
  <si>
    <t>39238IN-ST</t>
  </si>
  <si>
    <t>39239IN-ST</t>
  </si>
  <si>
    <t>39240IN-ST</t>
  </si>
  <si>
    <t>39241IN-ST</t>
  </si>
  <si>
    <t>39242IN-ST</t>
  </si>
  <si>
    <t>39259IN-SHP</t>
  </si>
  <si>
    <t>394-4-2BZ</t>
  </si>
  <si>
    <t>39558IN-ND-CP</t>
  </si>
  <si>
    <t>39560IN-ND-CP</t>
  </si>
  <si>
    <t>3962IN-CP</t>
  </si>
  <si>
    <t>3981-0</t>
  </si>
  <si>
    <t>3983IN-S-0</t>
  </si>
  <si>
    <t>40321IN-0</t>
  </si>
  <si>
    <t>40372-AA</t>
  </si>
  <si>
    <t>41079IN-0</t>
  </si>
  <si>
    <t>41080IN-0</t>
  </si>
  <si>
    <t>41081IN-0</t>
  </si>
  <si>
    <t>4108IN-0</t>
  </si>
  <si>
    <t>410-K-NA</t>
  </si>
  <si>
    <t>41110-CP</t>
  </si>
  <si>
    <t>4114IN-XBV-0</t>
  </si>
  <si>
    <t>4141IN-0</t>
  </si>
  <si>
    <t>4177IN-M-MS1</t>
  </si>
  <si>
    <t>4187IN-WD-0</t>
  </si>
  <si>
    <t>4187IN-WD-7</t>
  </si>
  <si>
    <t>4195T-0</t>
  </si>
  <si>
    <t>4199-0</t>
  </si>
  <si>
    <t>42232-AF</t>
  </si>
  <si>
    <t>42232-CP</t>
  </si>
  <si>
    <t>42237-U-CP</t>
  </si>
  <si>
    <t>42451-U</t>
  </si>
  <si>
    <t>42528-CP</t>
  </si>
  <si>
    <t>4254T-0</t>
  </si>
  <si>
    <t>42618-CP</t>
  </si>
  <si>
    <t>42672-CP</t>
  </si>
  <si>
    <t>42673-CP</t>
  </si>
  <si>
    <t>42674-CP</t>
  </si>
  <si>
    <t>42676-CP</t>
  </si>
  <si>
    <t>4397-0</t>
  </si>
  <si>
    <t>4417IN-UF-0</t>
  </si>
  <si>
    <t>4419K-W-0</t>
  </si>
  <si>
    <t>4462K-00</t>
  </si>
  <si>
    <t>4464T-0</t>
  </si>
  <si>
    <t>4472T-0</t>
  </si>
  <si>
    <t>45212A-CP</t>
  </si>
  <si>
    <t>45215-CP</t>
  </si>
  <si>
    <t>45219T-7-CP</t>
  </si>
  <si>
    <t>45352IN-C9-CP</t>
  </si>
  <si>
    <t>45352T-C9-BN</t>
  </si>
  <si>
    <t>45380T-2KD-NA</t>
  </si>
  <si>
    <t>45432IN-AF</t>
  </si>
  <si>
    <t>45432IN-CP</t>
  </si>
  <si>
    <t>45432IN-RGD</t>
  </si>
  <si>
    <t>454-3S-CP</t>
  </si>
  <si>
    <t>45446T-BN</t>
  </si>
  <si>
    <t>45447T-BN</t>
  </si>
  <si>
    <t>454-4S-BV</t>
  </si>
  <si>
    <t>454-4S-CP</t>
  </si>
  <si>
    <t>454-4V-RN</t>
  </si>
  <si>
    <t>45527T-CP</t>
  </si>
  <si>
    <t>45532T-4-CP</t>
  </si>
  <si>
    <t>45725T-4-CP</t>
  </si>
  <si>
    <t>45764T-E63</t>
  </si>
  <si>
    <t>45905-CP</t>
  </si>
  <si>
    <t>45922-DE-K5</t>
  </si>
  <si>
    <t>45966T-B-CP</t>
  </si>
  <si>
    <t>4713X-0</t>
  </si>
  <si>
    <t>4744-0</t>
  </si>
  <si>
    <t>4760T-PL-00</t>
  </si>
  <si>
    <t>4761-CP-LAW</t>
  </si>
  <si>
    <t>4766T-0</t>
  </si>
  <si>
    <t>4772T-0</t>
  </si>
  <si>
    <t>487T-CP</t>
  </si>
  <si>
    <t>4904T-ER-0</t>
  </si>
  <si>
    <t>4904T-ET-0</t>
  </si>
  <si>
    <t>4946CK-00</t>
  </si>
  <si>
    <t>4948CK-00</t>
  </si>
  <si>
    <t>4960T-ET-0</t>
  </si>
  <si>
    <t>4978T-ET-0</t>
  </si>
  <si>
    <t>4979T-ST3-0</t>
  </si>
  <si>
    <t>4986T-ER-0</t>
  </si>
  <si>
    <t>4991-ER-0</t>
  </si>
  <si>
    <t>50143-A</t>
  </si>
  <si>
    <t>5051K-00</t>
  </si>
  <si>
    <t>50565-AF</t>
  </si>
  <si>
    <t>50588-CP</t>
  </si>
  <si>
    <t>51543-BC</t>
  </si>
  <si>
    <t>5163T-NA</t>
  </si>
  <si>
    <t>5166T-ST</t>
  </si>
  <si>
    <t>5171T-CM-0</t>
  </si>
  <si>
    <t>52568-FL-0</t>
  </si>
  <si>
    <t>52722-FL-0</t>
  </si>
  <si>
    <t>5339T-KT500</t>
  </si>
  <si>
    <t>53407-BC</t>
  </si>
  <si>
    <t>5373IN-0</t>
  </si>
  <si>
    <t>5373IN-7</t>
  </si>
  <si>
    <t>5373IN-HG1</t>
  </si>
  <si>
    <t>5373IN-HP1</t>
  </si>
  <si>
    <t>5373IN-K4</t>
  </si>
  <si>
    <t>5373IN-RGD</t>
  </si>
  <si>
    <t>5400-0</t>
  </si>
  <si>
    <t>5400-P5-0</t>
  </si>
  <si>
    <t>5402IN-ZZ-0</t>
  </si>
  <si>
    <t>5413IN-M-CP</t>
  </si>
  <si>
    <t>5413IN-P-CP</t>
  </si>
  <si>
    <t>5487K-CP</t>
  </si>
  <si>
    <t>5487T-2-CP</t>
  </si>
  <si>
    <t>5513IN-CP</t>
  </si>
  <si>
    <t>5527-NF</t>
  </si>
  <si>
    <t>5529-NA</t>
  </si>
  <si>
    <t>5548-BV</t>
  </si>
  <si>
    <t>5548-K1-BN</t>
  </si>
  <si>
    <t>5548-K1-BV</t>
  </si>
  <si>
    <t>5548-K1-CP</t>
  </si>
  <si>
    <t>5557-BV</t>
  </si>
  <si>
    <t>5557-CP</t>
  </si>
  <si>
    <t>5558-AF</t>
  </si>
  <si>
    <t>5558-BL</t>
  </si>
  <si>
    <t>5558-BV</t>
  </si>
  <si>
    <t>5559-NA</t>
  </si>
  <si>
    <t>5562-NA</t>
  </si>
  <si>
    <t>5573IN-2-0</t>
  </si>
  <si>
    <t>557D-K-NA</t>
  </si>
  <si>
    <t>557IN-K-NA</t>
  </si>
  <si>
    <t>5584IN-0</t>
  </si>
  <si>
    <t>559-BN</t>
  </si>
  <si>
    <t>559-CP</t>
  </si>
  <si>
    <t>559-SN</t>
  </si>
  <si>
    <t>56150IN-NA</t>
  </si>
  <si>
    <t>56151IN-NA</t>
  </si>
  <si>
    <t>56152IN-NA</t>
  </si>
  <si>
    <t>562IN-VS</t>
  </si>
  <si>
    <t>5630IN-AF</t>
  </si>
  <si>
    <t>5630IN-CP</t>
  </si>
  <si>
    <t>5631IN-AF</t>
  </si>
  <si>
    <t>5632IN-AF</t>
  </si>
  <si>
    <t>5632IN-CP</t>
  </si>
  <si>
    <t>5633IN-CP</t>
  </si>
  <si>
    <t>5634IN-AF</t>
  </si>
  <si>
    <t>5635IN-AF</t>
  </si>
  <si>
    <t>5635IN-CP</t>
  </si>
  <si>
    <t>5636IN-AF</t>
  </si>
  <si>
    <t>5636IN-CP</t>
  </si>
  <si>
    <t>5637IN-AF</t>
  </si>
  <si>
    <t>5670-CP</t>
  </si>
  <si>
    <t>5679IN-AF</t>
  </si>
  <si>
    <t>5679IN-CP</t>
  </si>
  <si>
    <t>5681IN-4ND-AF</t>
  </si>
  <si>
    <t>5681IN-4ND-CP</t>
  </si>
  <si>
    <t>5682IN-4ND-CP</t>
  </si>
  <si>
    <t>5683IN-4ND-CP</t>
  </si>
  <si>
    <t>5684IN-4ND-AF</t>
  </si>
  <si>
    <t>5684IN-4ND-BL</t>
  </si>
  <si>
    <t>5684IN-4ND-BN</t>
  </si>
  <si>
    <t>5684IN-4ND-CP</t>
  </si>
  <si>
    <t>57597-U</t>
  </si>
  <si>
    <t>5773K-0</t>
  </si>
  <si>
    <t>58015-BB</t>
  </si>
  <si>
    <t>58015-CP</t>
  </si>
  <si>
    <t>58457-CP</t>
  </si>
  <si>
    <t>58458-CP</t>
  </si>
  <si>
    <t>58753-CP</t>
  </si>
  <si>
    <t>5889T-ER-0</t>
  </si>
  <si>
    <t>58946-SP</t>
  </si>
  <si>
    <t>5903-04910A</t>
  </si>
  <si>
    <t>59466-CP</t>
  </si>
  <si>
    <t>596-BL</t>
  </si>
  <si>
    <t>6088IN-0</t>
  </si>
  <si>
    <t>6088IN-K4</t>
  </si>
  <si>
    <t>6091IN-0</t>
  </si>
  <si>
    <t>6091IN-K4</t>
  </si>
  <si>
    <t>6098IN-S-0</t>
  </si>
  <si>
    <t>6098IN-S-K4</t>
  </si>
  <si>
    <t>6098IN-SR-0</t>
  </si>
  <si>
    <t>61845-K</t>
  </si>
  <si>
    <t>6281T-NA</t>
  </si>
  <si>
    <t>6298-2BZ</t>
  </si>
  <si>
    <t>6299IN-0</t>
  </si>
  <si>
    <t>6299IN-7</t>
  </si>
  <si>
    <t>6331-CP</t>
  </si>
  <si>
    <t>6383-0</t>
  </si>
  <si>
    <t>65042-CP</t>
  </si>
  <si>
    <t>65054-SR</t>
  </si>
  <si>
    <t>65061-CP</t>
  </si>
  <si>
    <t>65205-0</t>
  </si>
  <si>
    <t>65226-0</t>
  </si>
  <si>
    <t>67944-A</t>
  </si>
  <si>
    <t>67944-B</t>
  </si>
  <si>
    <t>682IN-K-NA</t>
  </si>
  <si>
    <t>6918-7</t>
  </si>
  <si>
    <t>6918IN-S-0</t>
  </si>
  <si>
    <t>7104-2BZ</t>
  </si>
  <si>
    <t>7120IN-AF</t>
  </si>
  <si>
    <t>7120IN-BL</t>
  </si>
  <si>
    <t>7120IN-BRD</t>
  </si>
  <si>
    <t>7120IN-BV</t>
  </si>
  <si>
    <t>7120IN-CP</t>
  </si>
  <si>
    <t>7120IN-RGD</t>
  </si>
  <si>
    <t>7129-A-TT</t>
  </si>
  <si>
    <t>7147T-CP</t>
  </si>
  <si>
    <t>7161-AF-CP</t>
  </si>
  <si>
    <t>7169T-CP</t>
  </si>
  <si>
    <t>7193-CP</t>
  </si>
  <si>
    <t>72218-B7-VS</t>
  </si>
  <si>
    <t>72275IN-4ND-AF</t>
  </si>
  <si>
    <t>72275IN-4ND-BN</t>
  </si>
  <si>
    <t>72275IN-4ND-BRD</t>
  </si>
  <si>
    <t>72275IN-4ND-BV</t>
  </si>
  <si>
    <t>72275IN-4ND-CP</t>
  </si>
  <si>
    <t>72275IN-4ND-RGD</t>
  </si>
  <si>
    <t>72275IN-ZZ4-CP</t>
  </si>
  <si>
    <t>72278IN-4ND-CP</t>
  </si>
  <si>
    <t>72288IN-4-CP</t>
  </si>
  <si>
    <t>72290IN-4-BV</t>
  </si>
  <si>
    <t>72290IN-4FP-CP</t>
  </si>
  <si>
    <t>72290IN-4FS-CP</t>
  </si>
  <si>
    <t>72290IN-4SL-BRD</t>
  </si>
  <si>
    <t>72290IN-4SL-BV</t>
  </si>
  <si>
    <t>72290IN-4SL-RGD</t>
  </si>
  <si>
    <t>72291IN-4FP-CP</t>
  </si>
  <si>
    <t>72291IN-4-RGD</t>
  </si>
  <si>
    <t>72291T-4-CP</t>
  </si>
  <si>
    <t>72298IN-4ND-BRD</t>
  </si>
  <si>
    <t>72298IN-4ND-BV</t>
  </si>
  <si>
    <t>72298IN-4ND-CP</t>
  </si>
  <si>
    <t>72298IN-4ND-RGD</t>
  </si>
  <si>
    <t>72298IN-ZY-CP</t>
  </si>
  <si>
    <t>72298IN-ZZ4-CP</t>
  </si>
  <si>
    <t>72312IN-4ND-AF</t>
  </si>
  <si>
    <t>72312IN-4ND-BL</t>
  </si>
  <si>
    <t>72312IN-4ND-BN</t>
  </si>
  <si>
    <t>72312IN-4ND-BRD</t>
  </si>
  <si>
    <t>72312IN-4ND-BV</t>
  </si>
  <si>
    <t>72312IN-4ND-CP</t>
  </si>
  <si>
    <t>72312IN-4ND-RGD</t>
  </si>
  <si>
    <t>72319D-CP</t>
  </si>
  <si>
    <t>72326IN-4-CP</t>
  </si>
  <si>
    <t>72328IN-4-BN</t>
  </si>
  <si>
    <t>72328IN-4FP-AF</t>
  </si>
  <si>
    <t>72328IN-4FP-CP</t>
  </si>
  <si>
    <t>72328IN-4FS-AF</t>
  </si>
  <si>
    <t>72328IN-4SL-BRD</t>
  </si>
  <si>
    <t>72328IN-4SL-BV</t>
  </si>
  <si>
    <t>72328IN-4SL-RGD</t>
  </si>
  <si>
    <t>72329IN-4FP-CP</t>
  </si>
  <si>
    <t>72329IN-4-RGD</t>
  </si>
  <si>
    <t>72337IN-4ND-AF</t>
  </si>
  <si>
    <t>72337IN-4ND-BL</t>
  </si>
  <si>
    <t>72337IN-4ND-BN</t>
  </si>
  <si>
    <t>72337IN-4ND-BRD</t>
  </si>
  <si>
    <t>72337IN-4ND-BV</t>
  </si>
  <si>
    <t>72337IN-4ND-CP</t>
  </si>
  <si>
    <t>72337IN-4ND-RGD</t>
  </si>
  <si>
    <t>72357IN-4ND-CP</t>
  </si>
  <si>
    <t>72415IN-CP</t>
  </si>
  <si>
    <t>72419IN-CP</t>
  </si>
  <si>
    <t>72421IN-CP</t>
  </si>
  <si>
    <t>72425IN-CP</t>
  </si>
  <si>
    <t>72438IN-AF</t>
  </si>
  <si>
    <t>72438T-BN</t>
  </si>
  <si>
    <t>72439IN-EC-CP</t>
  </si>
  <si>
    <t>72511IN-SD-CP</t>
  </si>
  <si>
    <t>72810T-B4-2BZ</t>
  </si>
  <si>
    <t>72819T-4-BV</t>
  </si>
  <si>
    <t>72819T-4-CP</t>
  </si>
  <si>
    <t>72830IN-L-AF</t>
  </si>
  <si>
    <t>72830IN-L-BL</t>
  </si>
  <si>
    <t>72830IN-L-CP</t>
  </si>
  <si>
    <t>72839IN-0</t>
  </si>
  <si>
    <t>72866IN-ND-CP</t>
  </si>
  <si>
    <t>72867IN-ND-CP</t>
  </si>
  <si>
    <t>72867T-B-CP</t>
  </si>
  <si>
    <t>728-K-NA</t>
  </si>
  <si>
    <t>72903T-S</t>
  </si>
  <si>
    <t>72904IN-S</t>
  </si>
  <si>
    <t>72907K-1-0</t>
  </si>
  <si>
    <t>7294IN-CP</t>
  </si>
  <si>
    <t>73037IN-CL-CP</t>
  </si>
  <si>
    <t>73037T-L-CP</t>
  </si>
  <si>
    <t>73038IN-CL-CP</t>
  </si>
  <si>
    <t>73039IN-CL-AF</t>
  </si>
  <si>
    <t>73039IN-CL-BL</t>
  </si>
  <si>
    <t>73039IN-CL-CP</t>
  </si>
  <si>
    <t>73040IN-CL-AF</t>
  </si>
  <si>
    <t>73040IN-CL-BL</t>
  </si>
  <si>
    <t>73040IN-CL-CP</t>
  </si>
  <si>
    <t>7314IN-AF</t>
  </si>
  <si>
    <t>7314IN-CP</t>
  </si>
  <si>
    <t>7314IN-RGD</t>
  </si>
  <si>
    <t>73158IN-4-CP</t>
  </si>
  <si>
    <t>73158T-4-AF</t>
  </si>
  <si>
    <t>73158T-4-BV</t>
  </si>
  <si>
    <t>73158T-4-RGD</t>
  </si>
  <si>
    <t>73159-7-2MB</t>
  </si>
  <si>
    <t>73159-7-TT</t>
  </si>
  <si>
    <t>73159IN-7-BRD</t>
  </si>
  <si>
    <t>73159IN-7-CP</t>
  </si>
  <si>
    <t>73159T-7ACH-BV</t>
  </si>
  <si>
    <t>73159T-7-AF</t>
  </si>
  <si>
    <t>73159T-7-BN</t>
  </si>
  <si>
    <t>73159T-7-BV</t>
  </si>
  <si>
    <t>73159T-7GCH-TT</t>
  </si>
  <si>
    <t>73159T-B7-AF</t>
  </si>
  <si>
    <t>73159T-B7-BL</t>
  </si>
  <si>
    <t>73159T-B7-BV</t>
  </si>
  <si>
    <t>73159T-B7-RGD</t>
  </si>
  <si>
    <t>73167T-4-CP</t>
  </si>
  <si>
    <t>73168T-4-AF</t>
  </si>
  <si>
    <t>73170T-4-BV</t>
  </si>
  <si>
    <t>73194T-4-BL</t>
  </si>
  <si>
    <t>73203-G</t>
  </si>
  <si>
    <t>7329IN-9ND-CP</t>
  </si>
  <si>
    <t>73439-CP</t>
  </si>
  <si>
    <t>73456-CP</t>
  </si>
  <si>
    <t>73515-A</t>
  </si>
  <si>
    <t>7353IN-4FP-CP</t>
  </si>
  <si>
    <t>7356IN-4-BGD</t>
  </si>
  <si>
    <t>7356IN-4FP-BGD</t>
  </si>
  <si>
    <t>7359IN-4FP-CP</t>
  </si>
  <si>
    <t>73614-4AC-CP</t>
  </si>
  <si>
    <t>73614-4AH-CP</t>
  </si>
  <si>
    <t>73614-4C-CP</t>
  </si>
  <si>
    <t>73614-4H-CP</t>
  </si>
  <si>
    <t>7362IN-4FP-CP</t>
  </si>
  <si>
    <t>7363IN-4FP-CP</t>
  </si>
  <si>
    <t>744T-2-CP</t>
  </si>
  <si>
    <t>74675-BV</t>
  </si>
  <si>
    <t>74675-CP</t>
  </si>
  <si>
    <t>74675-VF</t>
  </si>
  <si>
    <t>75017-CP</t>
  </si>
  <si>
    <t>75017-U-CP</t>
  </si>
  <si>
    <t>7503T-4-2BZ</t>
  </si>
  <si>
    <t>75044-0</t>
  </si>
  <si>
    <t>75100-58</t>
  </si>
  <si>
    <t>75143-AF</t>
  </si>
  <si>
    <t>75201IN-CP</t>
  </si>
  <si>
    <t>75229IN-CP</t>
  </si>
  <si>
    <t>75373IN-4-CP</t>
  </si>
  <si>
    <t>75374IN-1-0</t>
  </si>
  <si>
    <t>75375IN-0</t>
  </si>
  <si>
    <t>75376IN-1-0</t>
  </si>
  <si>
    <t>75422IN-CP</t>
  </si>
  <si>
    <t>75423IN-CP</t>
  </si>
  <si>
    <t>75460-0</t>
  </si>
  <si>
    <t>75563IN-CP</t>
  </si>
  <si>
    <t>75567IN-CP</t>
  </si>
  <si>
    <t>75588-U</t>
  </si>
  <si>
    <t>75601-AF</t>
  </si>
  <si>
    <t>75603-U</t>
  </si>
  <si>
    <t>75605-U</t>
  </si>
  <si>
    <t>75609-BC</t>
  </si>
  <si>
    <t>75708IN-2SS-0</t>
  </si>
  <si>
    <t>75708IN-7</t>
  </si>
  <si>
    <t>75708IN-DGS</t>
  </si>
  <si>
    <t>75708IN-SS-0</t>
  </si>
  <si>
    <t>75748-HD1-0</t>
  </si>
  <si>
    <t>75749-FP1-0</t>
  </si>
  <si>
    <t>75749-HD1-0</t>
  </si>
  <si>
    <t>75763-RP</t>
  </si>
  <si>
    <t>75771-CP</t>
  </si>
  <si>
    <t>75773-CP</t>
  </si>
  <si>
    <t>75823IN-AF</t>
  </si>
  <si>
    <t>75823IN-CP</t>
  </si>
  <si>
    <t>75823IN-RGD</t>
  </si>
  <si>
    <t>75858-A-CP</t>
  </si>
  <si>
    <t>75858-A-VF</t>
  </si>
  <si>
    <t>75859-U-CP</t>
  </si>
  <si>
    <t>75861-CP</t>
  </si>
  <si>
    <t>75890IN-M-AF</t>
  </si>
  <si>
    <t>75890IN-M-BN</t>
  </si>
  <si>
    <t>75890IN-M-CP</t>
  </si>
  <si>
    <t>75890IN-P-0</t>
  </si>
  <si>
    <t>75890IN-P-7</t>
  </si>
  <si>
    <t>75890IN-P-AF</t>
  </si>
  <si>
    <t>75890IN-P-BL</t>
  </si>
  <si>
    <t>75890IN-P-BN</t>
  </si>
  <si>
    <t>75890IN-P-CP</t>
  </si>
  <si>
    <t>75890IN-P-RGD</t>
  </si>
  <si>
    <t>75891IN-0</t>
  </si>
  <si>
    <t>75891IN-M-0</t>
  </si>
  <si>
    <t>75891IN-M-7</t>
  </si>
  <si>
    <t>75891IN-M-BRD</t>
  </si>
  <si>
    <t>75891IN-M-BV</t>
  </si>
  <si>
    <t>75891IN-M-CP</t>
  </si>
  <si>
    <t>75891T-2BL</t>
  </si>
  <si>
    <t>75897IN-NA</t>
  </si>
  <si>
    <t>75924IN-AF</t>
  </si>
  <si>
    <t>75924IN-CP</t>
  </si>
  <si>
    <t>76017IN-L-CP</t>
  </si>
  <si>
    <t>76077K-0</t>
  </si>
  <si>
    <t>76153-AF</t>
  </si>
  <si>
    <t>76153-CP</t>
  </si>
  <si>
    <t>76185K-0</t>
  </si>
  <si>
    <t>76248-CP</t>
  </si>
  <si>
    <t>76389IN-9-CP</t>
  </si>
  <si>
    <t>76395IN-ZZ-0</t>
  </si>
  <si>
    <t>76395K-NA</t>
  </si>
  <si>
    <t>76425-A</t>
  </si>
  <si>
    <t>76425-B</t>
  </si>
  <si>
    <t>76442IN-NW-0</t>
  </si>
  <si>
    <t>76465IN-BL</t>
  </si>
  <si>
    <t>76528T-NA</t>
  </si>
  <si>
    <t>76600IN-0</t>
  </si>
  <si>
    <t>76601IN-0</t>
  </si>
  <si>
    <t>76601IN-47</t>
  </si>
  <si>
    <t>76601IN-7</t>
  </si>
  <si>
    <t>76601IN-DGS</t>
  </si>
  <si>
    <t>76601IN-K4</t>
  </si>
  <si>
    <t>76616K-0</t>
  </si>
  <si>
    <t>76640-CP</t>
  </si>
  <si>
    <t>76649-CP</t>
  </si>
  <si>
    <t>76697T-4-CP</t>
  </si>
  <si>
    <t>76699T-9-CP</t>
  </si>
  <si>
    <t>76725-BN</t>
  </si>
  <si>
    <t>76769-4AC-CP</t>
  </si>
  <si>
    <t>76769-4AH-CP</t>
  </si>
  <si>
    <t>76769-4C-CP</t>
  </si>
  <si>
    <t>76769-4H-CP</t>
  </si>
  <si>
    <t>76966T-4-CP</t>
  </si>
  <si>
    <t>76967T-4-CP</t>
  </si>
  <si>
    <t>76987IN-0</t>
  </si>
  <si>
    <t>76988IN-0</t>
  </si>
  <si>
    <t>76993A-0</t>
  </si>
  <si>
    <t>77027IN-M-NA</t>
  </si>
  <si>
    <t>77027IN-P-NA</t>
  </si>
  <si>
    <t>77029IN-M-NA</t>
  </si>
  <si>
    <t>77065IN-0</t>
  </si>
  <si>
    <t>77067-4AC-CP</t>
  </si>
  <si>
    <t>77067-4AH-CP</t>
  </si>
  <si>
    <t>77067-4C-CP</t>
  </si>
  <si>
    <t>77067-4H-CP</t>
  </si>
  <si>
    <t>77070IN-SS-0</t>
  </si>
  <si>
    <t>77091-CP</t>
  </si>
  <si>
    <t>77115IN-NA</t>
  </si>
  <si>
    <t>77142IN-S-HG1</t>
  </si>
  <si>
    <t>77142IN-S-HP1</t>
  </si>
  <si>
    <t>77168IN-SS-0</t>
  </si>
  <si>
    <t>77168IN-UF-HG1</t>
  </si>
  <si>
    <t>77168IN-UF-HP1</t>
  </si>
  <si>
    <t>77171IN-0</t>
  </si>
  <si>
    <t>77171IN-7</t>
  </si>
  <si>
    <t>77171IN-DGS</t>
  </si>
  <si>
    <t>77172-AF</t>
  </si>
  <si>
    <t>77175-CP</t>
  </si>
  <si>
    <t>77183-AF</t>
  </si>
  <si>
    <t>77237IN-AF</t>
  </si>
  <si>
    <t>77237IN-BN</t>
  </si>
  <si>
    <t>7723IN-B-NA</t>
  </si>
  <si>
    <t>7723IN-NA</t>
  </si>
  <si>
    <t>77248IN-9-AF</t>
  </si>
  <si>
    <t>77248IN-9-BN</t>
  </si>
  <si>
    <t>77248IN-9-CP</t>
  </si>
  <si>
    <t>77276IN-L-CP</t>
  </si>
  <si>
    <t>77310IN-4FP-CP</t>
  </si>
  <si>
    <t>77310IN-4-RGD</t>
  </si>
  <si>
    <t>77311IN-4FP-AF</t>
  </si>
  <si>
    <t>77311IN-4FP-BL</t>
  </si>
  <si>
    <t>77311IN-4FP-CP</t>
  </si>
  <si>
    <t>77311IN-4-RGD</t>
  </si>
  <si>
    <t>77321-A-CP</t>
  </si>
  <si>
    <t>77355-CP</t>
  </si>
  <si>
    <t>77355-U-CP</t>
  </si>
  <si>
    <t>77364IN-CP</t>
  </si>
  <si>
    <t>77364X-2MB</t>
  </si>
  <si>
    <t>77414-CP</t>
  </si>
  <si>
    <t>77414-U-CP</t>
  </si>
  <si>
    <t>77420-U</t>
  </si>
  <si>
    <t>77471IN-7</t>
  </si>
  <si>
    <t>77471IN-DGS</t>
  </si>
  <si>
    <t>77675T-PD2-0</t>
  </si>
  <si>
    <t>77714-SSP</t>
  </si>
  <si>
    <t>77714-TB2</t>
  </si>
  <si>
    <t>77716-SSP</t>
  </si>
  <si>
    <t>77716-TB2</t>
  </si>
  <si>
    <t>77725IN-HG1</t>
  </si>
  <si>
    <t>77725IN-HP1</t>
  </si>
  <si>
    <t>77725IN-SS-0</t>
  </si>
  <si>
    <t>77744T-SL-0</t>
  </si>
  <si>
    <t>77748IN-4-CP</t>
  </si>
  <si>
    <t>77748IN-4-VS</t>
  </si>
  <si>
    <t>77748IN-SD-VS</t>
  </si>
  <si>
    <t>77761T-1-0</t>
  </si>
  <si>
    <t>77764IN-SD-VS</t>
  </si>
  <si>
    <t>77767K-0</t>
  </si>
  <si>
    <t>77775T-8-0</t>
  </si>
  <si>
    <t>77958T-4A-CP</t>
  </si>
  <si>
    <t>77959T-4A-CP</t>
  </si>
  <si>
    <t>77963T-8A-CP</t>
  </si>
  <si>
    <t>77965T-CP</t>
  </si>
  <si>
    <t>77965T-RGD</t>
  </si>
  <si>
    <t>77966T-CP</t>
  </si>
  <si>
    <t>77967-3TR</t>
  </si>
  <si>
    <t>77967-BL</t>
  </si>
  <si>
    <t>77967T-2MB</t>
  </si>
  <si>
    <t>77967T-CP</t>
  </si>
  <si>
    <t>77968-BL</t>
  </si>
  <si>
    <t>77968T-CP</t>
  </si>
  <si>
    <t>77969T-CP</t>
  </si>
  <si>
    <t>77969T-MU-BL</t>
  </si>
  <si>
    <t>77974-4-TT</t>
  </si>
  <si>
    <t>77990T-4-2MB</t>
  </si>
  <si>
    <t>77990T-4-CP</t>
  </si>
  <si>
    <t>77990T-8-CP</t>
  </si>
  <si>
    <t>77990T-9-CP</t>
  </si>
  <si>
    <t>7799IN-FDL-0</t>
  </si>
  <si>
    <t>78019IN-4A-CP</t>
  </si>
  <si>
    <t>78020T-4A-CP</t>
  </si>
  <si>
    <t>78024T-8-2BL</t>
  </si>
  <si>
    <t>8002-2BZ</t>
  </si>
  <si>
    <t>8002IN-AF</t>
  </si>
  <si>
    <t>8002IN-BL</t>
  </si>
  <si>
    <t>8002IN-BN</t>
  </si>
  <si>
    <t>8002IN-BRD</t>
  </si>
  <si>
    <t>8002IN-BV</t>
  </si>
  <si>
    <t>8002IN-CP</t>
  </si>
  <si>
    <t>Gst 18</t>
  </si>
  <si>
    <t>Board</t>
  </si>
  <si>
    <t>VT</t>
  </si>
  <si>
    <t>DIM8MM</t>
  </si>
  <si>
    <t>DIMPLE BOARD-8MM</t>
  </si>
  <si>
    <t>46 SQ MTR '2.3 MTR X 20 MTR'</t>
  </si>
  <si>
    <t>SQM</t>
  </si>
  <si>
    <t>Geotextile</t>
  </si>
  <si>
    <t>GEO120-GSM</t>
  </si>
  <si>
    <t>NON WOOVEN GEO FABRIC 120 GSM</t>
  </si>
  <si>
    <t>300 SQ MTR ROLL '150 MTR X 2 MTR'</t>
  </si>
  <si>
    <t>Gst 12</t>
  </si>
  <si>
    <t>GEO150-GSM</t>
  </si>
  <si>
    <t>NON WOOVEN GEO FABRIC 150 GSM</t>
  </si>
  <si>
    <t>GEO200-GSM</t>
  </si>
  <si>
    <t>NON WOVEN FABRICS 200 GSM</t>
  </si>
  <si>
    <t>200 SQMTR ROLL</t>
  </si>
  <si>
    <t>DRB8MM</t>
  </si>
  <si>
    <t>DRAIN BOARD WITH FABRIC-8MM</t>
  </si>
  <si>
    <t>46 SQ MTR ROLL '2.3 MTR X 20 MTR'</t>
  </si>
  <si>
    <t>PGPVR-40MM</t>
  </si>
  <si>
    <t>PLASTIC GRASSPAVER 40 MM</t>
  </si>
  <si>
    <t>1 BUNDLE X 2.5 SQMTR-2.5SQMTR</t>
  </si>
  <si>
    <t>DRB10MM</t>
  </si>
  <si>
    <t>DRAIN BOARD WITH FABRIC-10 MM</t>
  </si>
  <si>
    <t xml:space="preserve"> 46 SQ MTR ROLL '2.3 MTR X 20 MTR'</t>
  </si>
  <si>
    <t>DRB13MM</t>
  </si>
  <si>
    <t>DRAIN BOARD WITH FABRIC-13 MM</t>
  </si>
  <si>
    <t>WATERPROOFING</t>
  </si>
  <si>
    <t>POLYESTER COATING</t>
  </si>
  <si>
    <t>KEMPEROL</t>
  </si>
  <si>
    <t>KEMP-V210</t>
  </si>
  <si>
    <t>Kemperol V 210 M 19.4 Kg</t>
  </si>
  <si>
    <t>Kg</t>
  </si>
  <si>
    <t>KGS</t>
  </si>
  <si>
    <t>KEMP-CP</t>
  </si>
  <si>
    <t>Kemperol CP Catalyst Powder 0.6 Kg</t>
  </si>
  <si>
    <t>Pack</t>
  </si>
  <si>
    <t>PACK</t>
  </si>
  <si>
    <t>KEMP-UP</t>
  </si>
  <si>
    <t>Kemperol UP-I Inhibitor 0.3 Kg</t>
  </si>
  <si>
    <t>EP Primer</t>
  </si>
  <si>
    <t>KEMP-EP-7</t>
  </si>
  <si>
    <t>Kempertec EP Primer Comp. A 7 Kg</t>
  </si>
  <si>
    <t>KEMP-EP-3</t>
  </si>
  <si>
    <t>Kempertec EP Primer Comp. B 3 Kg</t>
  </si>
  <si>
    <t>KEMP-EP-2-1</t>
  </si>
  <si>
    <t>Kempertec EP Primer Comp. A 2.1 Kg</t>
  </si>
  <si>
    <t>KEMP-EP-0-9</t>
  </si>
  <si>
    <t>Kempertec EP Primer Comp. B 0.9 Kg</t>
  </si>
  <si>
    <t>PU COATING</t>
  </si>
  <si>
    <t>KEMP-1K</t>
  </si>
  <si>
    <t>Kemperol 1K - 25Kg</t>
  </si>
  <si>
    <t>PU PRIMER</t>
  </si>
  <si>
    <t>KEMC-Pox-10-5</t>
  </si>
  <si>
    <t>Kemco Pox 2K Primer Comp.A 10.5 Kg</t>
  </si>
  <si>
    <t>KEMC-Pox-1-75</t>
  </si>
  <si>
    <t>Kemco Pox 2K Primer Comp.B 1.75 Kg</t>
  </si>
  <si>
    <t>FLEECE</t>
  </si>
  <si>
    <t>KEMP-Fleece-52-5</t>
  </si>
  <si>
    <t>Kemperol Fleece 120 "105 cm wide" 52.5 SQM</t>
  </si>
  <si>
    <t>M2</t>
  </si>
  <si>
    <t>SQMT</t>
  </si>
  <si>
    <t>KEMP-Fleec-35</t>
  </si>
  <si>
    <t>Kemperol Fleece 500 "70 CM" 35 SQM</t>
  </si>
  <si>
    <t>KEMP-022-10</t>
  </si>
  <si>
    <t>Kemperol 022 Comp. A 10 Kg</t>
  </si>
  <si>
    <t>KEMP-022-2</t>
  </si>
  <si>
    <t>Kemperol 022 Comp. B 2 Kg</t>
  </si>
  <si>
    <t>Quartz Sand</t>
  </si>
  <si>
    <t>QUAR-Sand-5</t>
  </si>
  <si>
    <t xml:space="preserve">Quartz Sand "400-800 microns" </t>
  </si>
  <si>
    <t>Kemperol 165 Fleece 105 cm wide 52.5 SQM</t>
  </si>
  <si>
    <t>COEL-EVO-25</t>
  </si>
  <si>
    <t>Coelastic EVO 25 Kg</t>
  </si>
  <si>
    <t>Thinner</t>
  </si>
  <si>
    <t>COEL-2-5</t>
  </si>
  <si>
    <t>Coelastic EVO Thinner-2.5 Kg</t>
  </si>
  <si>
    <t>Ltr</t>
  </si>
  <si>
    <t>LTR</t>
  </si>
  <si>
    <t>FOSROC</t>
  </si>
  <si>
    <t xml:space="preserve">SR NO. </t>
  </si>
  <si>
    <t>Code</t>
  </si>
  <si>
    <t>ITEM NAME</t>
  </si>
  <si>
    <t>HSN</t>
  </si>
  <si>
    <t>UNIT</t>
  </si>
  <si>
    <t>PACK SIZE</t>
  </si>
  <si>
    <t>RATE</t>
  </si>
  <si>
    <t>Purchase</t>
  </si>
  <si>
    <t>FOSRC-88-3</t>
  </si>
  <si>
    <t>FOSROC CONBEXTRA GP2 (25 KG)</t>
  </si>
  <si>
    <t>25 KG</t>
  </si>
  <si>
    <t>FOSRC-88-4</t>
  </si>
  <si>
    <t>FOSROC RENDEROC PLUG (15 KG)</t>
  </si>
  <si>
    <t>15 KG</t>
  </si>
  <si>
    <t>FOSRC-88-5</t>
  </si>
  <si>
    <t>FOSROC RENDEROC PLUG (5 KG)</t>
  </si>
  <si>
    <t>5 KG</t>
  </si>
  <si>
    <t>FOSRC-88-6</t>
  </si>
  <si>
    <t>FOSROC Renderoc® RG 25 KG BAG</t>
  </si>
  <si>
    <t>FOSRC-88-7</t>
  </si>
  <si>
    <t>Fosroc Conbextra EP300 (14L)</t>
  </si>
  <si>
    <t>14 L</t>
  </si>
  <si>
    <t>FOSRC-88-8</t>
  </si>
  <si>
    <t>Fosroc Brushbond ultra flex 25kg</t>
  </si>
  <si>
    <t>PAC</t>
  </si>
  <si>
    <t>FOSRC-88-9</t>
  </si>
  <si>
    <t xml:space="preserve">Fosroc CEBEX 100 (225 GM) </t>
  </si>
  <si>
    <t>225 GM</t>
  </si>
  <si>
    <t>FOSRC-88-10</t>
  </si>
  <si>
    <t>FOSROC NITOFLOR HARDTOP STANDARD (25KG)</t>
  </si>
  <si>
    <t>BAG</t>
  </si>
  <si>
    <t>FOSRC-88-11</t>
  </si>
  <si>
    <t>FOSROC BRUSHBOND TGP -15 KG BAG</t>
  </si>
  <si>
    <t>FOSRC-88-12</t>
  </si>
  <si>
    <t>FOSROC NITOSEAL PU280 SILVER GREY RAL7001 (4L)</t>
  </si>
  <si>
    <t>4 L</t>
  </si>
  <si>
    <t>FOSRC-88-13</t>
  </si>
  <si>
    <t>FOSROC COLPOR 200PF GREY (3L)</t>
  </si>
  <si>
    <t>3 L</t>
  </si>
  <si>
    <t>FOSRC-88-14</t>
  </si>
  <si>
    <t>FOSROC PRIMER 20 (1Ltr)</t>
  </si>
  <si>
    <t>1 L</t>
  </si>
  <si>
    <t>FOSRC-88-15</t>
  </si>
  <si>
    <t>FOSROC CONBEXTRA TIE ROD GROUT (15 KG)</t>
  </si>
  <si>
    <t>FOSRC-88-16</t>
  </si>
  <si>
    <t>FOSROC Nitobond SBR(Latex) 20 LTR</t>
  </si>
  <si>
    <t>BOTTLE</t>
  </si>
  <si>
    <t xml:space="preserve"> 20 LTR</t>
  </si>
  <si>
    <t>FOSRC-88-17</t>
  </si>
  <si>
    <t>FOSROC NITOBOND AR STD (20 L)</t>
  </si>
  <si>
    <t>20 L</t>
  </si>
  <si>
    <t>FOSRC-88-18</t>
  </si>
  <si>
    <t>FOSROC Renderoc SP 40 25 KG BAG</t>
  </si>
  <si>
    <t>FOSRC-88-19</t>
  </si>
  <si>
    <t>FOSROC NITOBOND EP 4 LTR PACK</t>
  </si>
  <si>
    <t>FOSRC-88-20</t>
  </si>
  <si>
    <t>FOSROC CONBEXTRA GP2 (30 KG)</t>
  </si>
  <si>
    <t>30 KG</t>
  </si>
  <si>
    <t>FOSRC-88-21</t>
  </si>
  <si>
    <t>FOSROC PROOFEX TORCHSEAL 4PI (10mx1m) ROLL</t>
  </si>
  <si>
    <t>ROLL</t>
  </si>
  <si>
    <t>10mx1ROLL</t>
  </si>
  <si>
    <t>FOSRC-88-22</t>
  </si>
  <si>
    <t>FOSROC PROOFEX TORCHSEAL PRIMER (20L)</t>
  </si>
  <si>
    <t>FOSRC-88-23</t>
  </si>
  <si>
    <t>FOSROC Dekguard Wb Primer 20 LTR PACK</t>
  </si>
  <si>
    <t>FOSRC-88-24</t>
  </si>
  <si>
    <t>Fosroc ® Conbextra EP75 14 LTR ( 4200031268-CMPND,EPXY GROUT-RESN &amp; HADNR )</t>
  </si>
  <si>
    <t>FOSRC-88-25</t>
  </si>
  <si>
    <t xml:space="preserve">FOSROC CEBEX 200 (0.225kg) </t>
  </si>
  <si>
    <t>0.225 KG</t>
  </si>
  <si>
    <t>FOSRC-88-26</t>
  </si>
  <si>
    <t>Fosroc Dekguard WB 300 20 LTR</t>
  </si>
  <si>
    <t>Sr.No</t>
  </si>
  <si>
    <t>CATEGORY</t>
  </si>
  <si>
    <t>PRODUCT</t>
  </si>
  <si>
    <t xml:space="preserve">Purchase </t>
  </si>
  <si>
    <t>SIKA-032</t>
  </si>
  <si>
    <t>MORTARS &amp; GROUT</t>
  </si>
  <si>
    <t>Sika Rep Microcrete 4 -30 Kg</t>
  </si>
  <si>
    <t>30 Kg</t>
  </si>
  <si>
    <t>SIKA-033</t>
  </si>
  <si>
    <t>Sika Top 122 HS-30 Kg</t>
  </si>
  <si>
    <t>SIKA-034</t>
  </si>
  <si>
    <t>Sika Monotop 122 F -30 Kg</t>
  </si>
  <si>
    <t>SIKA-035</t>
  </si>
  <si>
    <t>Sika Grout 214 (IN)-30 Kg</t>
  </si>
  <si>
    <t>SIKA-036</t>
  </si>
  <si>
    <t>Sika Grout 214 (IN) S-30 Kg</t>
  </si>
  <si>
    <t>SIKA-037</t>
  </si>
  <si>
    <t>FLOOR HARDNER</t>
  </si>
  <si>
    <t>Sika Chapdur30 Kg</t>
  </si>
  <si>
    <t>SIKA-038</t>
  </si>
  <si>
    <t>POLYMER</t>
  </si>
  <si>
    <t>Sika Latex Power-20 Kg</t>
  </si>
  <si>
    <t>20 Kg</t>
  </si>
  <si>
    <t>SIKA-041</t>
  </si>
  <si>
    <t>Sika Latex SBR-100 Kg</t>
  </si>
  <si>
    <t>100 Kg</t>
  </si>
  <si>
    <t>SIKA-042</t>
  </si>
  <si>
    <t>Sika Latex SBR-20 Kg</t>
  </si>
  <si>
    <t>SIKA-045</t>
  </si>
  <si>
    <t>Sika Raintite I-50 Kg</t>
  </si>
  <si>
    <t>50 Kg</t>
  </si>
  <si>
    <t>SIKA-046</t>
  </si>
  <si>
    <t>Sika Raintite I-20 Kg</t>
  </si>
  <si>
    <t>SIKA-049</t>
  </si>
  <si>
    <t>Sika Cemcrete-20 Kg</t>
  </si>
  <si>
    <t>SIKA-052</t>
  </si>
  <si>
    <t>Sika Flexcrete-30 Kg</t>
  </si>
  <si>
    <t>SIKA-053</t>
  </si>
  <si>
    <t>PLASTER ADMIXTURE</t>
  </si>
  <si>
    <t>Sikacim-20 Kg</t>
  </si>
  <si>
    <t>SIKA-056</t>
  </si>
  <si>
    <t>Sikacim Pink-20 Kg</t>
  </si>
  <si>
    <t>SIKA-058</t>
  </si>
  <si>
    <t>Sika Ferrogard - 901 (IN)-20 Kg</t>
  </si>
  <si>
    <t>SIKA-059</t>
  </si>
  <si>
    <t>Sika Ferrogard - 903-20 Kg</t>
  </si>
  <si>
    <t>SIKA-060</t>
  </si>
  <si>
    <t>BLOCK JOINT MORTAR</t>
  </si>
  <si>
    <t>Sika Block Joint Mortar-30 Kg</t>
  </si>
  <si>
    <t>SIKA-061</t>
  </si>
  <si>
    <t>Sika Floor 100 Level H-25 Kg</t>
  </si>
  <si>
    <t>25 Kg</t>
  </si>
  <si>
    <t>SIKA-062</t>
  </si>
  <si>
    <t>WALL PUTTY</t>
  </si>
  <si>
    <t>Sika Wall Décor ( Putty )-40 Kg</t>
  </si>
  <si>
    <t>40 Kg</t>
  </si>
  <si>
    <t>SIKA-063</t>
  </si>
  <si>
    <t>SEALANT &amp; PRIMER</t>
  </si>
  <si>
    <t>Sika Flex 127 Concrete Grey-600 Ml</t>
  </si>
  <si>
    <t>600 Ml</t>
  </si>
  <si>
    <t>SIKA-064</t>
  </si>
  <si>
    <t>Sika Hyflex 160-600 Ml</t>
  </si>
  <si>
    <t>SIKA-065</t>
  </si>
  <si>
    <t>Sikaflex 11 FC-600 Ml</t>
  </si>
  <si>
    <t>SIKA-066</t>
  </si>
  <si>
    <t>Sikaflex Pro 3- 600 Ml</t>
  </si>
  <si>
    <t>SIKA-067</t>
  </si>
  <si>
    <t>Sika Primer 3 (IN)-500 Ml</t>
  </si>
  <si>
    <t>500 Ml</t>
  </si>
  <si>
    <t>SIKA-068</t>
  </si>
  <si>
    <t>Polysulphide Gun / Pour-4 Kg</t>
  </si>
  <si>
    <t>4 Kg</t>
  </si>
  <si>
    <t>SIKA-069</t>
  </si>
  <si>
    <t>EXTERIOR WATERPROOFING COATING</t>
  </si>
  <si>
    <t>Sika Cool Coat-10 Kg</t>
  </si>
  <si>
    <t>10 Kg</t>
  </si>
  <si>
    <t>SIKA-070</t>
  </si>
  <si>
    <t>Sika Cool Coat Primer-4 Kg</t>
  </si>
  <si>
    <t>SIKA-071</t>
  </si>
  <si>
    <t>Sika Gard XT Dark-25 Kg</t>
  </si>
  <si>
    <t>SIKA-072</t>
  </si>
  <si>
    <t>Sika Gard XT white-25 Kg</t>
  </si>
  <si>
    <t>SIKA-073</t>
  </si>
  <si>
    <t>ROOF / WALL COATINGS</t>
  </si>
  <si>
    <t>Sika Lastic 450 i-20 Kg</t>
  </si>
  <si>
    <t>SIKA-074</t>
  </si>
  <si>
    <t>Sika Lastic 560-10 Kg</t>
  </si>
  <si>
    <t>SIKA-075</t>
  </si>
  <si>
    <t>SikaGard 550 W-10 Kg</t>
  </si>
  <si>
    <t>SIKA-076</t>
  </si>
  <si>
    <t>SikaGard 552 W Primer-10 Kg</t>
  </si>
  <si>
    <t>SIKA-077</t>
  </si>
  <si>
    <t>EPOXY</t>
  </si>
  <si>
    <t>Sikadur 30 LP (IN)-6 Kg</t>
  </si>
  <si>
    <t>6 Kg</t>
  </si>
  <si>
    <t>SIKA-078</t>
  </si>
  <si>
    <t>Sikadur 31 (IN)-12 Kg</t>
  </si>
  <si>
    <t>12 Kg</t>
  </si>
  <si>
    <t>SIKA-079</t>
  </si>
  <si>
    <t>Sikadur 31 C-12 Kg</t>
  </si>
  <si>
    <t>SIKA-080</t>
  </si>
  <si>
    <t>Sikadur 32-6 Kg</t>
  </si>
  <si>
    <t>SIKA-081</t>
  </si>
  <si>
    <t>Sikadur 32 LP-12 Kg</t>
  </si>
  <si>
    <t>SIKA-082</t>
  </si>
  <si>
    <t>Sikadur 41-60 Kg</t>
  </si>
  <si>
    <t>60 Kg</t>
  </si>
  <si>
    <t>SIKA-083</t>
  </si>
  <si>
    <t>Sikadur 42-30 Kg</t>
  </si>
  <si>
    <t>SIKA-084</t>
  </si>
  <si>
    <t>Sikadur 42 MP (IN)-43.2 Kg</t>
  </si>
  <si>
    <t>43.2 Kg</t>
  </si>
  <si>
    <t>SIKA-085</t>
  </si>
  <si>
    <t>Sikadur 52-3.6 Kg</t>
  </si>
  <si>
    <t>3.6 Kg</t>
  </si>
  <si>
    <t>SIKA-086</t>
  </si>
  <si>
    <t>Sikadur 52 LP-4 Kg</t>
  </si>
  <si>
    <t>SIKA-087</t>
  </si>
  <si>
    <t>Sikadur 3005 -4 Kg</t>
  </si>
  <si>
    <t>5.4 Kg</t>
  </si>
  <si>
    <t>SIKA-088</t>
  </si>
  <si>
    <t>Sikadur 330-3 Kg</t>
  </si>
  <si>
    <t>3 Kg</t>
  </si>
  <si>
    <t>SIKA-089</t>
  </si>
  <si>
    <t>Sikaguard 67 RAL 7035-8 Kg</t>
  </si>
  <si>
    <t>8 Kg</t>
  </si>
  <si>
    <t>SIKA-090</t>
  </si>
  <si>
    <t>Sikaguard 694 F(I)-16 Kg</t>
  </si>
  <si>
    <t>16 Kg</t>
  </si>
  <si>
    <t>SIKA-091</t>
  </si>
  <si>
    <t>ZINC PRIMER</t>
  </si>
  <si>
    <t>Sika Friazinc R-4 Kg</t>
  </si>
  <si>
    <t>SIKA-092</t>
  </si>
  <si>
    <t>COAL TAR EPOXY</t>
  </si>
  <si>
    <t>Inertol Poxitar010 Kg</t>
  </si>
  <si>
    <t>SIKA-093</t>
  </si>
  <si>
    <t>Sikadur 53 (UF)-6 Kg</t>
  </si>
  <si>
    <t>SIKA-094</t>
  </si>
  <si>
    <t>WATERPROOFING
CEMENTITIOUS</t>
  </si>
  <si>
    <t>Sika Top Seal 107-25 Kg</t>
  </si>
  <si>
    <t>SIKA-095</t>
  </si>
  <si>
    <t>Sika Top Seal 109Hi-50 Kg</t>
  </si>
  <si>
    <t>SIKA-096</t>
  </si>
  <si>
    <t>APP BITUMEN</t>
  </si>
  <si>
    <t>Sika WP Shield 103P 3mm-44 Kg</t>
  </si>
  <si>
    <t>44 Kg</t>
  </si>
  <si>
    <t>SIKA-097</t>
  </si>
  <si>
    <t>Sika WP Shield 103 PM 3mm-47 Kg</t>
  </si>
  <si>
    <t>47 Kg</t>
  </si>
  <si>
    <t>SIKA-098</t>
  </si>
  <si>
    <t>Sika WP Shield 104 P 4 mm-55 Kg</t>
  </si>
  <si>
    <t>55 Kg</t>
  </si>
  <si>
    <t>SIKA-099</t>
  </si>
  <si>
    <t>Sika WP Shield 104 PM 4mm-58 Kg</t>
  </si>
  <si>
    <t>58 Kg</t>
  </si>
  <si>
    <t>SIKA-100</t>
  </si>
  <si>
    <t>Sika WP Shield Primer (Water)-20 Kg</t>
  </si>
  <si>
    <t>SIKA-101</t>
  </si>
  <si>
    <t>Sika Bit Primer (Oil)-20 Kg</t>
  </si>
  <si>
    <t>SIKA-102</t>
  </si>
  <si>
    <t>SELF ADHESIVE
MEMBRANE</t>
  </si>
  <si>
    <t>SikaBit W-15- 20 Mtr</t>
  </si>
  <si>
    <t>20 Mtr</t>
  </si>
  <si>
    <t>SIKA-103</t>
  </si>
  <si>
    <t>SikaBIt W-1 Primer-25 Kg</t>
  </si>
  <si>
    <t>SIKA-104</t>
  </si>
  <si>
    <t>Sika Multiseal T 10cm x 10m -30 Mtr</t>
  </si>
  <si>
    <t>30 Mtr</t>
  </si>
  <si>
    <t>SIKA-105</t>
  </si>
  <si>
    <t>CRYSTALLINE
ADMIXTURE</t>
  </si>
  <si>
    <t>Sika WT 200-20 Kg</t>
  </si>
  <si>
    <t>SIKA-106</t>
  </si>
  <si>
    <t>CRYSTALLINE
COATING</t>
  </si>
  <si>
    <t>Sika 101 H-30 Kg</t>
  </si>
  <si>
    <t>SIKA-107</t>
  </si>
  <si>
    <t>CURING COMPOUND</t>
  </si>
  <si>
    <t>Antisol E WP-20 Kg</t>
  </si>
  <si>
    <t>SIKA-108</t>
  </si>
  <si>
    <t>Antisol A42-30 Kg</t>
  </si>
  <si>
    <t>230 Kg</t>
  </si>
  <si>
    <t>SIKA-109</t>
  </si>
  <si>
    <t>Antisol  A4 White2-30 Kg</t>
  </si>
  <si>
    <t>SIKA-110</t>
  </si>
  <si>
    <t>Sika - 10 Primer-10 Kg</t>
  </si>
  <si>
    <t>SIKA-111</t>
  </si>
  <si>
    <t>RUST REMOVAL &amp; COATINGS</t>
  </si>
  <si>
    <t>SikaTop Armatec - 108-15 Kg</t>
  </si>
  <si>
    <t>15 Kg</t>
  </si>
  <si>
    <t>SIKA-112</t>
  </si>
  <si>
    <t>Sika Rust Off 100-20 Kg</t>
  </si>
  <si>
    <t>SIKA-113</t>
  </si>
  <si>
    <t>Sika Rust Off 100- 1 Kg</t>
  </si>
  <si>
    <t>1 Kg</t>
  </si>
  <si>
    <t>SIKA-114</t>
  </si>
  <si>
    <t>Sika Rustop (1.25 kg x 7)-7.5 Kg</t>
  </si>
  <si>
    <t>7.5 Kg</t>
  </si>
  <si>
    <t>SIKA-115</t>
  </si>
  <si>
    <t>Expansion Joint Tape</t>
  </si>
  <si>
    <t>Sika Combiflex SG 10P- 1MM x 150MM x 25Mtr</t>
  </si>
  <si>
    <t>1MM x 150MM x 25Mtr</t>
  </si>
  <si>
    <t>SIKA-116</t>
  </si>
  <si>
    <t>Sika Combiflex SG 20P- 2MM x 150MM x 25Mtr</t>
  </si>
  <si>
    <t>2MM x 150MM x 25Mtr</t>
  </si>
  <si>
    <t>SIKA-117</t>
  </si>
  <si>
    <t>PU-INJECTION</t>
  </si>
  <si>
    <t>Sika Injection 101-11 Kg</t>
  </si>
  <si>
    <t>11 Kg</t>
  </si>
  <si>
    <t>SIKA-118</t>
  </si>
  <si>
    <t>Sika Injection 201-20 Kg</t>
  </si>
  <si>
    <t>SIKA-119</t>
  </si>
  <si>
    <t>SWELLABLE WATERBAR</t>
  </si>
  <si>
    <t>Sika Swell A - 2010 20mm x 10mm-60 Mtr</t>
  </si>
  <si>
    <t>60 Mtr</t>
  </si>
  <si>
    <r>
      <rPr>
        <b/>
        <sz val="8.5"/>
        <rFont val="Arial"/>
        <family val="2"/>
      </rPr>
      <t>20 Kg</t>
    </r>
  </si>
  <si>
    <r>
      <rPr>
        <b/>
        <sz val="8.5"/>
        <rFont val="Arial"/>
        <family val="2"/>
      </rPr>
      <t>60 Mtr</t>
    </r>
  </si>
  <si>
    <t>Categry</t>
  </si>
  <si>
    <t>Price Unit</t>
  </si>
  <si>
    <t xml:space="preserve">Purchase price </t>
  </si>
  <si>
    <t>Below Ground</t>
  </si>
  <si>
    <t>DR. FIXIT PREBOND E[ROLLS 2.4M X 20 MTRS</t>
  </si>
  <si>
    <t>DR. FIXIT PREBOND S[ROLL 2.4MTR X 20 MTR</t>
  </si>
  <si>
    <t>DR. FIXIT SAMSHIELD XL1500 KWIK</t>
  </si>
  <si>
    <t>DR.FIX PREBOND DS TAPE[1U-10CM 30M ROLL]</t>
  </si>
  <si>
    <t>DR.FIXIT PREBOND E(2X20) MTR</t>
  </si>
  <si>
    <t>DR.FIXIT PREBOND S - [1.8 MM]</t>
  </si>
  <si>
    <t>DR.FIXIT PREBOND SS TAPE [20 M X 100 MM]</t>
  </si>
  <si>
    <t>DR.FIXIT PREBOND W-[1.5 MM</t>
  </si>
  <si>
    <t>DR.FIXIT PREBOND W [2 X 20 MTR]</t>
  </si>
  <si>
    <t>DR.FIXIT PREBOND R[2.4 M X 20.00 M ROLL]</t>
  </si>
  <si>
    <t>DR.FIXIT PREBOND W-[1.8 MM]</t>
  </si>
  <si>
    <t>DR.FIXIT PREBOND W[20 MTR X 2.4 MTR]</t>
  </si>
  <si>
    <t>DR.FIXIT PREBOND W [1.2MM]</t>
  </si>
  <si>
    <t>DR.FIXIT SAMSHIELD  PS2100-IMP=1ROL-1MX1</t>
  </si>
  <si>
    <t>DR.FIXIT SAMSHIELD  XL1500-IMP=1ROL-1MX1</t>
  </si>
  <si>
    <t>DR.FIXIT SAMSHIELD P 1500 [1.5MM THICK]</t>
  </si>
  <si>
    <t>DR.FIXIT SAMSHIELD PS 3500 AR [10M X 1M</t>
  </si>
  <si>
    <t>DR.FX SAMSHIELD TAPE TS[225MMX10MX1.5MM]</t>
  </si>
  <si>
    <t>POLYPLUS CP [25 KG]</t>
  </si>
  <si>
    <t>DR.FIXIT PREBOND S [2 X 20 MTR]</t>
  </si>
  <si>
    <t>Gap Fill</t>
  </si>
  <si>
    <t>DR. FIXIT PIDISEAL PS 43[32 KG]</t>
  </si>
  <si>
    <t>DR. FIXIT PIDISEAL PS 43[6.5 KG]</t>
  </si>
  <si>
    <t>DR.FIXIT PIDISEAL PS 41G[32 KG]</t>
  </si>
  <si>
    <t>DR.FIXIT PIDISEAL PS 41G[6.5 KG]</t>
  </si>
  <si>
    <t>FEVISEAL GP [CLEAR 260 ML IHC]</t>
  </si>
  <si>
    <t>FEVISEAL GP PRO  BLACK [280 ML] IHC</t>
  </si>
  <si>
    <t>FEVISEAL GP PRO  WHITE [280 ML] IHC</t>
  </si>
  <si>
    <t>FEVISEAL GP PRO [CLEAR 280 ML IHC]</t>
  </si>
  <si>
    <t>FEVISEAL GP PRO BLACK [280 ML] P2P</t>
  </si>
  <si>
    <t>FEVISEAL GP PRO WHITE [280 ML] P2P</t>
  </si>
  <si>
    <t>FEVISEAL HY 100 HYBRID SEALANT LM GREY [</t>
  </si>
  <si>
    <t>FEVISEAL HY 100 HYBRID SEALANT LM WHITE</t>
  </si>
  <si>
    <t>FEVISEAL HY 100 IN GRY [600 ML]</t>
  </si>
  <si>
    <t>FEVISEAL HY 200 [600ML]</t>
  </si>
  <si>
    <t>FEVISEAL HY 300 HYBRID SEALANT HM GREY [</t>
  </si>
  <si>
    <t>FEVISEAL HY 300 HYBRID SEALANT HM WHITE</t>
  </si>
  <si>
    <t>FEVISEAL MULTIPURPOSE[WHITE 280ML]</t>
  </si>
  <si>
    <t>FEVISEAL NEUTRAL PRO [CLEAR 280 ML IHC]</t>
  </si>
  <si>
    <t>FEVISEAL NEUTRAL PRO BLACK [280 ML]  IHC</t>
  </si>
  <si>
    <t>FEVISEAL NEUTRAL PRO[BLACK  280ML ]</t>
  </si>
  <si>
    <t>FEVISEAL NEUTRAL PRO[CLEAR  280ML ]</t>
  </si>
  <si>
    <t>FEVISEAL NEUTRAL PRO[WHITE  280ML ]</t>
  </si>
  <si>
    <t>FEVISEAL WEATHERPROOF PRO[BLACK  280ML ]</t>
  </si>
  <si>
    <t>FEVISEAL WEATHERPROOF PRO[CLEAR  280ML ]</t>
  </si>
  <si>
    <t>FEVISEAL WEATHERPROOF PRO[WHITE  280ML ]</t>
  </si>
  <si>
    <t>Industries</t>
  </si>
  <si>
    <t>DR FIXIT CONCRETE GUARD WB - DARK BASE [</t>
  </si>
  <si>
    <t>DR FIXIT CONCRETE GUARD WB - WHITE BASE</t>
  </si>
  <si>
    <t>DR FIXIT CONCRETE GUARD WB CEMENT GREY [</t>
  </si>
  <si>
    <t>PAGEL V1/50 [30 KG]</t>
  </si>
  <si>
    <t>Integral</t>
  </si>
  <si>
    <t>DR FIXIT LW  PROMO PACK ND [5 LT] WITH M</t>
  </si>
  <si>
    <t>DR FIXIT PIDIPROOF LW [1 LT] ND NF</t>
  </si>
  <si>
    <t>DR FIXIT PIDIPROOF LW [100 LT] NF</t>
  </si>
  <si>
    <t>DR FIXIT PIDIPROOF LW [50 LT] PTD NF</t>
  </si>
  <si>
    <t>DR FIXIT PIDIPROOF LW+ [50 LTRS]</t>
  </si>
  <si>
    <t>DR FIXIT PIDIPROOF LW+ SUPER [10 LTR]</t>
  </si>
  <si>
    <t>DR FIXIT PIDIPROOF LW+ SUPER [100 LT]</t>
  </si>
  <si>
    <t>DR FIXIT PIDIPROOF LW+ SUPER [20 LTR]</t>
  </si>
  <si>
    <t>DR FIXIT PIDIPROOF LW+ SUPER [50 LT]</t>
  </si>
  <si>
    <t>DR FIXIT PLASTER MASTER [10 LT]</t>
  </si>
  <si>
    <t>DR FIXIT PLASTER MASTER [20 LT]</t>
  </si>
  <si>
    <t>DR FIXIT PLASTER MASTER [5 LT]</t>
  </si>
  <si>
    <t>DR FIXIT POLYPLUS CP ADMIX [20 KG BOPP B</t>
  </si>
  <si>
    <t>DR. FIXIT PIDIPROOF LW [10LT] NF</t>
  </si>
  <si>
    <t>DR. FIXIT PIDIPROOF LW [5 LT] ND NF</t>
  </si>
  <si>
    <t>DR.FIXIT PIDIPROOF LW  [20 LT] NF</t>
  </si>
  <si>
    <t>DR.FX KRYSTALLINE [25 KG]</t>
  </si>
  <si>
    <t>DR.FX PIDIPROOF LW+ [100LT]</t>
  </si>
  <si>
    <t>DR.FX PIDIPROOF LW+ [10LT]</t>
  </si>
  <si>
    <t>DR.FX PIDIPROOF LW+ [20 LT]</t>
  </si>
  <si>
    <t>KG</t>
  </si>
  <si>
    <t>Others</t>
  </si>
  <si>
    <t>DR. FIXIT BITUFIX [20 KG]</t>
  </si>
  <si>
    <t>DR. FIXIT BITUFIX [5 KG]</t>
  </si>
  <si>
    <t>DR. FIXIT PRIMO WHITE [1 LT]</t>
  </si>
  <si>
    <t>DR. FIXIT PRIMO WHITE [10 LT]</t>
  </si>
  <si>
    <t>DR. FIXIT PRIMO WHITE [20 LT]</t>
  </si>
  <si>
    <t>DR. FIXIT PRIMO WHITE [4 LT]</t>
  </si>
  <si>
    <t>DR. FIXIT SURE SEAL [20 KG PROMO]</t>
  </si>
  <si>
    <t>DR. FIXIT WONDERPROOF 100 [19 KG]</t>
  </si>
  <si>
    <t>DR.FIXIT POLYBAR PLUS  [20 MM X 05 MM]</t>
  </si>
  <si>
    <t>DR.FIXIT POLYBAR PLUS  [20 MM X 10 MM]</t>
  </si>
  <si>
    <t>DR.FIXIT TRIFLEX SMARTEC [14 KG]</t>
  </si>
  <si>
    <t>DR.FX CURING COMPOUND (225LT)</t>
  </si>
  <si>
    <t>DR.FX INSTANT LEAK PLUG [1KG]</t>
  </si>
  <si>
    <t>DR.FX REPELLIN WR [10LT]</t>
  </si>
  <si>
    <t>DR.FX REPELLIN WR [1LT]</t>
  </si>
  <si>
    <t>DR.FX RUST REMOVER [1LT] (NPD)</t>
  </si>
  <si>
    <t>DR.FX RUST REMOVER [500ML]</t>
  </si>
  <si>
    <t>DR.FX SURE SEAL [1KG]</t>
  </si>
  <si>
    <t>Podium</t>
  </si>
  <si>
    <t>DR.FIXIT SUPERSEAL 500  [PART A-10 KG PA</t>
  </si>
  <si>
    <t>Repair</t>
  </si>
  <si>
    <t>DR. FIXIT TANK PRIME</t>
  </si>
  <si>
    <t>DR. FIXIT WATERPROOF WALL PUTTY [40 KG]</t>
  </si>
  <si>
    <t>DR.FIXIT PU FOAM INJECTION [5.5 KG]</t>
  </si>
  <si>
    <t>DR.FIXIT PU PLAIN INJECTION [5 KG]</t>
  </si>
  <si>
    <t>DR.FIXIT ZINC RICH PRIMER [1 LT]</t>
  </si>
  <si>
    <t>DR.FX CRACK X POWDER [1KG]</t>
  </si>
  <si>
    <t>DR.FX CRACK X POWDER [25 KG]</t>
  </si>
  <si>
    <t>DR.FX CRACK X POWDER [500 GM]</t>
  </si>
  <si>
    <t>DR.FX EPX BONDING AGENT [1KG]</t>
  </si>
  <si>
    <t>DR.FX EPX INJECTION GROUT[3 KG]</t>
  </si>
  <si>
    <t>DR.FX PIDICRETE AM [225 GM]X1X20X.225</t>
  </si>
  <si>
    <t>Roof</t>
  </si>
  <si>
    <t>*DR.FX PIDICRETE URP [225 KG]</t>
  </si>
  <si>
    <t>DFX CIPOXY 16D [40 LTR] SET</t>
  </si>
  <si>
    <t>DFX CIPOXY 16D[5 LTR] SET</t>
  </si>
  <si>
    <t>DR FIXIT ACTIVATOR F [250 KG]</t>
  </si>
  <si>
    <t>DR FIXIT BLUESEAL [210KG BASE PACK]</t>
  </si>
  <si>
    <t>DR FIXIT COOL ROOF COATING[20 LTR]</t>
  </si>
  <si>
    <t>DR FIXIT FLEXI PU 270 ( I )[25 KG]</t>
  </si>
  <si>
    <t>DR FIXIT ROOFSEAL CLASSIC [1 X 20 LT]</t>
  </si>
  <si>
    <t>DR FIXIT ROOFSEAL SEL TERRACOTTA [20 L]</t>
  </si>
  <si>
    <t>DR FIXIT ROOFSEAL SELECT GREY [20 LT]</t>
  </si>
  <si>
    <t>DR FIXIT ROOFSEAL SELECT WHITE [20 LT]</t>
  </si>
  <si>
    <t>DR. FIXIT CIPOXY 16 D HARDNER - 20 LTR</t>
  </si>
  <si>
    <t>DR. FIXIT CIPOXY 16 D RESIN - 20 LTR</t>
  </si>
  <si>
    <t>DR. FIXIT SUPERSEAL 4500 PUH [420 KG ]</t>
  </si>
  <si>
    <t>DR. FIXIT SUPERSEAL 4500 PUH [435 KG]</t>
  </si>
  <si>
    <t>DR. FIXIT SUPERSEAL 600 PART B</t>
  </si>
  <si>
    <t>DR. FIXIT SUPERSEAL 900 PART A</t>
  </si>
  <si>
    <t>DR. FIXIT SUPERSEAL 900 PART B - KGS</t>
  </si>
  <si>
    <t>DR. FIXIT SUPERSEAL 900 SET [16 KG]</t>
  </si>
  <si>
    <t>DR. FIXIT SUPERSEAL TC 1000 ULTRA GREY</t>
  </si>
  <si>
    <t>SET</t>
  </si>
  <si>
    <t>DR.FIXIT TRIFLEX GLASS PRIMER [750 ML]</t>
  </si>
  <si>
    <t>DR.FIXIT TRIFLEX METAL PRIMER [3 LT]</t>
  </si>
  <si>
    <t>DR.FIXIT TRIFLEX PRIMER 610 [500 ML]</t>
  </si>
  <si>
    <t>DR.FIXIT TRIFLEX PRODETAIL [15 KG]</t>
  </si>
  <si>
    <t>DR.FIXIT TRIFLEX PROTECT [20 KG]</t>
  </si>
  <si>
    <t>DR.FX PIDICRETE URP [20KG]</t>
  </si>
  <si>
    <t>DR.FX PIDICRETE URP [50 KG] (NPD)</t>
  </si>
  <si>
    <t>DR.FX TORCHSHIELD PRIMER [20LT]</t>
  </si>
  <si>
    <t>FOAMSHIELD - ACTIVATOR(250KG)</t>
  </si>
  <si>
    <t>PIDIPRIME A PRIMER FOR POLYSULPHIDE SLNT</t>
  </si>
  <si>
    <t>Tank</t>
  </si>
  <si>
    <t>DR. FIXIT COAL TAR EPOXY HS HARDNER - LT</t>
  </si>
  <si>
    <t>DR. FIXIT COAL TAR EPOXY HS RESIN - LTR</t>
  </si>
  <si>
    <t>DR. FIXIT TANKPRO E-[13 KG]  PART A-3KG</t>
  </si>
  <si>
    <t>DR. FIXIT TANKPRO W- [PART B-7.5KG   PAR</t>
  </si>
  <si>
    <t>Wall Coating</t>
  </si>
  <si>
    <t>DR FX RAINCOAT CLASSIC TC WHT PROMO-20LT</t>
  </si>
  <si>
    <t>DR.FIXIT RAINCOAT NEO WHITE BASE[20  LT]</t>
  </si>
  <si>
    <t>DR.FX RAINCOAT-DARK BSE [19LT]</t>
  </si>
  <si>
    <t>DR.FX RAINCOAT-MID TONE BSE [19LT]</t>
  </si>
  <si>
    <t>DR.FX RAINCOAT-WHT BSE [20LT]</t>
  </si>
  <si>
    <t>Water Tank</t>
  </si>
  <si>
    <t>DR. FIXIT DAMPGUARD CLASSIC [200KG]</t>
  </si>
  <si>
    <t>DR.FX DAMPGUARD CLASSIC [1KG]</t>
  </si>
  <si>
    <t>Wet Areas</t>
  </si>
  <si>
    <t>*DR.FX FASTFLEX [12 KG]</t>
  </si>
  <si>
    <t>DR FIXIT FASTFLEX [48 KG]</t>
  </si>
  <si>
    <t>DR.FX PIDIFIN 2 K [15KG]</t>
  </si>
  <si>
    <t>DR FIXIT PIDIFIN 2K [30 KG]</t>
  </si>
  <si>
    <t>DR FIXIT PIDIFIN 2K [90 KG]</t>
  </si>
  <si>
    <t>DR FIXIT POWERCRETE [100 KG]</t>
  </si>
  <si>
    <t>DR. FIXIT BATHSEAL SELECT [10 LT]</t>
  </si>
  <si>
    <t>DR. FIXIT BATHSEAL SELECT[20 LITRE]</t>
  </si>
  <si>
    <t>DR. FIXIT FASTFLEX ULTRA [11 KG] SCHM</t>
  </si>
  <si>
    <t>DR. FIXIT FASTFLEX ULTRA [44 KG] SCHM</t>
  </si>
  <si>
    <t>DR.FIXIT BATHSEAL TAP-100MMX10M-1ROL</t>
  </si>
  <si>
    <t>DR.FX POWERCRETE [20KG]</t>
  </si>
  <si>
    <t>DR.FX POWERCRETE [50 KG]</t>
  </si>
  <si>
    <t>DFX FLEXIPU 500GC [18.9 L]</t>
  </si>
  <si>
    <t>DR.FIXIT AQUASEAL PRIMER [17.5 LT]</t>
  </si>
  <si>
    <t>New</t>
  </si>
  <si>
    <t>DR. FIXIT KRYSTALLINE ADMIX- [20 KG] BOP</t>
  </si>
  <si>
    <t>DR-FIXIT001</t>
  </si>
  <si>
    <t>DR-FIXIT002</t>
  </si>
  <si>
    <t>DR-FIXIT003</t>
  </si>
  <si>
    <t>DR-FIXIT004</t>
  </si>
  <si>
    <t>DR-FIXIT005</t>
  </si>
  <si>
    <t>DR-FIXIT006</t>
  </si>
  <si>
    <t>DR-FIXIT007</t>
  </si>
  <si>
    <t>DR-FIXIT008</t>
  </si>
  <si>
    <t>DR-FIXIT009</t>
  </si>
  <si>
    <t>DR-FIXIT010</t>
  </si>
  <si>
    <t>DR-FIXIT011</t>
  </si>
  <si>
    <t>DR-FIXIT012</t>
  </si>
  <si>
    <t>DR-FIXIT013</t>
  </si>
  <si>
    <t>DR-FIXIT014</t>
  </si>
  <si>
    <t>DR-FIXIT015</t>
  </si>
  <si>
    <t>DR-FIXIT016</t>
  </si>
  <si>
    <t>DR-FIXIT017</t>
  </si>
  <si>
    <t>DR-FIXIT018</t>
  </si>
  <si>
    <t>DR-FIXIT019</t>
  </si>
  <si>
    <t>DR-FIXIT020</t>
  </si>
  <si>
    <t>DR-FIXIT021</t>
  </si>
  <si>
    <t>DR-FIXIT022</t>
  </si>
  <si>
    <t>DR-FIXIT023</t>
  </si>
  <si>
    <t>DR-FIXIT024</t>
  </si>
  <si>
    <t>DR-FIXIT025</t>
  </si>
  <si>
    <t>DR-FIXIT026</t>
  </si>
  <si>
    <t>DR-FIXIT027</t>
  </si>
  <si>
    <t>DR-FIXIT028</t>
  </si>
  <si>
    <t>DR-FIXIT029</t>
  </si>
  <si>
    <t>DR-FIXIT030</t>
  </si>
  <si>
    <t>DR-FIXIT031</t>
  </si>
  <si>
    <t>DR-FIXIT032</t>
  </si>
  <si>
    <t>DR-FIXIT033</t>
  </si>
  <si>
    <t>DR-FIXIT034</t>
  </si>
  <si>
    <t>DR-FIXIT035</t>
  </si>
  <si>
    <t>DR-FIXIT036</t>
  </si>
  <si>
    <t>DR-FIXIT037</t>
  </si>
  <si>
    <t>DR-FIXIT038</t>
  </si>
  <si>
    <t>DR-FIXIT039</t>
  </si>
  <si>
    <t>DR-FIXIT040</t>
  </si>
  <si>
    <t>DR-FIXIT041</t>
  </si>
  <si>
    <t>DR-FIXIT042</t>
  </si>
  <si>
    <t>DR-FIXIT043</t>
  </si>
  <si>
    <t>DR-FIXIT044</t>
  </si>
  <si>
    <t>DR-FIXIT045</t>
  </si>
  <si>
    <t>DR-FIXIT046</t>
  </si>
  <si>
    <t>DR-FIXIT047</t>
  </si>
  <si>
    <t>DR-FIXIT048</t>
  </si>
  <si>
    <t>DR-FIXIT049</t>
  </si>
  <si>
    <t>DR-FIXIT050</t>
  </si>
  <si>
    <t>DR-FIXIT051</t>
  </si>
  <si>
    <t>DR-FIXIT052</t>
  </si>
  <si>
    <t>DR-FIXIT053</t>
  </si>
  <si>
    <t>DR-FIXIT054</t>
  </si>
  <si>
    <t>DR-FIXIT055</t>
  </si>
  <si>
    <t>DR-FIXIT056</t>
  </si>
  <si>
    <t>DR-FIXIT057</t>
  </si>
  <si>
    <t>DR-FIXIT058</t>
  </si>
  <si>
    <t>DR-FIXIT059</t>
  </si>
  <si>
    <t>DR-FIXIT060</t>
  </si>
  <si>
    <t>DR-FIXIT061</t>
  </si>
  <si>
    <t>DR-FIXIT062</t>
  </si>
  <si>
    <t>DR-FIXIT063</t>
  </si>
  <si>
    <t>DR-FIXIT064</t>
  </si>
  <si>
    <t>DR-FIXIT065</t>
  </si>
  <si>
    <t>DR-FIXIT066</t>
  </si>
  <si>
    <t>DR-FIXIT067</t>
  </si>
  <si>
    <t>DR-FIXIT068</t>
  </si>
  <si>
    <t>DR-FIXIT069</t>
  </si>
  <si>
    <t>DR-FIXIT104</t>
  </si>
  <si>
    <t>DR-FIXIT105</t>
  </si>
  <si>
    <t>DR-FIXIT106</t>
  </si>
  <si>
    <t>DR-FIXIT107</t>
  </si>
  <si>
    <t>DR-FIXIT108</t>
  </si>
  <si>
    <t>DR-FIXIT109</t>
  </si>
  <si>
    <t>DR-FIXIT110</t>
  </si>
  <si>
    <t>DR-FIXIT113</t>
  </si>
  <si>
    <t>DR-FIXIT120</t>
  </si>
  <si>
    <t>DR-FIXIT121</t>
  </si>
  <si>
    <t>DR-FIXIT122</t>
  </si>
  <si>
    <t>DR-FIXIT123</t>
  </si>
  <si>
    <t>DR-FIXIT124</t>
  </si>
  <si>
    <t>DR-FIXIT125</t>
  </si>
  <si>
    <t>DR-FIXIT126</t>
  </si>
  <si>
    <t>DR-FIXIT127</t>
  </si>
  <si>
    <t>DR-FIXIT128</t>
  </si>
  <si>
    <t>DR-FIXIT129</t>
  </si>
  <si>
    <t>DR-FIXIT139</t>
  </si>
  <si>
    <t>DR-FIXIT143</t>
  </si>
  <si>
    <t>DR-FIXIT144</t>
  </si>
  <si>
    <t>DR-FIXIT147</t>
  </si>
  <si>
    <t>DR-FIXIT148</t>
  </si>
  <si>
    <t>DR-FIXIT149</t>
  </si>
  <si>
    <t>DR-FIXIT150</t>
  </si>
  <si>
    <t>DR-FIXIT151</t>
  </si>
  <si>
    <t>DR-FIXIT152</t>
  </si>
  <si>
    <t>DR-FIXIT153</t>
  </si>
  <si>
    <t>DR-FIXIT154</t>
  </si>
  <si>
    <t>DR-FIXIT157</t>
  </si>
  <si>
    <t>DR-FIXIT158</t>
  </si>
  <si>
    <t>DR-FIXIT159</t>
  </si>
  <si>
    <t>DR-FIXIT160</t>
  </si>
  <si>
    <t>DR-FIXIT161</t>
  </si>
  <si>
    <t>DR-FIXIT162</t>
  </si>
  <si>
    <t>DR-FIXIT163</t>
  </si>
  <si>
    <t>DR-FIXIT164</t>
  </si>
  <si>
    <t>DR-FIXIT169</t>
  </si>
  <si>
    <t>DR-FIXIT174</t>
  </si>
  <si>
    <t>DR-FIXIT175</t>
  </si>
  <si>
    <t>DR-FIXIT176</t>
  </si>
  <si>
    <t>DR-FIXIT179</t>
  </si>
  <si>
    <t>DR-FIXIT180</t>
  </si>
  <si>
    <t>DR-FIXIT197</t>
  </si>
  <si>
    <t>DR-FIXIT198</t>
  </si>
  <si>
    <t>DR-FIXIT199</t>
  </si>
  <si>
    <t>DR-FIXIT200</t>
  </si>
  <si>
    <t>DR-FIXIT201</t>
  </si>
  <si>
    <t>DR-FIXIT202</t>
  </si>
  <si>
    <t>DR-FIXIT204</t>
  </si>
  <si>
    <t>DR-FIXIT210</t>
  </si>
  <si>
    <t>DR-FIXIT211</t>
  </si>
  <si>
    <t>DR-FIXIT212</t>
  </si>
  <si>
    <t>DR-FIXIT213</t>
  </si>
  <si>
    <t>DR-FIXIT214</t>
  </si>
  <si>
    <t>DR-FIXIT222</t>
  </si>
  <si>
    <t>DR-FIXIT224</t>
  </si>
  <si>
    <t>DR-FIXIT236</t>
  </si>
  <si>
    <t>DR-FIXIT237</t>
  </si>
  <si>
    <t>DR-FIXIT238</t>
  </si>
  <si>
    <t>DR-FIXIT239</t>
  </si>
  <si>
    <t>DR-FIXIT240</t>
  </si>
  <si>
    <t>DR-FIXIT241</t>
  </si>
  <si>
    <t>DR-FIXIT242</t>
  </si>
  <si>
    <t>DR-FIXIT264</t>
  </si>
  <si>
    <t>DR-FIXIT282</t>
  </si>
  <si>
    <t>DR-FIXIT285</t>
  </si>
  <si>
    <t>DR-FIXIT287</t>
  </si>
  <si>
    <t>DR-FIXIT291</t>
  </si>
  <si>
    <t>DR-FIXIT467</t>
  </si>
  <si>
    <t>DR-FIXIT468</t>
  </si>
  <si>
    <t>DR-FIXIT469</t>
  </si>
  <si>
    <t>DR-FIXIT470</t>
  </si>
  <si>
    <t>DR-FIXIT471</t>
  </si>
  <si>
    <t>DR-FIXIT472</t>
  </si>
  <si>
    <t>DR-FIXIT473</t>
  </si>
  <si>
    <t>DR-FIXIT474</t>
  </si>
  <si>
    <t>DR-FIXIT475</t>
  </si>
  <si>
    <t>DR-FIXIT476</t>
  </si>
  <si>
    <t>DR-FIXIT477</t>
  </si>
  <si>
    <t>DR-FIXIT478</t>
  </si>
  <si>
    <t>DR-FIXIT479</t>
  </si>
  <si>
    <t>DR-FIXIT480</t>
  </si>
  <si>
    <t>DR-FIXIT481</t>
  </si>
  <si>
    <t>DR-FIXIT484</t>
  </si>
  <si>
    <t>DR-FIXIT485</t>
  </si>
  <si>
    <t>DR-FIXIT486</t>
  </si>
  <si>
    <t>Products Name</t>
  </si>
  <si>
    <t>Unit</t>
  </si>
  <si>
    <t>BUCKET</t>
  </si>
  <si>
    <t>POUCH</t>
  </si>
  <si>
    <t>SAUSAGE</t>
  </si>
  <si>
    <t>COTRAGE</t>
  </si>
  <si>
    <t>CAN</t>
  </si>
  <si>
    <t>DRUM</t>
  </si>
  <si>
    <t>BKT</t>
  </si>
  <si>
    <t>SAP Item Codes</t>
  </si>
  <si>
    <t>HSN Code</t>
  </si>
  <si>
    <t>Item Name</t>
  </si>
  <si>
    <t xml:space="preserve">Ex Depot Price </t>
  </si>
  <si>
    <t>ZPTR</t>
  </si>
  <si>
    <t>TENAX STONE</t>
  </si>
  <si>
    <t>TENAX</t>
  </si>
  <si>
    <t>03 LIQUIDO 3G CAT.TUB. / 6 PAGLIERINO[1.</t>
  </si>
  <si>
    <t>03 LIQUIDO 3G CAT.TUB/6 BIANCO2 kg1,5(L)</t>
  </si>
  <si>
    <t>Liquido BINACO (WHITE) - 1.35 Kg</t>
  </si>
  <si>
    <t>Liquido PAGLIERINO (IVORY) - 1.35 Kg</t>
  </si>
  <si>
    <t>Liquido BIANCO2 (ULTRA WHITE) - 1.35 Kg</t>
  </si>
  <si>
    <t>03 LIQUIDO 3G CAT.TUB. BIANCO [250 GM]</t>
  </si>
  <si>
    <t>Liquido PAGLIERINO (IVORY) - 250 GM</t>
  </si>
  <si>
    <t>Liquido BIANCO2 (ULTRA WHITE) - 250 GM</t>
  </si>
  <si>
    <t>03 LIQUIDO 3G CAT.TUB.   6 PAGLIERINO[50</t>
  </si>
  <si>
    <t>03 LIQUIDO 3G CAT.TUB. BIANCO[500 GM]</t>
  </si>
  <si>
    <t>03 LIQUIDO 3G CAT.TUB. BIANCO2[500 GM]</t>
  </si>
  <si>
    <t>03 SOLIDO 3G CAT.TUBETTO / 6 PAGLIERINO[</t>
  </si>
  <si>
    <t>03 SOLIDO 3G CAT.TUB/6 BIANCO2 kg 1,5(L)</t>
  </si>
  <si>
    <t>SOLIDO TRASP. 3G CAT.TUBETTO TRASPARENTE</t>
  </si>
  <si>
    <t>Solido BIANCO (WHITE) - 1.35 Kg</t>
  </si>
  <si>
    <t>Solido PAGLIERINO (IVORY) - 1.35 Kg</t>
  </si>
  <si>
    <t>Solido BIANCO2 ( ULTRA WHITE) - 1.35 Kg</t>
  </si>
  <si>
    <t>Solido Transparente - 1LT + 50 gm</t>
  </si>
  <si>
    <t>03 SOLIDO 3G CAT.TUBETTO   6 BIANCO[250</t>
  </si>
  <si>
    <t>Solido PAGLIERINO (IVORY) - 250 GM</t>
  </si>
  <si>
    <t>Solido BIANCO2 ( ULTRA WHITE) - 250 GM</t>
  </si>
  <si>
    <t>03 SOLIDO 3G CAT.TUBETTO   6 BIANCO[500</t>
  </si>
  <si>
    <t>03 SOLIDO 3G CAT.TUBETTO   6 PAGLIERINO[</t>
  </si>
  <si>
    <t>Solido BIANCO2 ( ULTRA WHITE) - 500g</t>
  </si>
  <si>
    <t>FLUIDO TRASP. 3G CAT.TUB. TRASPARENTE[1</t>
  </si>
  <si>
    <t>Fluido Transparente - 1LT + 50 gm</t>
  </si>
  <si>
    <t>ELIOX B TRASP[500 GM] (EO)</t>
  </si>
  <si>
    <t>1995.00</t>
  </si>
  <si>
    <t>2100.00</t>
  </si>
  <si>
    <t>ELIOX B TRASP[750 GM]</t>
  </si>
  <si>
    <t>ELIOX A TRASP[1 KG]</t>
  </si>
  <si>
    <t>2233.00</t>
  </si>
  <si>
    <t>2350.00</t>
  </si>
  <si>
    <t>ELIOX A TRASP [1.5 KG]</t>
  </si>
  <si>
    <t>THASSOS TROPICAL TRASP[1 LT] (IN)</t>
  </si>
  <si>
    <t>THASSOS TROPICAL - 1.05 LT</t>
  </si>
  <si>
    <t>AGER INVECCHIAMARMO[1 LT] (IN)</t>
  </si>
  <si>
    <t>BRAVO DISINCROSTANTE[1 LT]</t>
  </si>
  <si>
    <t>BRIO TOP[1 LT]</t>
  </si>
  <si>
    <t>BRAVO SGRASSATORE[1 LT]</t>
  </si>
  <si>
    <t>BRAVO PAVIMENTI [1 LT]</t>
  </si>
  <si>
    <t>CERA FLUIDA /6[1 LT] (CF)</t>
  </si>
  <si>
    <t>EASYWET[1 LT]</t>
  </si>
  <si>
    <t>1143.00</t>
  </si>
  <si>
    <t>1200.00</t>
  </si>
  <si>
    <t>ANTI EFFLORESCENCE[1 LT]</t>
  </si>
  <si>
    <t>HYDREX[1 LT] (HY)</t>
  </si>
  <si>
    <t>SKUDO UNIVERSAL PLUS[1 LT]</t>
  </si>
  <si>
    <t>PASTA COLORANTE UNIVERSAL BIANCA [75 ML]</t>
  </si>
  <si>
    <t>PASTA COLORANTE UNIVERSAL BUFF [75 ML]</t>
  </si>
  <si>
    <t>PASTA COLORANTE UNIVERSAL GIALLA [75 ML]</t>
  </si>
  <si>
    <t>PASTA COLORANTE UNIVERSAL MARRONE 91892</t>
  </si>
  <si>
    <t>PASTA COLORANTE UNIVERSAL NERA [75 ML]</t>
  </si>
  <si>
    <t>PASTA COLORANTE UNIVERSAL ROSSA [75 ML]</t>
  </si>
  <si>
    <t>PASTA COLORANTE UNIVERSAL[VERDE 75ML ]</t>
  </si>
  <si>
    <t>PASTA COLORANTE UNIVERSAL[BLACK GALAXY 7</t>
  </si>
  <si>
    <t>PASTA COLORANTE UNIVERSAL[BLUE PEARL 75M</t>
  </si>
  <si>
    <t>PROSEAL[1 LT]</t>
  </si>
  <si>
    <t>RESINA 911 [1 KG]</t>
  </si>
  <si>
    <t>RESINA 943 [1 KG]</t>
  </si>
  <si>
    <t>RESINA 943 S [1 KG]</t>
  </si>
  <si>
    <t>RESINA 963 [1 KG]</t>
  </si>
  <si>
    <t>RESINA 911 [5 KG]</t>
  </si>
  <si>
    <t>RESINA 943 [5 KG]</t>
  </si>
  <si>
    <t>RESINA 943 S [5 KG]</t>
  </si>
  <si>
    <t>RESINA T8[1 LT]IN</t>
  </si>
  <si>
    <t>ResinaT8 - 1.05 LT</t>
  </si>
  <si>
    <t>POLVERE LUCIDANTE GIALLA[1KG]</t>
  </si>
  <si>
    <t>POLVERE LUCIDANTE GIALLA FINE [1 KG]</t>
  </si>
  <si>
    <t>NEROPLUS NERO[1 LT]</t>
  </si>
  <si>
    <t>NEROPLUS TRASPARENTE[1 LT]</t>
  </si>
  <si>
    <t>INDURENTE BB25H [250 GM]</t>
  </si>
  <si>
    <t>INDURENTE BM30H[300 GM]</t>
  </si>
  <si>
    <t>INDURENTE MR50L [1 KG]</t>
  </si>
  <si>
    <t>INDURENTE BB25H [1 KG]</t>
  </si>
  <si>
    <t>INDURENTE BM30H [1 KG]</t>
  </si>
  <si>
    <t>INDURENTE MR25G [1 KG]</t>
  </si>
  <si>
    <t>INDURENTE BX35H [5 KG]</t>
  </si>
  <si>
    <t>TENAX RESINA 101 HARDENER [30 GM]</t>
  </si>
  <si>
    <t>TENAX RESINA 101 [1KG 30 GM]</t>
  </si>
  <si>
    <t>TENAX CERA FLUIDA[250 ML]</t>
  </si>
  <si>
    <t>TENAX AGER [250 ML]</t>
  </si>
  <si>
    <t>TENAX ELIOX [1.5 KG]</t>
  </si>
  <si>
    <t>TENAX ELIOX [2.25 KG]</t>
  </si>
  <si>
    <t>TENAX MARVEL SHINE PRO [1 KG]</t>
  </si>
  <si>
    <t>TENAX CERA FLUIDA [1 LT]</t>
  </si>
  <si>
    <t>TENAX AGER [1 LT]</t>
  </si>
  <si>
    <t>TENAX PROSEAL [1 LT]</t>
  </si>
  <si>
    <t>1524.00</t>
  </si>
  <si>
    <t>1600.00</t>
  </si>
  <si>
    <t>TENAX HYDREX [1 LT]</t>
  </si>
  <si>
    <t>TENAX EASYWET [1 LT]</t>
  </si>
  <si>
    <t>TENAX SKUDO UNIVERSAL PLUS [1 LT]</t>
  </si>
  <si>
    <t>TENAX ANTI EFFLORESCENCE [1 LT]</t>
  </si>
  <si>
    <t>571.00</t>
  </si>
  <si>
    <t>600.00</t>
  </si>
  <si>
    <t>TENAX THASSOS [1 KG]</t>
  </si>
  <si>
    <t>TENAX DURASTONE 200 [1 LT]</t>
  </si>
  <si>
    <t>380.00</t>
  </si>
  <si>
    <t>400.00</t>
  </si>
  <si>
    <t>TENAX DURASTONE 200 [5 LT]</t>
  </si>
  <si>
    <t>1710.00</t>
  </si>
  <si>
    <t>1800.00</t>
  </si>
  <si>
    <t>TENAX DURASTONE 800 [1 LT]</t>
  </si>
  <si>
    <t>285.00</t>
  </si>
  <si>
    <t>300.00</t>
  </si>
  <si>
    <t>TENAX DURASTONE 800 [5 LT]</t>
  </si>
  <si>
    <t>1235.00</t>
  </si>
  <si>
    <t>1300.00</t>
  </si>
  <si>
    <t>TENAX SOLIDO TRASPARENTE [1 KG]</t>
  </si>
  <si>
    <t>TENAX CERA FLUIDA [250 ML]</t>
  </si>
  <si>
    <t>TENAX CLEAR POLYESTER HARDENER [50 GM]</t>
  </si>
  <si>
    <t>TENAX STONEFILL UNIVERSAL 1.25 KG</t>
  </si>
  <si>
    <t>TENAX STONEFILL XTRA-CLEAR 1.25 KG</t>
  </si>
  <si>
    <t>TENAX STONEFILL RAPID 1.25 KG</t>
  </si>
  <si>
    <t>TENAX DURASTONE 200 20LT</t>
  </si>
  <si>
    <t>TENAX DURASTONE 800 20LT</t>
  </si>
  <si>
    <t>TENAX STONEFILL XTRA-CLEAR 5 KG</t>
  </si>
  <si>
    <t>TENAX STONEFILL RAPID 5 KG</t>
  </si>
  <si>
    <t>TENAX STONEFILL UNIVERSAL 5 KG</t>
  </si>
  <si>
    <t>TENAX CAH 430[TENAX CAH 430 - 200KG]</t>
  </si>
  <si>
    <t>TENAX CER 101 [200 KG]</t>
  </si>
  <si>
    <t>TENAX MARVEL SHINE CLASSIC [1 KG]</t>
  </si>
  <si>
    <t>TENAX MARVEL SHINE EZYCREAM [1 KG]</t>
  </si>
  <si>
    <t>TENAX CER 101 [1000 KG]</t>
  </si>
  <si>
    <t>TENAX RESINA 101 1 KG</t>
  </si>
  <si>
    <t>TENAX MAGIC TINT OAK BROWN [50 GM]</t>
  </si>
  <si>
    <t>TENAX MAGIC TINT LINEN IVORY [50 GM]</t>
  </si>
  <si>
    <t>TENAX MAGIC TINT BEIGE [50 GM]</t>
  </si>
  <si>
    <t>TENAX MAGIC TINT MYSTIC GREY [50 GM]</t>
  </si>
  <si>
    <t>TENAX MAGIC TINT DAISY WHITE [50 GM]</t>
  </si>
  <si>
    <t>TENAX MAGIC TINT OXIDE YELLOW [50 GM]</t>
  </si>
  <si>
    <t>TENAX MAGIC TINT SNOW WHITE [50 GM]</t>
  </si>
  <si>
    <t>TENAX MAGIC TINT JET BLACK [50 GM]</t>
  </si>
  <si>
    <t>TENAX MAGIC TINT PASTEL GREY [50 GM]</t>
  </si>
  <si>
    <t>TENAX EASYWET [250 ML]</t>
  </si>
  <si>
    <t>BRAND</t>
  </si>
  <si>
    <t>sale rate</t>
  </si>
  <si>
    <t>ROFF 01</t>
  </si>
  <si>
    <t>TILE &amp; STONE ADHESIVES</t>
  </si>
  <si>
    <t>ROFF</t>
  </si>
  <si>
    <t>ROFF MASTER-FIX ADHESIVE[4KG]</t>
  </si>
  <si>
    <t>ROFF 02</t>
  </si>
  <si>
    <t>ROFF MASTERFIX [8 KG]</t>
  </si>
  <si>
    <t>ROFF 03</t>
  </si>
  <si>
    <t>ROFF DRYFIX – 10 KG</t>
  </si>
  <si>
    <t>ROFF 04</t>
  </si>
  <si>
    <t>ROFF VERTIFIX [1.5 KG]</t>
  </si>
  <si>
    <t>ROFF 05</t>
  </si>
  <si>
    <t>ROFF YOGAFIX - GREY (20 KG)</t>
  </si>
  <si>
    <t>ROFF 06</t>
  </si>
  <si>
    <t>ROFF YOGAFIX - WHITE (20 KG)</t>
  </si>
  <si>
    <t>ROFF 07</t>
  </si>
  <si>
    <t>ROFF EXTROFIX ULTRA ADHESIVE-GREY[20 KG]</t>
  </si>
  <si>
    <t>ROFF 08</t>
  </si>
  <si>
    <t>ROFF EXTROFIX ULTRA ADHESIVE-WHITE[20 KG</t>
  </si>
  <si>
    <t>ROFF 09</t>
  </si>
  <si>
    <t>ROFF EXTROFIX ADHESIVE - GREY (20 KG)</t>
  </si>
  <si>
    <t>ROFF 10</t>
  </si>
  <si>
    <t>ROFF EXTROFIX ADHESIVE - WHITE (20 KG)</t>
  </si>
  <si>
    <t>ROFF 11</t>
  </si>
  <si>
    <t>ROFF VITROFIX ULTRA GREY [20 KG]</t>
  </si>
  <si>
    <t>ROFF 12</t>
  </si>
  <si>
    <t>ROFF VITROFIX ULTRA WHITE [20 KG]</t>
  </si>
  <si>
    <t>ROFF 13</t>
  </si>
  <si>
    <t>ROFF VITROFIX GREY 20 KG</t>
  </si>
  <si>
    <t>ROFF 14</t>
  </si>
  <si>
    <t>ROFF VITROFIX[WHITE 20KG]</t>
  </si>
  <si>
    <t>ROFF 15</t>
  </si>
  <si>
    <t>ROFF NON-SKID ADHESIVE GREY [5 KG]</t>
  </si>
  <si>
    <t>ROFF 16</t>
  </si>
  <si>
    <t>ROFF NON-SKID ADHESIVE  WHITE [20 KG]</t>
  </si>
  <si>
    <t>ROFF 17</t>
  </si>
  <si>
    <t>ROFF NON-SKID ADHESIVE  WHITE [50 KG]</t>
  </si>
  <si>
    <t>ROFF 18</t>
  </si>
  <si>
    <t>ROFF TILE BONDER (RTB)[300 GM]</t>
  </si>
  <si>
    <t>ROFF CG01</t>
  </si>
  <si>
    <t>CEMENTITIOUS GROUT</t>
  </si>
  <si>
    <t>ROF RBW T.M.-SNW WHT-500GM-PLPC-NP</t>
  </si>
  <si>
    <t>ROFF CG02</t>
  </si>
  <si>
    <t>ROF RBW T.M.-IVORY [500GM](PLPC)(NP)</t>
  </si>
  <si>
    <t>ROFF CG03</t>
  </si>
  <si>
    <t>ROF RBW T.M.-TRCOT-500GM-POLYPAC</t>
  </si>
  <si>
    <t>ROFF CG04</t>
  </si>
  <si>
    <t>ROF RBW T.M.-COFE BRN-500GM-POLYPAC</t>
  </si>
  <si>
    <t>ROFF CG05</t>
  </si>
  <si>
    <t>ROF RBW T.M.-ALPN BLU-500GM-POLYPAC</t>
  </si>
  <si>
    <t>ROFF CG06</t>
  </si>
  <si>
    <t>ROF RBW T.M.-NEW IVORY[500 GMS]</t>
  </si>
  <si>
    <t>ROFF CG07</t>
  </si>
  <si>
    <t>ROF RBW T.M.-JET BLK-500GM-PLPC-NP</t>
  </si>
  <si>
    <t>ROFF CG08</t>
  </si>
  <si>
    <t>ROF RBW T.M.-STL GRY-500GM-PLPC-NP</t>
  </si>
  <si>
    <t>ROFF CG09</t>
  </si>
  <si>
    <t>ROFF RTM CEMENT GROUT[BGE-500GM-PLPC-NP]</t>
  </si>
  <si>
    <t>ROFF CG10</t>
  </si>
  <si>
    <t>ROFF RTM CEMENT GROUT[JAISLMER-500GM-PLP</t>
  </si>
  <si>
    <t>ROFF CG11</t>
  </si>
  <si>
    <t>ROFF RTM CEMENT GROUT[KHAKI-500GM-PLPC-N</t>
  </si>
  <si>
    <t>ROFF CG12</t>
  </si>
  <si>
    <t>ROFF RTM CEMENT GROUT[LILY WHT-500GM-PLP</t>
  </si>
  <si>
    <t>ROFF CG13</t>
  </si>
  <si>
    <t>ROFF RTM CEMENT GROUT[MEADOW GRN-500GM-P</t>
  </si>
  <si>
    <t>ROFF CG14</t>
  </si>
  <si>
    <t>ROFF RTM CEMENT GROUT[NATURAL-500GM-PLPC</t>
  </si>
  <si>
    <t>ROFF CG15</t>
  </si>
  <si>
    <t>ROFF RTM CEMENT GROUT[NEW CRMY WHT-500GM</t>
  </si>
  <si>
    <t>ROFF CG16</t>
  </si>
  <si>
    <t>ROFF RTM CEMENT GROUT[PRLY PINK-500GM-PL</t>
  </si>
  <si>
    <t>ROFF CG17</t>
  </si>
  <si>
    <t>ROFF RTM CEMENT GROUT[PSTL BRN-500GM-PLP</t>
  </si>
  <si>
    <t>ROFF CG18</t>
  </si>
  <si>
    <t>ROFF RTM CEMENT GROUT[PSTL GRY-500GM-PLP</t>
  </si>
  <si>
    <t>ROFF CG19</t>
  </si>
  <si>
    <t>ROFF RTM CEMENT GROUT[SLT GRY-500GM-PLPC</t>
  </si>
  <si>
    <t>ROFF CG20</t>
  </si>
  <si>
    <t>ROF RBW T.M.-SNW WHT-1KG-PLPC-NP</t>
  </si>
  <si>
    <t>ROFF CG21</t>
  </si>
  <si>
    <t>ROF RBW T.M.-NATURAL-1KG-PLPC-NP</t>
  </si>
  <si>
    <t>ROFF CG22</t>
  </si>
  <si>
    <t>ROF RBW T.M.-BGE-1KG-PLPC-NP</t>
  </si>
  <si>
    <t>ROFF CG23</t>
  </si>
  <si>
    <t>ROF RBW T.M.-SLT GRY-1KG-PLPC-NP</t>
  </si>
  <si>
    <t>ROFF CG24</t>
  </si>
  <si>
    <t>ROF RBW T.M.-TRCOT SP.SHD-1KG-PLPC</t>
  </si>
  <si>
    <t>ROFF CG25</t>
  </si>
  <si>
    <t>ROF RBW T.M.-COFE BRN-1KG-POLYPAC</t>
  </si>
  <si>
    <t>ROFF CG26</t>
  </si>
  <si>
    <t>ROF RBW T.M.-KHAKI-1KG-POLYPAC</t>
  </si>
  <si>
    <t>ROFF CG27</t>
  </si>
  <si>
    <t>ROF RBW T.M.-ALPIN BLU-1KG-POLYPAC</t>
  </si>
  <si>
    <t>ROFF CG28</t>
  </si>
  <si>
    <t>ROF RBW T.M.-NEW IVORY-1KG-PLPC-NP</t>
  </si>
  <si>
    <t>ROFF CG29</t>
  </si>
  <si>
    <t>ROF RBW T.M.-NEW CRMY WHT-1KG-PLPC-NP</t>
  </si>
  <si>
    <t>ROFF CG30</t>
  </si>
  <si>
    <t>ROF RBW T.M.-LILY WHT-1KG-PLPC-NP</t>
  </si>
  <si>
    <t>ROFF CG31</t>
  </si>
  <si>
    <t>ROF RBW T.M.-PRLY PINK-1KG-PLPC</t>
  </si>
  <si>
    <t>ROFF CG32</t>
  </si>
  <si>
    <t>ROF RBW T.M.-PSTL BRN-1KG-PLPC</t>
  </si>
  <si>
    <t>ROFF CG33</t>
  </si>
  <si>
    <t>ROF RBW T.M.-MEADOW GRN-1KG</t>
  </si>
  <si>
    <t>ROFF CG34</t>
  </si>
  <si>
    <t>ROF RBW T.M.-PSTL GRY-1KG-PLPC-NP</t>
  </si>
  <si>
    <t>ROFF CG35</t>
  </si>
  <si>
    <t>ROF RBW T.M.-JET BLK-1KG-PLPC-NP</t>
  </si>
  <si>
    <t>ROFF CG36</t>
  </si>
  <si>
    <t>ROF RBW T.M.-STL GRY-1KG-PLPC-NP</t>
  </si>
  <si>
    <t>ROFF CG37</t>
  </si>
  <si>
    <t>ROF RBW T.M.-JAISLMER-1KG-PLPC-NP</t>
  </si>
  <si>
    <t>ROFF CG38</t>
  </si>
  <si>
    <t>ROFF RTM FILLER(CEMENTITIOUS)(RAINY DAY)</t>
  </si>
  <si>
    <t>ROFF CG39</t>
  </si>
  <si>
    <t>ROFF RTM FILLER(CEMENTITIOUS)(SEA SHELL)</t>
  </si>
  <si>
    <t>ROFF CG40</t>
  </si>
  <si>
    <t>ROFF RTM FILLER(CEMENTITIOUS)(CARBON BLA</t>
  </si>
  <si>
    <t>ROFF CG41</t>
  </si>
  <si>
    <t>ROFF RTM CEMENT GROUT[10 KG NEW IVORY]</t>
  </si>
  <si>
    <t>ROFF CG42</t>
  </si>
  <si>
    <t>ROF RBW T.M.-COFE BRN-10KG-W.P.B</t>
  </si>
  <si>
    <t>ROFF CG43</t>
  </si>
  <si>
    <t>ROFF RTM CEMENT GROUT[10 KG SNOW WHITE]</t>
  </si>
  <si>
    <t>ROFF CG44</t>
  </si>
  <si>
    <t>ROF RBW T.M.-JET BLK [10 KG]</t>
  </si>
  <si>
    <t>ROFF CG45</t>
  </si>
  <si>
    <t>ROF RBW T.M.-TRCOT[10 KG]</t>
  </si>
  <si>
    <t>ROFF CG46</t>
  </si>
  <si>
    <t>ROF RBW T.M.-ALPIN BLU-10KG-POLYPAC</t>
  </si>
  <si>
    <t>ROFF CG47</t>
  </si>
  <si>
    <t>ROF RBW T.M.-BGE-10KG-PLPC-NP</t>
  </si>
  <si>
    <t>ROFF CG48</t>
  </si>
  <si>
    <t>ROF RBW T.M.-KHAKI-10KG-POLYPAC</t>
  </si>
  <si>
    <t>ROFF CG49</t>
  </si>
  <si>
    <t>ROF RBW T.M.-LILY WHT-10KG-PLPC-NP</t>
  </si>
  <si>
    <t>ROFF CG50</t>
  </si>
  <si>
    <t>ROF RBW T.M.-MDW GRN-10KG-POLYPAC</t>
  </si>
  <si>
    <t>ROFF CG51</t>
  </si>
  <si>
    <t>ROF RBW T.M.-NATURAL-10KG-PLPC-NP</t>
  </si>
  <si>
    <t>ROFF CG52</t>
  </si>
  <si>
    <t>ROF RBW T.M.-NEW CRMY WHT-10KG-PLPC-NP</t>
  </si>
  <si>
    <t>ROFF CG53</t>
  </si>
  <si>
    <t>ROF RBW T.M.-PSTL BRN-10KG-PLPC</t>
  </si>
  <si>
    <t>ROFF CG54</t>
  </si>
  <si>
    <t>ROF RBW T.M.-PSTL GRY-10KG-PLPC-NP</t>
  </si>
  <si>
    <t>ROFF CG55</t>
  </si>
  <si>
    <t>ROF RBW T.M.-SLT GRY-10KG-PLPC-NP</t>
  </si>
  <si>
    <t>ROFF CG56</t>
  </si>
  <si>
    <t>ROF RBW T.M.-STL GRY-10KG-PLPC-NP</t>
  </si>
  <si>
    <t>ROFF CG57</t>
  </si>
  <si>
    <t>ROF RTM WIDE ADDITIVE [200ML](NP)</t>
  </si>
  <si>
    <t>ROFF 3EG01</t>
  </si>
  <si>
    <t>3 EPOXY GROUT</t>
  </si>
  <si>
    <t>ROFF RAINBOW TILE MATE EPOXY-B H[262GM]P</t>
  </si>
  <si>
    <t>ROFF 3EG02</t>
  </si>
  <si>
    <t>ROF RBW T.M.EPX.T.G.F-JET BLK-714GM-NP</t>
  </si>
  <si>
    <t>ROFF 3EG03</t>
  </si>
  <si>
    <t>ROF RBW T.M.EPX.T.G.F-COFE BRN-714GM-NP</t>
  </si>
  <si>
    <t>ROFF 3EG04</t>
  </si>
  <si>
    <t>ROF RBW T.M.EPX.T.G.F[738GM ALP BLU](NF)</t>
  </si>
  <si>
    <t>ROFF 3EG05</t>
  </si>
  <si>
    <t>ROF RBW T.M.EPX.T.G.F[738GM ANTIQUE WHT]</t>
  </si>
  <si>
    <t>ROFF 3EG06</t>
  </si>
  <si>
    <t>ROF RBW T.M. EPX  FILR[738GM BRGND](NF)</t>
  </si>
  <si>
    <t>ROFF 3EG07</t>
  </si>
  <si>
    <t>ROF RBW T.M. EPX  FILR[ 738GM BGE](NF)</t>
  </si>
  <si>
    <t>ROFF 3EG08</t>
  </si>
  <si>
    <t>ROF RBW T.M.EPX.T.G.F[738GM BRLYWUD](NF)</t>
  </si>
  <si>
    <t>ROFF 3EG09</t>
  </si>
  <si>
    <t>ROF RBW T.M.EPX.T.G.F[738GMCOFE BRN](NF)</t>
  </si>
  <si>
    <t>ROFF 3EG10</t>
  </si>
  <si>
    <t>ROF RBW T.M.EPX.T.G.F[738GM IVORY](NF)</t>
  </si>
  <si>
    <t>ROFF 3EG11</t>
  </si>
  <si>
    <t>ROF RBW T.M. EPX  FILR[738GM JAISLMER](N</t>
  </si>
  <si>
    <t>ROFF 3EG12</t>
  </si>
  <si>
    <t>ROF RBW T.M.EPX.T.G.F[738GMJET BLK-](NF)</t>
  </si>
  <si>
    <t>ROFF 3EG13</t>
  </si>
  <si>
    <t>ROF RBW T.M.EPX.T.G.F[738GM KHAKI](NF)</t>
  </si>
  <si>
    <t>ROFF 3EG14</t>
  </si>
  <si>
    <t>ROF RBW T.M.EPX.T.G.F[738GM LILY WHT](NF</t>
  </si>
  <si>
    <t>ROFF 3EG15</t>
  </si>
  <si>
    <t>ROF RBW T.M.EPX.T.G.F[738GM MDW GRN](NF)</t>
  </si>
  <si>
    <t>ROFF 3EG16</t>
  </si>
  <si>
    <t>ROF RBW T.M.EPX.T.G.F[738GM MUSTARD](NF)</t>
  </si>
  <si>
    <t>ROFF 3EG17</t>
  </si>
  <si>
    <t>ROF RBW T.M.EPX.T.G.F[738GM NATURAL](NF)</t>
  </si>
  <si>
    <t>ROFF 3EG18</t>
  </si>
  <si>
    <t>ROF RBW T.M.EPX.T.G.F[738GM PASTEL BRWN]</t>
  </si>
  <si>
    <t>ROFF 3EG19</t>
  </si>
  <si>
    <t>ROF RBW T.M.EPX.T.G.F[738GM PSTL GRY](NF</t>
  </si>
  <si>
    <t>ROFF 3EG20</t>
  </si>
  <si>
    <t>ROF RBW T.M.EPX.T.G.F[738GM RAINY DAY](N</t>
  </si>
  <si>
    <t>ROFF 3EG21</t>
  </si>
  <si>
    <t>ROF RBW T.M.EPX.T.G.F[738GM SAPHR BLU](N</t>
  </si>
  <si>
    <t>ROFF 3EG22</t>
  </si>
  <si>
    <t>ROF RBW T.M.EPX.T.G.F[738GM SCARLET](NF)</t>
  </si>
  <si>
    <t>ROFF 3EG23</t>
  </si>
  <si>
    <t>ROF RBW T.M.EPX.T.G.F[738GM STL GRY](NF)</t>
  </si>
  <si>
    <t>ROFF 3EG24</t>
  </si>
  <si>
    <t>ROF RBW T.M.EPX.T.G.F[738GM SEASHELL](NF</t>
  </si>
  <si>
    <t>ROFF 3EG25</t>
  </si>
  <si>
    <t>ROF RBW T.M.EPX FILR[738GM SKY BLU](NF)</t>
  </si>
  <si>
    <t>ROFF 3EG26</t>
  </si>
  <si>
    <t>ROF RBW T.M.EPX.T.G.F[738GM SLT GRY.](NF</t>
  </si>
  <si>
    <t>ROFF 3EG27</t>
  </si>
  <si>
    <t>ROF RBW T.M.EPX.T.G.F[738GM SNW WHT](NF)</t>
  </si>
  <si>
    <t>ROFF 3EG28</t>
  </si>
  <si>
    <t>ROF RBW T.M.EPX.T.G.F[738GM TRCOT](NF)</t>
  </si>
  <si>
    <t>ROFF 3EG29</t>
  </si>
  <si>
    <t>ROF RBW T.M.EPX.T.G.F[738GM YELLOW](NF)</t>
  </si>
  <si>
    <t>ROFF 3EG30</t>
  </si>
  <si>
    <t>ROF RBW T.M.EPX.T.G.F[738GM DARK CHOCOLA</t>
  </si>
  <si>
    <t>ROFF 3EG31</t>
  </si>
  <si>
    <t>ROF RBW T.M.EPX.T.G.F[738GM DARK GREY](N</t>
  </si>
  <si>
    <t>ROFF 3EG32</t>
  </si>
  <si>
    <t>ROFF RTM EPOXY FILLER(ANTIQUE WHITE)[357</t>
  </si>
  <si>
    <t>ROFF 3EG33</t>
  </si>
  <si>
    <t>ROF RBW T.M.EPX.T.G.F[3.69KG ALP BLU](NF</t>
  </si>
  <si>
    <t>ROFF 3EG34</t>
  </si>
  <si>
    <t>ROF RBW T.M.EPX.T.G.F[3.69KG ANTIQUE WHT</t>
  </si>
  <si>
    <t>ROFF 3EG35</t>
  </si>
  <si>
    <t>ROF RBW T.M. EPX  FILR[3.69KG BRGND](NF)</t>
  </si>
  <si>
    <t>ROFF 3EG36</t>
  </si>
  <si>
    <t>ROF RBW T.M. EPX  FILR[ 3.69KG BGE](NF)</t>
  </si>
  <si>
    <t>ROFF 3EG37</t>
  </si>
  <si>
    <t>ROF RBW T.M.EPX.T.G.F[3.69KG BRLYWUD](NF</t>
  </si>
  <si>
    <t>ROFF 3EG38</t>
  </si>
  <si>
    <t>ROF RBW T.M.EPX.T.G.F[3.69KGCOFE BRN](NF</t>
  </si>
  <si>
    <t>ROFF 3EG39</t>
  </si>
  <si>
    <t>ROF RBW T.M.EPX.T.G.F[3.69KG CRMY WHT](N</t>
  </si>
  <si>
    <t>ROFF 3EG40</t>
  </si>
  <si>
    <t>ROF RBW T.M.EPX.T.G.F[3.69KG IVORY](NF)</t>
  </si>
  <si>
    <t>ROFF 3EG41</t>
  </si>
  <si>
    <t>ROF RBW T.M. EPX  FILR[3.69KG JAISLMER](</t>
  </si>
  <si>
    <t>ROFF 3EG42</t>
  </si>
  <si>
    <t>ROF RBW T.M.EPX.T.G.F[3.69KG JET BLK-](N</t>
  </si>
  <si>
    <t>ROFF 3EG43</t>
  </si>
  <si>
    <t>ROF RBW T.M.EPX.T.G.F[3.69KG KHAKI](NF)</t>
  </si>
  <si>
    <t>ROFF 3EG44</t>
  </si>
  <si>
    <t>ROF RBW T.M.EPX.T.G.F[3.69KG LILY WHT](N</t>
  </si>
  <si>
    <t>ROFF 3EG45</t>
  </si>
  <si>
    <t>ROF RBW T.M.EPX.T.G.F[3.69KG MDW GRN](NF</t>
  </si>
  <si>
    <t>ROFF 3EG46</t>
  </si>
  <si>
    <t>ROF RBW T.M.EPX.T.G.F[3.69KG MUSTARD](NF</t>
  </si>
  <si>
    <t>ROFF 3EG47</t>
  </si>
  <si>
    <t>ROF RBW T.M.EPX.T.G.F[3.69KG NATURAL](NF</t>
  </si>
  <si>
    <t>ROFF 3EG48</t>
  </si>
  <si>
    <t>ROF RBW T.M.EPX.T.G.F[3.69KG PASTEL BRWN</t>
  </si>
  <si>
    <t>ROFF 3EG49</t>
  </si>
  <si>
    <t>ROF RBW T.M.EPX.T.G.F[3.69KG PSTL GRY](N</t>
  </si>
  <si>
    <t>ROFF 3EG50</t>
  </si>
  <si>
    <t>ROF RBW T.M.EPX.T.G.F[3.69KG RAINY DAY](</t>
  </si>
  <si>
    <t>ROFF 3EG51</t>
  </si>
  <si>
    <t>ROF RBW T.M.EPX.T.G.F[3.69KG SAPHR BLU](</t>
  </si>
  <si>
    <t>ROFF 3EG52</t>
  </si>
  <si>
    <t>ROF RBW T.M.EPX.T.G.F[3.69KG SCARLET](NF</t>
  </si>
  <si>
    <t>ROFF 3EG53</t>
  </si>
  <si>
    <t>ROF RBW T.M.EPX.T.G.F[3.69KG STL GRY](NF</t>
  </si>
  <si>
    <t>ROFF 3EG54</t>
  </si>
  <si>
    <t>ROF RBW T.M.EPX.T.G.F[3.69KG SEASHELL](N</t>
  </si>
  <si>
    <t>ROFF 3EG55</t>
  </si>
  <si>
    <t>ROF RBW T.M.EPX FILR[3.69KG SKY BLU](NF)</t>
  </si>
  <si>
    <t>ROFF 3EG56</t>
  </si>
  <si>
    <t>ROF RBW T.M.EPX.T.G.F[3.69KG SLT GRY.](N</t>
  </si>
  <si>
    <t>ROFF 3EG57</t>
  </si>
  <si>
    <t>ROF RBW T.M.EPX.T.G.F[3.69KG SNW WHT](NF</t>
  </si>
  <si>
    <t>ROFF 3EG58</t>
  </si>
  <si>
    <t>ROF RBW T.M.EPX.T.G.F[3.69KG TRCOT](NF)</t>
  </si>
  <si>
    <t>ROFF 3EG59</t>
  </si>
  <si>
    <t>ROF RBW T.M.EPX.T.G.F[3.69KG DARK CHOCOL</t>
  </si>
  <si>
    <t>ROFF 3EG60</t>
  </si>
  <si>
    <t>ROF RBW T.M.EPX.T.G.F[3.69KG DARK GREY](</t>
  </si>
  <si>
    <t>ROFF 3EG61</t>
  </si>
  <si>
    <t>ROFF RAINBOW TILE MATE EPOXY-B H[1.31KG</t>
  </si>
  <si>
    <t>ROFF 3EG62</t>
  </si>
  <si>
    <t>ROFF RAINBOW TILE MATE EPOXY-B H[5.24 KG</t>
  </si>
  <si>
    <t>ROFF 3EG63</t>
  </si>
  <si>
    <t>ROFF SPARKLES SILVER [100 GM]</t>
  </si>
  <si>
    <t>ROFF 3EG64</t>
  </si>
  <si>
    <t>ROFF SPARKLES COPPER [100 GM]</t>
  </si>
  <si>
    <t>ROFF 3EG65</t>
  </si>
  <si>
    <t>ROFF SPARKLES GOLD [100 GM]</t>
  </si>
  <si>
    <t>ROFF 3EG66</t>
  </si>
  <si>
    <t>ROFF EPOXFILL 2K JET BLACK [5 KG]</t>
  </si>
  <si>
    <t>ROFF 3EG67</t>
  </si>
  <si>
    <t>ROFF EPOXFILL 2K COFFEE BROWN [5 KG]</t>
  </si>
  <si>
    <t>ROFF 3EG68</t>
  </si>
  <si>
    <t>ROFF EPOXFILL 2K SNOW WHITE [5 KG]</t>
  </si>
  <si>
    <t>ROFF 3EG69</t>
  </si>
  <si>
    <t>ROFF EPOXFILL 2K IVORY [5 KG]</t>
  </si>
  <si>
    <t>ROFF 3EG70</t>
  </si>
  <si>
    <t>ROFF EPOXFILL 2K STEEL GREY [5 KG]</t>
  </si>
  <si>
    <t>ROFF 3EG71</t>
  </si>
  <si>
    <t>ROFF EPOXFILL 2K PASTEL GREY  5 KG]</t>
  </si>
  <si>
    <t>ROFF 3EG72</t>
  </si>
  <si>
    <t>ROFF EPOXFILL 2K ARCTIC BLUE [5 KG]</t>
  </si>
  <si>
    <t>ROFF 3EG73</t>
  </si>
  <si>
    <t>ROFF EPOXFILL 2K BURLYWOOD [5 KG]</t>
  </si>
  <si>
    <t>ROFF 3EG74</t>
  </si>
  <si>
    <t>ROFF EPOXFILL 2K SLATE GREY [5 KG]</t>
  </si>
  <si>
    <t>ROFF 3EG75</t>
  </si>
  <si>
    <t>ROFF EPOXFILL 2K DARK GREY [5 KG]</t>
  </si>
  <si>
    <t>ROFF 3EG76</t>
  </si>
  <si>
    <t>ROFF EPOXFILL 2K PASTEL BROWN [5 KG]</t>
  </si>
  <si>
    <t>ROFF 3EG77</t>
  </si>
  <si>
    <t>ROFF EPOXFILL 2K TERRACOTTA [5 KG]</t>
  </si>
  <si>
    <t>ROFF 3EG78</t>
  </si>
  <si>
    <t>ROFF EPOXFILL 2K SAPPHIRE BLUE [5 KG]</t>
  </si>
  <si>
    <t>ROFF 3EG79</t>
  </si>
  <si>
    <t>ROFF EPOXFILL 2K JAISALMER [5 KG]</t>
  </si>
  <si>
    <t>ROFF 3EG80</t>
  </si>
  <si>
    <t>ROFF EPOXFILL 2K JET BLACK[1 KG]</t>
  </si>
  <si>
    <t>ROFF 3EG81</t>
  </si>
  <si>
    <t>ROFF EPOXFILL 2K COFFEE BROWN [1 KG]</t>
  </si>
  <si>
    <t>ROFF 3EG82</t>
  </si>
  <si>
    <t>ROFF EPOXFILL 2K SNOW WHITE [1 KG]</t>
  </si>
  <si>
    <t>ROFF 3EG83</t>
  </si>
  <si>
    <t>ROFF EPOXFILL 2K IVORY [1 KG]</t>
  </si>
  <si>
    <t>ROFF 3EG84</t>
  </si>
  <si>
    <t>ROFF EPOXFILL 2K STEEL GREY [1 KG]</t>
  </si>
  <si>
    <t>ROFF 3EG85</t>
  </si>
  <si>
    <t>ROFF EPOXFILL 2K PASTEL GREY [1 KG]</t>
  </si>
  <si>
    <t>ROFF 3EG86</t>
  </si>
  <si>
    <t>ROFF EPOXFILL 2K ARCTIC BLUE [1 KG]</t>
  </si>
  <si>
    <t>ROFF 3EG87</t>
  </si>
  <si>
    <t>ROFF EPOXFILL 2K BURLYWOOD [1 KG]</t>
  </si>
  <si>
    <t>ROFF 3EG88</t>
  </si>
  <si>
    <t>ROFF EPOXFILL 2K SLATE GREY [1 KG]</t>
  </si>
  <si>
    <t>ROFF 3EG89</t>
  </si>
  <si>
    <t>ROFF EPOXFILL 2K DARK GREY [1 KG]</t>
  </si>
  <si>
    <t>ROFF 3EG90</t>
  </si>
  <si>
    <t>ROFF EPOXFILL 2K PASTEL BROWN [1 KG]</t>
  </si>
  <si>
    <t>ROFF 3EG91</t>
  </si>
  <si>
    <t>ROFF EPOXFILL 2K TERRACOTTA [1 KG]</t>
  </si>
  <si>
    <t>ROFF 3EG92</t>
  </si>
  <si>
    <t>ROFF EPOXFILL 2K SAPPHIRE BLUE [1 KG]</t>
  </si>
  <si>
    <t>ROFF 3EG93</t>
  </si>
  <si>
    <t>ROFF EPOXFILL 2K JAISALMER [1 KG]</t>
  </si>
  <si>
    <t>ROFF 2SG01</t>
  </si>
  <si>
    <t>2 EPOXY GROUT</t>
  </si>
  <si>
    <t>ROFF STARLIKE JET BLACK[1 KG]</t>
  </si>
  <si>
    <t>ROFF 2SG02</t>
  </si>
  <si>
    <t>ROFF STARLIKE CHARCOAL BLACK[1 KG]</t>
  </si>
  <si>
    <t>ROFF 2SG03</t>
  </si>
  <si>
    <t>ROFF STARLIKE COFFEE BROWN[1 KG]</t>
  </si>
  <si>
    <t>ROFF 2SG04</t>
  </si>
  <si>
    <t>ROFF STARLIKE SNOW WHITE[1 KG]</t>
  </si>
  <si>
    <t>ROFF 2SG05</t>
  </si>
  <si>
    <t>ROFF STARLIKE IVORY[1 KG]</t>
  </si>
  <si>
    <t>ROFF 2SG06</t>
  </si>
  <si>
    <t>ROFF STARLIKE STEEL GREY[1 KG]</t>
  </si>
  <si>
    <t>ROFF 2SG07</t>
  </si>
  <si>
    <t>ROFF STARLIKE PASTEL GREY[1 KG]</t>
  </si>
  <si>
    <t>ROFF 2SG08</t>
  </si>
  <si>
    <t>ROFF STARLIKE ARCTIC BLUE[1 KG]</t>
  </si>
  <si>
    <t>ROFF 2SG09</t>
  </si>
  <si>
    <t>ROFF STARLIKE DUSTY BROWN[1 KG]</t>
  </si>
  <si>
    <t>ROFF 2SG10</t>
  </si>
  <si>
    <t>ROFF STARLIKE BURLYWOOD[1 KG]</t>
  </si>
  <si>
    <t>ROFF 2SG11</t>
  </si>
  <si>
    <t>ROFF STARLIKE PORTLAND GREY[1 KG]</t>
  </si>
  <si>
    <t>ROFF 2SG12</t>
  </si>
  <si>
    <t>ROFF STARLIKE SAPPHIRE BLUE[1 KG]</t>
  </si>
  <si>
    <t>ROFF 2SG13</t>
  </si>
  <si>
    <t>ROFF STARLIKE[TERRACOTA 1KG]</t>
  </si>
  <si>
    <t>ROFF 2SG14</t>
  </si>
  <si>
    <t>ROFF STARLIKE [SLATE GREY 1KG]</t>
  </si>
  <si>
    <t>ROFF 2SG15</t>
  </si>
  <si>
    <t>ROFF STARLIKE [PASTEL BROWN 1KG]</t>
  </si>
  <si>
    <t>ROFF 2SG16</t>
  </si>
  <si>
    <t>ROFF STARLIKE [DARK GREY 1KG]</t>
  </si>
  <si>
    <t>ROFF 2SG17</t>
  </si>
  <si>
    <t>ROFF STARLIKE[NEUTRAL 1KG]</t>
  </si>
  <si>
    <t>ROFF 2SG18</t>
  </si>
  <si>
    <t>ROFF STARLIKE[DARK GREY - 5KG]</t>
  </si>
  <si>
    <t>ROFF 2SG19</t>
  </si>
  <si>
    <t>ROFF STARLIKE[PASTEL BROWN - 5KG]</t>
  </si>
  <si>
    <t>ROFF 2SG20</t>
  </si>
  <si>
    <t>ROFF STARLIKE[SLATE GREY - 5KG]</t>
  </si>
  <si>
    <t>ROFF 2SG21</t>
  </si>
  <si>
    <t>ROFF STARLIKE [5 KG JET BLACK]</t>
  </si>
  <si>
    <t>ROFF 2SG22</t>
  </si>
  <si>
    <t>ROFF STARLIKE [5 KG CHARCOAL BLACK]</t>
  </si>
  <si>
    <t>ROFF 2SG23</t>
  </si>
  <si>
    <t>ROFF STARLIKE [5 KG COFFEE BROWN]</t>
  </si>
  <si>
    <t>ROFF 2SG24</t>
  </si>
  <si>
    <t>ROFF STARLIKE [5 KG SNOW WHITE]</t>
  </si>
  <si>
    <t>ROFF 2SG25</t>
  </si>
  <si>
    <t>ROFF STARLIKE [5 KG IVORY]</t>
  </si>
  <si>
    <t>ROFF 2SG26</t>
  </si>
  <si>
    <t>ROFF STARLIKE [5 KG STEEL GREY]</t>
  </si>
  <si>
    <t>ROFF 2SG27</t>
  </si>
  <si>
    <t>ROFF STARLIKE [5 KG PASTEL GREY]</t>
  </si>
  <si>
    <t>ROFF 2SG28</t>
  </si>
  <si>
    <t>ROFF STARLIKE [5 KG ARCTIC BLUE]</t>
  </si>
  <si>
    <t>ROFF 2SG29</t>
  </si>
  <si>
    <t>ROFF STARLIKE [5 KG DUSTY BROWN]</t>
  </si>
  <si>
    <t>ROFF 2SG30</t>
  </si>
  <si>
    <t>ROFF STARLIKE [5 KG BURLYWOOD]</t>
  </si>
  <si>
    <t>ROFF 2SG31</t>
  </si>
  <si>
    <t>ROFF STARLIKE [5 KG PORTLAND GREY]</t>
  </si>
  <si>
    <t>ROFF 2SG32</t>
  </si>
  <si>
    <t>ROFF STARLIKE [5 KG SAPPHIRE BLUE]</t>
  </si>
  <si>
    <t>ROFF 2SG33</t>
  </si>
  <si>
    <t>ROFF STARLIKE[TERRACOTTA - 5KG]</t>
  </si>
  <si>
    <t>ROFF 2SG34</t>
  </si>
  <si>
    <t>ROFF STARLIKE FINISH COPPER [100 GM]</t>
  </si>
  <si>
    <t>ROFF 2SG35</t>
  </si>
  <si>
    <t>ROFF STARLIKE FINISH SILVER [100 GM]</t>
  </si>
  <si>
    <t>ROFF 2SG36</t>
  </si>
  <si>
    <t>ROFF STARLIKE FINISH GOLD [100 GM]</t>
  </si>
  <si>
    <t>ROFF 2SG37</t>
  </si>
  <si>
    <t>ROFF STARLIKE  DARK CHOCOLATE [5 KG]</t>
  </si>
  <si>
    <t>ROFF 2SG38</t>
  </si>
  <si>
    <t>ROFF STARLIKE  KHAKI [5 KG]</t>
  </si>
  <si>
    <t>ROFF 2SG39</t>
  </si>
  <si>
    <t>ROFF STARLIKE  YELLOW [5 KG]</t>
  </si>
  <si>
    <t>ROFF 2SG40</t>
  </si>
  <si>
    <t>ROFF STARLIKE  RED [5 KG]</t>
  </si>
  <si>
    <t>ROFF 2SG41</t>
  </si>
  <si>
    <t>ROFF STARLIKE  DARK GREEN [5 KG]</t>
  </si>
  <si>
    <t>ROFF 2SG42</t>
  </si>
  <si>
    <t>ROFF STARLIKE  PASTEL GREEN [5 KG]</t>
  </si>
  <si>
    <t>ROFF 2SG43</t>
  </si>
  <si>
    <t>ROFF STARLIKE CRYSTAL [1KG]</t>
  </si>
  <si>
    <t>ROFF 2SG44</t>
  </si>
  <si>
    <t>ROFF STARLIKE CRYSTAL [5KG]</t>
  </si>
  <si>
    <t>ROFF 2SG45</t>
  </si>
  <si>
    <t>ROFF STARLIKE YELLOW [1 KG]</t>
  </si>
  <si>
    <t>ROFF 2SG46</t>
  </si>
  <si>
    <t>ROFF STARLIKE RED [1 KG]</t>
  </si>
  <si>
    <t>ROFF 2SG47</t>
  </si>
  <si>
    <t>ROFF STARLIKE DARK GREEN [1 KG]</t>
  </si>
  <si>
    <t>ROFF 2SG48</t>
  </si>
  <si>
    <t>ROFF STARLIKE PASTEL GREEN [1 KG]</t>
  </si>
  <si>
    <t>ROFF 2SG49</t>
  </si>
  <si>
    <t>ROFF STARLIKE SKY BLUE [1 KG]</t>
  </si>
  <si>
    <t>ROFF 2SG50</t>
  </si>
  <si>
    <t>ROFF STARLIKE DARK CHOCOLATE [1 KG]</t>
  </si>
  <si>
    <t>ROFF 2SG51</t>
  </si>
  <si>
    <t>ROFF STARLIKE KHAKI [1 KG]</t>
  </si>
  <si>
    <t>ROFF 2SG52</t>
  </si>
  <si>
    <t>ROFF 2SG53</t>
  </si>
  <si>
    <t>ROFF 2SG54</t>
  </si>
  <si>
    <t>ROFF 2SG55</t>
  </si>
  <si>
    <t>ROFF 2SG56</t>
  </si>
  <si>
    <t>ROFF 2SG57</t>
  </si>
  <si>
    <t>ROFF STARLIKE CRYSTAL [1 KG]</t>
  </si>
  <si>
    <t>ROFF 2SG58</t>
  </si>
  <si>
    <t>ROFF STARLIKE  SKY BLUE [5 KG]</t>
  </si>
  <si>
    <t>ROFF 2SG59</t>
  </si>
  <si>
    <t>ROFF STARLIKE  CRYSTAL [5 KG]</t>
  </si>
  <si>
    <t>ROFF 2SG60</t>
  </si>
  <si>
    <t>ROFF STARLIKE POUCH P JETBLACK [5 KG]</t>
  </si>
  <si>
    <t>ROFF 2SG61</t>
  </si>
  <si>
    <t>ROFF STARLIKE POUCH P COFFEE BROWN [5 KG</t>
  </si>
  <si>
    <t>ROFF 2SG62</t>
  </si>
  <si>
    <t>ROFF STARLIKE POUCH P SNOW WHITE [5 KG]</t>
  </si>
  <si>
    <t>ROFF 2SG63</t>
  </si>
  <si>
    <t>ROFF STARLIKE POUCH P IVORY [5 KG]</t>
  </si>
  <si>
    <t>ROFF 2SG64</t>
  </si>
  <si>
    <t>ROFF STARLIKE POUCH P STEEL GREY [5 KG]</t>
  </si>
  <si>
    <t>ROFF 2SG65</t>
  </si>
  <si>
    <t>ROFF STARLIKE POUCH P PASTEL GREY [5 KG]</t>
  </si>
  <si>
    <t>ROFF 2SG66</t>
  </si>
  <si>
    <t>ROFF STARLIKE POUCH P ARCTIC BLUE [5 KG]</t>
  </si>
  <si>
    <t>ROFF 2SG67</t>
  </si>
  <si>
    <t>ROFF STARLIKE POUCH P BURLYWOOD [5 KG]</t>
  </si>
  <si>
    <t>ROFF 2SG68</t>
  </si>
  <si>
    <t>ROFF STARLIKE[ROFF STARLIKE [5 KG] SAPPH</t>
  </si>
  <si>
    <t>ROFF 2SG69</t>
  </si>
  <si>
    <t>ROFF STARLIKE POUCH P TERRACOTTA [5 KG]</t>
  </si>
  <si>
    <t>ROFF 2SG70</t>
  </si>
  <si>
    <t>ROFF STARLIKE POUCH P SLATE GREY [5 KG]</t>
  </si>
  <si>
    <t>ROFF 2SG71</t>
  </si>
  <si>
    <t>ROFF STARLIKE POUCH P PASTEL BROWN [5 KG</t>
  </si>
  <si>
    <t>ROFF 2SG72</t>
  </si>
  <si>
    <t>ROFF STARLIKE POUCH P DARK GREY [5 KG]</t>
  </si>
  <si>
    <t>ROFF 2SG73</t>
  </si>
  <si>
    <t>ROFF STARLIKE POUCH P DARK CHOCOLATE [5</t>
  </si>
  <si>
    <t>ROFF 2SG74</t>
  </si>
  <si>
    <t>ROFF STARLIKE POUCH P KHAKI [5 KG]</t>
  </si>
  <si>
    <t>ROFF 2SG75</t>
  </si>
  <si>
    <t>ROFF STARLIKE POUCH P YELLOW [5 KG]</t>
  </si>
  <si>
    <t>ROFF 2SG76</t>
  </si>
  <si>
    <t>ROFF STARLIKE POUCH P RED [5 KG]</t>
  </si>
  <si>
    <t>ROFF 2SG77</t>
  </si>
  <si>
    <t>ROFF STARLIKE POUCH P DARK GREEN [5 KG]</t>
  </si>
  <si>
    <t>ROFF 2SG78</t>
  </si>
  <si>
    <t>ROFF STARLIKE POUCH P PASTEL GREEN [5 KG</t>
  </si>
  <si>
    <t>ROFF 2SG79</t>
  </si>
  <si>
    <t>ROFF STARLIKE POUCH P SKY BLUE [5 KG]</t>
  </si>
  <si>
    <t>ROFF 2SG80</t>
  </si>
  <si>
    <t>ROFF STARLIKE POUCH P CRYSTAL [5 KG]</t>
  </si>
  <si>
    <t>ROFF 2SG81</t>
  </si>
  <si>
    <t>ROFF STARLIKE POUCH P NEUTRAL [5 KG]</t>
  </si>
  <si>
    <t>ROFF 2SG82</t>
  </si>
  <si>
    <t>ROFF STARLIKE  NEUTRAL [5 KG]</t>
  </si>
  <si>
    <t>ROFF SCS01</t>
  </si>
  <si>
    <t>STONE COATINGS &amp; SEALERS</t>
  </si>
  <si>
    <t>ROF STNGUARD WB [1LT](NP)</t>
  </si>
  <si>
    <t>ROFF CLR01</t>
  </si>
  <si>
    <t>CLEANERS</t>
  </si>
  <si>
    <t>ROF CERA CLEAN (NJC) [500ML]</t>
  </si>
  <si>
    <t>ROFF CLR02</t>
  </si>
  <si>
    <t>ROF CERA CLEAN (NJC) [1LT]</t>
  </si>
  <si>
    <t>ROFF CLR03</t>
  </si>
  <si>
    <t>ROFF CERA CLEAN [5 LT]</t>
  </si>
  <si>
    <t>TNX01</t>
  </si>
  <si>
    <t>TNX02</t>
  </si>
  <si>
    <t>TNX03</t>
  </si>
  <si>
    <t>TNX04</t>
  </si>
  <si>
    <t>TNX05</t>
  </si>
  <si>
    <t>TNX06</t>
  </si>
  <si>
    <t>TNX07</t>
  </si>
  <si>
    <t>TNX08</t>
  </si>
  <si>
    <t>TNX09</t>
  </si>
  <si>
    <t>TNX10</t>
  </si>
  <si>
    <t>TNX11</t>
  </si>
  <si>
    <t>TNX12</t>
  </si>
  <si>
    <t>TNX13</t>
  </si>
  <si>
    <t>TNX14</t>
  </si>
  <si>
    <t>TNX15</t>
  </si>
  <si>
    <t>TNX16</t>
  </si>
  <si>
    <t>TNX17</t>
  </si>
  <si>
    <t>TNX18</t>
  </si>
  <si>
    <t>TNX19</t>
  </si>
  <si>
    <t>TNX20</t>
  </si>
  <si>
    <t>TNX21</t>
  </si>
  <si>
    <t>TNX22</t>
  </si>
  <si>
    <t>TNX23</t>
  </si>
  <si>
    <t>TNX24</t>
  </si>
  <si>
    <t>TNX25</t>
  </si>
  <si>
    <t>TNX26</t>
  </si>
  <si>
    <t>TNX27</t>
  </si>
  <si>
    <t>TNX28</t>
  </si>
  <si>
    <t>TNX29</t>
  </si>
  <si>
    <t>TNX30</t>
  </si>
  <si>
    <t>TNX31</t>
  </si>
  <si>
    <t>TNX32</t>
  </si>
  <si>
    <t>TNX33</t>
  </si>
  <si>
    <t>TNX34</t>
  </si>
  <si>
    <t>TNX35</t>
  </si>
  <si>
    <t>TNX36</t>
  </si>
  <si>
    <t>TNX37</t>
  </si>
  <si>
    <t>TNX38</t>
  </si>
  <si>
    <t>TNX39</t>
  </si>
  <si>
    <t>TNX40</t>
  </si>
  <si>
    <t>TNX41</t>
  </si>
  <si>
    <t>TNX42</t>
  </si>
  <si>
    <t>TNX43</t>
  </si>
  <si>
    <t>TNX44</t>
  </si>
  <si>
    <t>TNX45</t>
  </si>
  <si>
    <t>TNX46</t>
  </si>
  <si>
    <t>TNX47</t>
  </si>
  <si>
    <t>TNX48</t>
  </si>
  <si>
    <t>TNX49</t>
  </si>
  <si>
    <t>TNX50</t>
  </si>
  <si>
    <t>TNX51</t>
  </si>
  <si>
    <t>TNX52</t>
  </si>
  <si>
    <t>TNX53</t>
  </si>
  <si>
    <t>TNX54</t>
  </si>
  <si>
    <t>TNX55</t>
  </si>
  <si>
    <t>TNX56</t>
  </si>
  <si>
    <t>TNX57</t>
  </si>
  <si>
    <t>TNX58</t>
  </si>
  <si>
    <t>TNX59</t>
  </si>
  <si>
    <t>TNX60</t>
  </si>
  <si>
    <t>TNX61</t>
  </si>
  <si>
    <t>TNX62</t>
  </si>
  <si>
    <t>TNX63</t>
  </si>
  <si>
    <t>TNX64</t>
  </si>
  <si>
    <t>TNX65</t>
  </si>
  <si>
    <t>TNX66</t>
  </si>
  <si>
    <t>TNX67</t>
  </si>
  <si>
    <t>TNX68</t>
  </si>
  <si>
    <t>TNX69</t>
  </si>
  <si>
    <t>TNX70</t>
  </si>
  <si>
    <t>TNX71</t>
  </si>
  <si>
    <t>TNX72</t>
  </si>
  <si>
    <t>TNX73</t>
  </si>
  <si>
    <t>TNX74</t>
  </si>
  <si>
    <t>TNX75</t>
  </si>
  <si>
    <t>TNX76</t>
  </si>
  <si>
    <t>TNX77</t>
  </si>
  <si>
    <t>TNX78</t>
  </si>
  <si>
    <t>TNX79</t>
  </si>
  <si>
    <t>TNX80</t>
  </si>
  <si>
    <t>TNX81</t>
  </si>
  <si>
    <t>TNX82</t>
  </si>
  <si>
    <t>TNX83</t>
  </si>
  <si>
    <t>TNX84</t>
  </si>
  <si>
    <t>TNX85</t>
  </si>
  <si>
    <t>TNX86</t>
  </si>
  <si>
    <t>TNX87</t>
  </si>
  <si>
    <t>TNX88</t>
  </si>
  <si>
    <t>TNX89</t>
  </si>
  <si>
    <t>TNX90</t>
  </si>
  <si>
    <t>TNX91</t>
  </si>
  <si>
    <t>TNX92</t>
  </si>
  <si>
    <t>TNX93</t>
  </si>
  <si>
    <t>TNX94</t>
  </si>
  <si>
    <t>TNX95</t>
  </si>
  <si>
    <t>TNX96</t>
  </si>
  <si>
    <t>TNX97</t>
  </si>
  <si>
    <t>TNX98</t>
  </si>
  <si>
    <t>TNX99</t>
  </si>
  <si>
    <t>TNX100</t>
  </si>
  <si>
    <t>TNX101</t>
  </si>
  <si>
    <t>TNX102</t>
  </si>
  <si>
    <t>TNX103</t>
  </si>
  <si>
    <t>TNX104</t>
  </si>
  <si>
    <t>TNX105</t>
  </si>
  <si>
    <t>TNX106</t>
  </si>
  <si>
    <t>TNX107</t>
  </si>
  <si>
    <t>TNX108</t>
  </si>
  <si>
    <t>TNX109</t>
  </si>
  <si>
    <t>TNX110</t>
  </si>
  <si>
    <t>TNX111</t>
  </si>
  <si>
    <t>TNX112</t>
  </si>
  <si>
    <t>TNX113</t>
  </si>
  <si>
    <t>TNX114</t>
  </si>
  <si>
    <t>TNX115</t>
  </si>
  <si>
    <t>TNX116</t>
  </si>
  <si>
    <t>TNX117</t>
  </si>
  <si>
    <t>TNX118</t>
  </si>
  <si>
    <t>TNX119</t>
  </si>
  <si>
    <t>TNX120</t>
  </si>
  <si>
    <t>TNX121</t>
  </si>
  <si>
    <t>TNX122</t>
  </si>
  <si>
    <t>TNX123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</si>
</sst>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"/>
  </numFmts>
  <fonts count="28">
    <font>
      <sz val="11"/>
      <color rgb="FF000000"/>
      <name val="Calibri"/>
      <charset val="1"/>
    </font>
    <font>
      <sz val="11"/>
      <color rgb="FFFF000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0"/>
      <name val="Arial"/>
      <family val="2"/>
    </font>
    <font>
      <sz val="9"/>
      <color theme="1"/>
      <name val="Tahoma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32323"/>
      <name val="Calibri"/>
      <family val="2"/>
      <scheme val="minor"/>
    </font>
    <font>
      <sz val="9"/>
      <color rgb="FF232323"/>
      <name val="Calibri"/>
      <family val="2"/>
      <scheme val="minor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8.5"/>
      <name val="Arial"/>
      <family val="2"/>
    </font>
    <font>
      <b/>
      <sz val="8.5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iral"/>
    </font>
    <font>
      <sz val="10"/>
      <color theme="1"/>
      <name val="Arial"/>
      <family val="2"/>
    </font>
    <font>
      <sz val="8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Border="0" applyAlignment="0" applyProtection="0"/>
    <xf numFmtId="9" fontId="4" fillId="0" borderId="0" applyBorder="0" applyAlignment="0" applyProtection="0"/>
    <xf numFmtId="0" fontId="19" fillId="0" borderId="0"/>
  </cellStyleXfs>
  <cellXfs count="9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top"/>
    </xf>
    <xf numFmtId="9" fontId="5" fillId="0" borderId="0" xfId="2" applyFont="1" applyBorder="1" applyAlignment="1">
      <alignment vertical="top"/>
    </xf>
    <xf numFmtId="49" fontId="5" fillId="0" borderId="0" xfId="0" applyNumberFormat="1" applyFont="1" applyAlignment="1">
      <alignment horizontal="left" vertical="top"/>
    </xf>
    <xf numFmtId="164" fontId="5" fillId="0" borderId="0" xfId="1" applyNumberFormat="1" applyFont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4" fontId="0" fillId="0" borderId="0" xfId="0" applyNumberFormat="1"/>
    <xf numFmtId="0" fontId="7" fillId="4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left" vertical="top"/>
    </xf>
    <xf numFmtId="1" fontId="14" fillId="0" borderId="0" xfId="0" applyNumberFormat="1" applyFont="1" applyAlignment="1">
      <alignment horizontal="center" vertical="top" shrinkToFit="1"/>
    </xf>
    <xf numFmtId="0" fontId="15" fillId="0" borderId="0" xfId="0" applyFont="1" applyAlignment="1">
      <alignment horizontal="left" vertical="top" wrapText="1" indent="5"/>
    </xf>
    <xf numFmtId="0" fontId="15" fillId="0" borderId="0" xfId="0" applyFont="1" applyAlignment="1">
      <alignment horizontal="left" vertical="top" wrapText="1" indent="4"/>
    </xf>
    <xf numFmtId="0" fontId="15" fillId="0" borderId="0" xfId="0" applyFont="1" applyAlignment="1">
      <alignment horizontal="left" vertical="top" wrapText="1" indent="3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 indent="4"/>
    </xf>
    <xf numFmtId="0" fontId="0" fillId="0" borderId="0" xfId="0" applyAlignment="1">
      <alignment horizontal="center" vertical="top" wrapText="1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 wrapText="1"/>
    </xf>
    <xf numFmtId="1" fontId="18" fillId="0" borderId="0" xfId="0" applyNumberFormat="1" applyFont="1" applyAlignment="1">
      <alignment horizontal="center" vertical="top" shrinkToFit="1"/>
    </xf>
    <xf numFmtId="0" fontId="17" fillId="0" borderId="0" xfId="0" applyFont="1" applyAlignment="1">
      <alignment horizontal="left" vertical="top" wrapText="1" inden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19" fillId="0" borderId="0" xfId="3" applyAlignment="1">
      <alignment vertical="top" wrapText="1"/>
    </xf>
    <xf numFmtId="0" fontId="19" fillId="0" borderId="6" xfId="3" applyBorder="1" applyAlignment="1">
      <alignment vertical="top"/>
    </xf>
    <xf numFmtId="0" fontId="19" fillId="0" borderId="6" xfId="3" applyBorder="1" applyAlignment="1">
      <alignment vertical="center"/>
    </xf>
    <xf numFmtId="0" fontId="19" fillId="0" borderId="7" xfId="3" applyBorder="1" applyAlignment="1">
      <alignment vertical="center"/>
    </xf>
    <xf numFmtId="0" fontId="19" fillId="0" borderId="6" xfId="3" applyBorder="1" applyAlignment="1">
      <alignment horizontal="center" vertical="center"/>
    </xf>
    <xf numFmtId="165" fontId="19" fillId="0" borderId="6" xfId="1" applyNumberFormat="1" applyFont="1" applyBorder="1" applyAlignment="1">
      <alignment horizontal="center" vertical="center"/>
    </xf>
    <xf numFmtId="0" fontId="19" fillId="0" borderId="0" xfId="3" applyAlignment="1">
      <alignment vertical="top"/>
    </xf>
    <xf numFmtId="2" fontId="19" fillId="0" borderId="7" xfId="3" applyNumberFormat="1" applyBorder="1" applyAlignment="1">
      <alignment vertical="center"/>
    </xf>
    <xf numFmtId="0" fontId="21" fillId="0" borderId="7" xfId="0" applyFont="1" applyBorder="1" applyAlignment="1">
      <alignment vertical="top"/>
    </xf>
    <xf numFmtId="0" fontId="19" fillId="0" borderId="7" xfId="3" applyBorder="1"/>
    <xf numFmtId="0" fontId="19" fillId="0" borderId="0" xfId="3" applyAlignment="1">
      <alignment vertical="center"/>
    </xf>
    <xf numFmtId="0" fontId="14" fillId="0" borderId="0" xfId="0" applyFont="1" applyAlignment="1">
      <alignment vertical="top"/>
    </xf>
    <xf numFmtId="0" fontId="22" fillId="0" borderId="7" xfId="0" applyFont="1" applyBorder="1"/>
    <xf numFmtId="0" fontId="24" fillId="0" borderId="0" xfId="0" applyFont="1"/>
    <xf numFmtId="0" fontId="7" fillId="0" borderId="6" xfId="0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66" fontId="7" fillId="0" borderId="6" xfId="0" applyNumberFormat="1" applyFont="1" applyBorder="1" applyAlignment="1">
      <alignment horizontal="center" vertical="center" wrapText="1"/>
    </xf>
    <xf numFmtId="0" fontId="7" fillId="0" borderId="0" xfId="0" applyFont="1"/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center"/>
    </xf>
    <xf numFmtId="43" fontId="0" fillId="0" borderId="6" xfId="1" applyFont="1" applyBorder="1" applyAlignment="1">
      <alignment horizontal="right"/>
    </xf>
    <xf numFmtId="2" fontId="0" fillId="0" borderId="0" xfId="0" applyNumberFormat="1"/>
    <xf numFmtId="0" fontId="0" fillId="0" borderId="6" xfId="0" applyBorder="1"/>
    <xf numFmtId="0" fontId="25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7" fillId="6" borderId="0" xfId="0" applyFont="1" applyFill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1" fontId="7" fillId="4" borderId="6" xfId="0" applyNumberFormat="1" applyFont="1" applyFill="1" applyBorder="1" applyAlignment="1">
      <alignment horizontal="left" vertical="center" wrapText="1"/>
    </xf>
    <xf numFmtId="166" fontId="7" fillId="4" borderId="6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/>
    </xf>
    <xf numFmtId="2" fontId="0" fillId="0" borderId="6" xfId="0" applyNumberFormat="1" applyBorder="1" applyAlignment="1">
      <alignment horizontal="left"/>
    </xf>
    <xf numFmtId="43" fontId="0" fillId="0" borderId="6" xfId="1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43" fontId="0" fillId="0" borderId="0" xfId="1" applyFont="1"/>
    <xf numFmtId="0" fontId="24" fillId="0" borderId="6" xfId="0" applyFont="1" applyBorder="1" applyAlignment="1">
      <alignment horizontal="center" vertical="top"/>
    </xf>
    <xf numFmtId="2" fontId="0" fillId="3" borderId="6" xfId="0" applyNumberFormat="1" applyFill="1" applyBorder="1"/>
    <xf numFmtId="2" fontId="0" fillId="0" borderId="6" xfId="0" applyNumberFormat="1" applyBorder="1"/>
    <xf numFmtId="4" fontId="0" fillId="0" borderId="6" xfId="0" applyNumberFormat="1" applyBorder="1"/>
    <xf numFmtId="0" fontId="0" fillId="0" borderId="6" xfId="0" applyBorder="1" applyAlignment="1">
      <alignment wrapText="1"/>
    </xf>
  </cellXfs>
  <cellStyles count="4">
    <cellStyle name="Comma" xfId="1" builtinId="3"/>
    <cellStyle name="Normal" xfId="0" builtinId="0"/>
    <cellStyle name="Normal 2" xfId="3" xr:uid="{E63BEE8B-893D-4BE8-954A-24A8739B8B38}"/>
    <cellStyle name="Percent" xfId="2" builtinId="5"/>
  </cellStyles>
  <dxfs count="7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36"/>
  <sheetViews>
    <sheetView tabSelected="1" topLeftCell="L1" workbookViewId="0">
      <selection activeCell="E17" sqref="E17"/>
    </sheetView>
  </sheetViews>
  <sheetFormatPr defaultColWidth="9.1796875" defaultRowHeight="14.5"/>
  <cols>
    <col min="1" max="1" width="16.26953125" customWidth="1"/>
    <col min="2" max="2" width="25.26953125" customWidth="1"/>
    <col min="3" max="3" width="22.7265625" customWidth="1"/>
    <col min="4" max="4" width="15.81640625" customWidth="1"/>
    <col min="5" max="5" width="21.54296875" customWidth="1"/>
    <col min="6" max="6" width="14.453125" style="2" customWidth="1"/>
    <col min="7" max="7" width="43.81640625" style="3" customWidth="1"/>
    <col min="8" max="8" width="23.54296875" customWidth="1"/>
    <col min="9" max="10" width="15.7265625" customWidth="1"/>
    <col min="11" max="11" width="18" customWidth="1"/>
    <col min="12" max="12" width="12.54296875" customWidth="1"/>
    <col min="13" max="13" width="16" customWidth="1"/>
    <col min="14" max="14" width="13.81640625" customWidth="1"/>
    <col min="15" max="15" width="16" customWidth="1"/>
    <col min="16" max="16" width="13.81640625" customWidth="1"/>
    <col min="17" max="17" width="16" customWidth="1"/>
    <col min="18" max="18" width="18.1796875" customWidth="1"/>
  </cols>
  <sheetData>
    <row r="1" spans="1:19" s="1" customFormat="1" ht="33" customHeight="1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>
      <c r="A2" s="9" t="s">
        <v>22</v>
      </c>
      <c r="B2" s="9" t="s">
        <v>25</v>
      </c>
      <c r="C2" s="9" t="s">
        <v>42</v>
      </c>
      <c r="D2" t="s">
        <v>204</v>
      </c>
      <c r="F2" s="12">
        <v>7400</v>
      </c>
      <c r="G2" s="10" t="s">
        <v>206</v>
      </c>
      <c r="H2" s="10" t="s">
        <v>206</v>
      </c>
      <c r="K2" t="s">
        <v>19</v>
      </c>
      <c r="L2" t="s">
        <v>20</v>
      </c>
      <c r="M2" s="9">
        <v>7419999</v>
      </c>
      <c r="N2" t="s">
        <v>3477</v>
      </c>
      <c r="O2">
        <v>18</v>
      </c>
      <c r="P2" t="s">
        <v>3477</v>
      </c>
      <c r="Q2">
        <v>18</v>
      </c>
      <c r="R2" s="13">
        <v>1300</v>
      </c>
      <c r="S2" s="13">
        <v>909.99999999999989</v>
      </c>
    </row>
    <row r="3" spans="1:19">
      <c r="A3" s="9" t="s">
        <v>22</v>
      </c>
      <c r="B3" s="9" t="s">
        <v>26</v>
      </c>
      <c r="C3" s="9" t="s">
        <v>43</v>
      </c>
      <c r="D3" t="s">
        <v>204</v>
      </c>
      <c r="F3" s="12" t="s">
        <v>1507</v>
      </c>
      <c r="G3" s="10" t="s">
        <v>207</v>
      </c>
      <c r="H3" s="10" t="s">
        <v>207</v>
      </c>
      <c r="K3" t="s">
        <v>19</v>
      </c>
      <c r="L3" t="s">
        <v>20</v>
      </c>
      <c r="M3" s="9">
        <v>39222</v>
      </c>
      <c r="N3" t="s">
        <v>3477</v>
      </c>
      <c r="O3">
        <v>18</v>
      </c>
      <c r="P3" t="s">
        <v>3477</v>
      </c>
      <c r="Q3">
        <v>18</v>
      </c>
      <c r="R3" s="13">
        <v>9569</v>
      </c>
      <c r="S3" s="13">
        <v>6698.2999999999993</v>
      </c>
    </row>
    <row r="4" spans="1:19">
      <c r="A4" s="9" t="s">
        <v>22</v>
      </c>
      <c r="B4" s="9" t="s">
        <v>26</v>
      </c>
      <c r="C4" s="9" t="s">
        <v>43</v>
      </c>
      <c r="D4" t="s">
        <v>204</v>
      </c>
      <c r="F4" s="12" t="s">
        <v>1508</v>
      </c>
      <c r="G4" s="10" t="s">
        <v>208</v>
      </c>
      <c r="H4" s="10" t="s">
        <v>208</v>
      </c>
      <c r="K4" t="s">
        <v>19</v>
      </c>
      <c r="L4" t="s">
        <v>20</v>
      </c>
      <c r="M4" s="9">
        <v>39222</v>
      </c>
      <c r="N4" t="s">
        <v>3477</v>
      </c>
      <c r="O4">
        <v>18</v>
      </c>
      <c r="P4" t="s">
        <v>3477</v>
      </c>
      <c r="Q4">
        <v>18</v>
      </c>
      <c r="R4" s="13">
        <v>9795</v>
      </c>
      <c r="S4" s="13">
        <v>6856.5</v>
      </c>
    </row>
    <row r="5" spans="1:19">
      <c r="A5" s="9" t="s">
        <v>22</v>
      </c>
      <c r="B5" s="9" t="s">
        <v>27</v>
      </c>
      <c r="C5" s="9" t="s">
        <v>44</v>
      </c>
      <c r="D5" t="s">
        <v>204</v>
      </c>
      <c r="F5" s="12" t="s">
        <v>1509</v>
      </c>
      <c r="G5" s="10" t="s">
        <v>209</v>
      </c>
      <c r="H5" s="10" t="s">
        <v>209</v>
      </c>
      <c r="K5" t="s">
        <v>19</v>
      </c>
      <c r="L5" t="s">
        <v>20</v>
      </c>
      <c r="M5" s="9">
        <v>8424899</v>
      </c>
      <c r="N5" t="s">
        <v>3477</v>
      </c>
      <c r="O5">
        <v>18</v>
      </c>
      <c r="P5" t="s">
        <v>3477</v>
      </c>
      <c r="Q5">
        <v>18</v>
      </c>
      <c r="R5" s="13">
        <v>7740</v>
      </c>
      <c r="S5" s="13">
        <v>5418</v>
      </c>
    </row>
    <row r="6" spans="1:19">
      <c r="A6" s="9" t="s">
        <v>22</v>
      </c>
      <c r="B6" s="9" t="s">
        <v>27</v>
      </c>
      <c r="C6" s="9" t="s">
        <v>45</v>
      </c>
      <c r="D6" t="s">
        <v>204</v>
      </c>
      <c r="F6" s="12" t="s">
        <v>1510</v>
      </c>
      <c r="G6" s="10" t="s">
        <v>210</v>
      </c>
      <c r="H6" s="10" t="s">
        <v>210</v>
      </c>
      <c r="K6" t="s">
        <v>19</v>
      </c>
      <c r="L6" t="s">
        <v>20</v>
      </c>
      <c r="M6" s="9">
        <v>73249</v>
      </c>
      <c r="N6" t="s">
        <v>3477</v>
      </c>
      <c r="O6">
        <v>18</v>
      </c>
      <c r="P6" t="s">
        <v>3477</v>
      </c>
      <c r="Q6">
        <v>18</v>
      </c>
      <c r="R6" s="13">
        <v>12840</v>
      </c>
      <c r="S6" s="13">
        <v>8988</v>
      </c>
    </row>
    <row r="7" spans="1:19">
      <c r="A7" s="9" t="s">
        <v>23</v>
      </c>
      <c r="B7" s="9" t="s">
        <v>27</v>
      </c>
      <c r="C7" s="9" t="s">
        <v>46</v>
      </c>
      <c r="D7" t="s">
        <v>204</v>
      </c>
      <c r="F7" s="12" t="s">
        <v>1511</v>
      </c>
      <c r="G7" s="10" t="s">
        <v>211</v>
      </c>
      <c r="H7" s="10" t="s">
        <v>211</v>
      </c>
      <c r="K7" t="s">
        <v>19</v>
      </c>
      <c r="L7" t="s">
        <v>20</v>
      </c>
      <c r="M7" s="9">
        <v>83025</v>
      </c>
      <c r="N7" t="s">
        <v>3477</v>
      </c>
      <c r="O7">
        <v>18</v>
      </c>
      <c r="P7" t="s">
        <v>3477</v>
      </c>
      <c r="Q7">
        <v>18</v>
      </c>
      <c r="R7" s="13">
        <v>34200</v>
      </c>
      <c r="S7" s="13">
        <v>20520</v>
      </c>
    </row>
    <row r="8" spans="1:19">
      <c r="A8" s="9" t="s">
        <v>23</v>
      </c>
      <c r="B8" s="9" t="s">
        <v>27</v>
      </c>
      <c r="C8" s="9" t="s">
        <v>47</v>
      </c>
      <c r="D8" t="s">
        <v>204</v>
      </c>
      <c r="F8" s="12" t="s">
        <v>1512</v>
      </c>
      <c r="G8" s="10" t="s">
        <v>211</v>
      </c>
      <c r="H8" s="10" t="s">
        <v>211</v>
      </c>
      <c r="K8" t="s">
        <v>19</v>
      </c>
      <c r="L8" t="s">
        <v>20</v>
      </c>
      <c r="M8" s="9">
        <v>8481802</v>
      </c>
      <c r="N8" t="s">
        <v>3477</v>
      </c>
      <c r="O8">
        <v>18</v>
      </c>
      <c r="P8" t="s">
        <v>3477</v>
      </c>
      <c r="Q8">
        <v>18</v>
      </c>
      <c r="R8" s="13">
        <v>120000</v>
      </c>
      <c r="S8" s="13">
        <v>72000</v>
      </c>
    </row>
    <row r="9" spans="1:19">
      <c r="A9" s="9" t="s">
        <v>23</v>
      </c>
      <c r="B9" s="9" t="s">
        <v>27</v>
      </c>
      <c r="C9" s="9" t="s">
        <v>48</v>
      </c>
      <c r="D9" t="s">
        <v>204</v>
      </c>
      <c r="F9" s="12" t="s">
        <v>1513</v>
      </c>
      <c r="G9" s="10" t="s">
        <v>211</v>
      </c>
      <c r="H9" s="10" t="s">
        <v>211</v>
      </c>
      <c r="K9" t="s">
        <v>19</v>
      </c>
      <c r="L9" t="s">
        <v>20</v>
      </c>
      <c r="M9" s="9">
        <v>8481802</v>
      </c>
      <c r="N9" t="s">
        <v>3477</v>
      </c>
      <c r="O9">
        <v>18</v>
      </c>
      <c r="P9" t="s">
        <v>3477</v>
      </c>
      <c r="Q9">
        <v>18</v>
      </c>
      <c r="R9" s="13">
        <v>98200</v>
      </c>
      <c r="S9" s="13">
        <v>58920</v>
      </c>
    </row>
    <row r="10" spans="1:19">
      <c r="A10" s="9" t="s">
        <v>23</v>
      </c>
      <c r="B10" s="9" t="s">
        <v>27</v>
      </c>
      <c r="C10" s="9" t="s">
        <v>48</v>
      </c>
      <c r="D10" t="s">
        <v>204</v>
      </c>
      <c r="F10" s="12" t="s">
        <v>1514</v>
      </c>
      <c r="G10" s="10" t="s">
        <v>212</v>
      </c>
      <c r="H10" s="10" t="s">
        <v>212</v>
      </c>
      <c r="K10" t="s">
        <v>19</v>
      </c>
      <c r="L10" t="s">
        <v>20</v>
      </c>
      <c r="M10" s="9">
        <v>8481802</v>
      </c>
      <c r="N10" t="s">
        <v>3477</v>
      </c>
      <c r="O10">
        <v>18</v>
      </c>
      <c r="P10" t="s">
        <v>3477</v>
      </c>
      <c r="Q10">
        <v>18</v>
      </c>
      <c r="R10" s="13">
        <v>110000</v>
      </c>
      <c r="S10" s="13">
        <v>66000</v>
      </c>
    </row>
    <row r="11" spans="1:19">
      <c r="A11" s="9" t="s">
        <v>23</v>
      </c>
      <c r="B11" s="9" t="s">
        <v>27</v>
      </c>
      <c r="C11" s="9" t="s">
        <v>48</v>
      </c>
      <c r="D11" t="s">
        <v>204</v>
      </c>
      <c r="F11" s="12" t="s">
        <v>1515</v>
      </c>
      <c r="G11" s="10" t="s">
        <v>213</v>
      </c>
      <c r="H11" s="10" t="s">
        <v>213</v>
      </c>
      <c r="K11" t="s">
        <v>19</v>
      </c>
      <c r="L11" t="s">
        <v>20</v>
      </c>
      <c r="M11" s="9">
        <v>8481802</v>
      </c>
      <c r="N11" t="s">
        <v>3477</v>
      </c>
      <c r="O11">
        <v>18</v>
      </c>
      <c r="P11" t="s">
        <v>3477</v>
      </c>
      <c r="Q11">
        <v>18</v>
      </c>
      <c r="R11" s="13">
        <v>35000</v>
      </c>
      <c r="S11" s="13">
        <v>21000</v>
      </c>
    </row>
    <row r="12" spans="1:19">
      <c r="A12" s="9" t="s">
        <v>23</v>
      </c>
      <c r="B12" s="9" t="s">
        <v>27</v>
      </c>
      <c r="C12" s="9" t="s">
        <v>48</v>
      </c>
      <c r="D12" t="s">
        <v>204</v>
      </c>
      <c r="F12" s="12" t="s">
        <v>1516</v>
      </c>
      <c r="G12" s="10" t="s">
        <v>214</v>
      </c>
      <c r="H12" s="10" t="s">
        <v>214</v>
      </c>
      <c r="K12" t="s">
        <v>19</v>
      </c>
      <c r="L12" t="s">
        <v>20</v>
      </c>
      <c r="M12" s="9">
        <v>8481802</v>
      </c>
      <c r="N12" t="s">
        <v>3477</v>
      </c>
      <c r="O12">
        <v>18</v>
      </c>
      <c r="P12" t="s">
        <v>3477</v>
      </c>
      <c r="Q12">
        <v>18</v>
      </c>
      <c r="R12" s="13">
        <v>49000</v>
      </c>
      <c r="S12" s="13">
        <v>29400</v>
      </c>
    </row>
    <row r="13" spans="1:19">
      <c r="A13" s="9" t="s">
        <v>22</v>
      </c>
      <c r="B13" s="9" t="s">
        <v>27</v>
      </c>
      <c r="C13" s="9" t="s">
        <v>48</v>
      </c>
      <c r="D13" t="s">
        <v>204</v>
      </c>
      <c r="F13" s="12" t="s">
        <v>1517</v>
      </c>
      <c r="G13" s="10" t="s">
        <v>211</v>
      </c>
      <c r="H13" s="10" t="s">
        <v>211</v>
      </c>
      <c r="K13" t="s">
        <v>19</v>
      </c>
      <c r="L13" t="s">
        <v>20</v>
      </c>
      <c r="M13" s="9">
        <v>8481802</v>
      </c>
      <c r="N13" t="s">
        <v>3477</v>
      </c>
      <c r="O13">
        <v>18</v>
      </c>
      <c r="P13" t="s">
        <v>3477</v>
      </c>
      <c r="Q13">
        <v>18</v>
      </c>
      <c r="R13" s="13">
        <v>38220</v>
      </c>
      <c r="S13" s="13">
        <v>26754</v>
      </c>
    </row>
    <row r="14" spans="1:19">
      <c r="A14" s="9" t="s">
        <v>23</v>
      </c>
      <c r="B14" s="9" t="s">
        <v>27</v>
      </c>
      <c r="C14" s="9" t="s">
        <v>49</v>
      </c>
      <c r="D14" t="s">
        <v>204</v>
      </c>
      <c r="F14" s="12" t="s">
        <v>1518</v>
      </c>
      <c r="G14" s="10" t="s">
        <v>211</v>
      </c>
      <c r="H14" s="10" t="s">
        <v>211</v>
      </c>
      <c r="K14" t="s">
        <v>19</v>
      </c>
      <c r="L14" t="s">
        <v>20</v>
      </c>
      <c r="M14" s="9">
        <v>8481802</v>
      </c>
      <c r="N14" t="s">
        <v>3477</v>
      </c>
      <c r="O14">
        <v>18</v>
      </c>
      <c r="P14" t="s">
        <v>3477</v>
      </c>
      <c r="Q14">
        <v>18</v>
      </c>
      <c r="R14" s="13">
        <v>130000</v>
      </c>
      <c r="S14" s="13">
        <v>78000</v>
      </c>
    </row>
    <row r="15" spans="1:19">
      <c r="A15" s="9" t="s">
        <v>23</v>
      </c>
      <c r="B15" s="9" t="s">
        <v>27</v>
      </c>
      <c r="C15" s="9" t="s">
        <v>49</v>
      </c>
      <c r="D15" t="s">
        <v>204</v>
      </c>
      <c r="F15" s="12" t="s">
        <v>1519</v>
      </c>
      <c r="G15" s="10" t="s">
        <v>211</v>
      </c>
      <c r="H15" s="10" t="s">
        <v>211</v>
      </c>
      <c r="K15" t="s">
        <v>19</v>
      </c>
      <c r="L15" t="s">
        <v>20</v>
      </c>
      <c r="M15" s="9">
        <v>8481802</v>
      </c>
      <c r="N15" t="s">
        <v>3477</v>
      </c>
      <c r="O15">
        <v>18</v>
      </c>
      <c r="P15" t="s">
        <v>3477</v>
      </c>
      <c r="Q15">
        <v>18</v>
      </c>
      <c r="R15" s="13">
        <v>91900</v>
      </c>
      <c r="S15" s="13">
        <v>55140</v>
      </c>
    </row>
    <row r="16" spans="1:19">
      <c r="A16" s="9" t="s">
        <v>23</v>
      </c>
      <c r="B16" s="9" t="s">
        <v>27</v>
      </c>
      <c r="C16" s="9" t="s">
        <v>49</v>
      </c>
      <c r="D16" t="s">
        <v>204</v>
      </c>
      <c r="F16" s="12" t="s">
        <v>1520</v>
      </c>
      <c r="G16" s="10" t="s">
        <v>211</v>
      </c>
      <c r="H16" s="10" t="s">
        <v>211</v>
      </c>
      <c r="K16" t="s">
        <v>19</v>
      </c>
      <c r="L16" t="s">
        <v>20</v>
      </c>
      <c r="M16" s="9">
        <v>8481802</v>
      </c>
      <c r="N16" t="s">
        <v>3477</v>
      </c>
      <c r="O16">
        <v>18</v>
      </c>
      <c r="P16" t="s">
        <v>3477</v>
      </c>
      <c r="Q16">
        <v>18</v>
      </c>
      <c r="R16" s="13">
        <v>108000</v>
      </c>
      <c r="S16" s="13">
        <v>64800</v>
      </c>
    </row>
    <row r="17" spans="1:19">
      <c r="A17" s="9" t="s">
        <v>23</v>
      </c>
      <c r="B17" s="9" t="s">
        <v>27</v>
      </c>
      <c r="C17" s="9" t="s">
        <v>49</v>
      </c>
      <c r="D17" t="s">
        <v>204</v>
      </c>
      <c r="F17" s="12" t="s">
        <v>1521</v>
      </c>
      <c r="G17" s="10" t="s">
        <v>212</v>
      </c>
      <c r="H17" s="10" t="s">
        <v>212</v>
      </c>
      <c r="K17" t="s">
        <v>19</v>
      </c>
      <c r="L17" t="s">
        <v>20</v>
      </c>
      <c r="M17" s="9">
        <v>8481802</v>
      </c>
      <c r="N17" t="s">
        <v>3477</v>
      </c>
      <c r="O17">
        <v>18</v>
      </c>
      <c r="P17" t="s">
        <v>3477</v>
      </c>
      <c r="Q17">
        <v>18</v>
      </c>
      <c r="R17" s="13">
        <v>121000</v>
      </c>
      <c r="S17" s="13">
        <v>72600</v>
      </c>
    </row>
    <row r="18" spans="1:19">
      <c r="A18" s="9" t="s">
        <v>22</v>
      </c>
      <c r="B18" s="9" t="s">
        <v>27</v>
      </c>
      <c r="C18" s="9" t="s">
        <v>49</v>
      </c>
      <c r="D18" t="s">
        <v>204</v>
      </c>
      <c r="F18" s="12" t="s">
        <v>1522</v>
      </c>
      <c r="G18" s="10" t="s">
        <v>215</v>
      </c>
      <c r="H18" s="10" t="s">
        <v>215</v>
      </c>
      <c r="K18" t="s">
        <v>19</v>
      </c>
      <c r="L18" t="s">
        <v>20</v>
      </c>
      <c r="M18" s="9">
        <v>8481802</v>
      </c>
      <c r="N18" t="s">
        <v>3477</v>
      </c>
      <c r="O18">
        <v>18</v>
      </c>
      <c r="P18" t="s">
        <v>3477</v>
      </c>
      <c r="Q18">
        <v>18</v>
      </c>
      <c r="R18" s="13">
        <v>44970</v>
      </c>
      <c r="S18" s="13">
        <v>31478.999999999996</v>
      </c>
    </row>
    <row r="19" spans="1:19">
      <c r="A19" s="9" t="s">
        <v>23</v>
      </c>
      <c r="B19" s="9" t="s">
        <v>27</v>
      </c>
      <c r="C19" s="9" t="s">
        <v>48</v>
      </c>
      <c r="D19" t="s">
        <v>204</v>
      </c>
      <c r="F19" s="12" t="s">
        <v>1523</v>
      </c>
      <c r="G19" s="10" t="s">
        <v>190</v>
      </c>
      <c r="H19" s="10" t="s">
        <v>190</v>
      </c>
      <c r="K19" t="s">
        <v>19</v>
      </c>
      <c r="L19" t="s">
        <v>20</v>
      </c>
      <c r="M19" s="9">
        <v>8481802</v>
      </c>
      <c r="N19" t="s">
        <v>3477</v>
      </c>
      <c r="O19">
        <v>18</v>
      </c>
      <c r="P19" t="s">
        <v>3477</v>
      </c>
      <c r="Q19">
        <v>18</v>
      </c>
      <c r="R19" s="13">
        <v>85000</v>
      </c>
      <c r="S19" s="13">
        <v>51000</v>
      </c>
    </row>
    <row r="20" spans="1:19">
      <c r="A20" s="9" t="s">
        <v>22</v>
      </c>
      <c r="B20" s="9" t="s">
        <v>27</v>
      </c>
      <c r="C20" s="9" t="s">
        <v>50</v>
      </c>
      <c r="D20" t="s">
        <v>204</v>
      </c>
      <c r="E20" t="s">
        <v>205</v>
      </c>
      <c r="F20" s="12" t="s">
        <v>1524</v>
      </c>
      <c r="G20" s="10" t="s">
        <v>216</v>
      </c>
      <c r="H20" s="10" t="s">
        <v>216</v>
      </c>
      <c r="J20" t="s">
        <v>21</v>
      </c>
      <c r="K20" t="s">
        <v>19</v>
      </c>
      <c r="L20" t="s">
        <v>20</v>
      </c>
      <c r="M20" s="9">
        <v>8481809</v>
      </c>
      <c r="N20" t="s">
        <v>3477</v>
      </c>
      <c r="O20">
        <v>18</v>
      </c>
      <c r="P20" t="s">
        <v>3477</v>
      </c>
      <c r="Q20">
        <v>18</v>
      </c>
      <c r="R20" s="13">
        <v>279</v>
      </c>
      <c r="S20" s="13">
        <v>195.29999999999998</v>
      </c>
    </row>
    <row r="21" spans="1:19">
      <c r="A21" s="9" t="s">
        <v>23</v>
      </c>
      <c r="B21" s="9" t="s">
        <v>27</v>
      </c>
      <c r="C21" s="9" t="s">
        <v>51</v>
      </c>
      <c r="D21" t="s">
        <v>204</v>
      </c>
      <c r="F21" s="12" t="s">
        <v>1525</v>
      </c>
      <c r="G21" s="10" t="s">
        <v>216</v>
      </c>
      <c r="H21" s="10" t="s">
        <v>216</v>
      </c>
      <c r="K21" t="s">
        <v>19</v>
      </c>
      <c r="L21" t="s">
        <v>20</v>
      </c>
      <c r="M21" s="9">
        <v>8481909</v>
      </c>
      <c r="N21" t="s">
        <v>3477</v>
      </c>
      <c r="O21">
        <v>18</v>
      </c>
      <c r="P21" t="s">
        <v>3477</v>
      </c>
      <c r="Q21">
        <v>18</v>
      </c>
      <c r="R21" s="13">
        <v>27900</v>
      </c>
      <c r="S21" s="13">
        <v>16740</v>
      </c>
    </row>
    <row r="22" spans="1:19">
      <c r="A22" s="9" t="s">
        <v>22</v>
      </c>
      <c r="B22" s="9" t="s">
        <v>27</v>
      </c>
      <c r="C22" s="9" t="s">
        <v>51</v>
      </c>
      <c r="D22" t="s">
        <v>204</v>
      </c>
      <c r="F22" s="12" t="s">
        <v>1526</v>
      </c>
      <c r="G22" s="10" t="s">
        <v>217</v>
      </c>
      <c r="H22" s="10" t="s">
        <v>217</v>
      </c>
      <c r="K22" t="s">
        <v>19</v>
      </c>
      <c r="L22" t="s">
        <v>20</v>
      </c>
      <c r="M22" s="9">
        <v>8481801</v>
      </c>
      <c r="N22" t="s">
        <v>3477</v>
      </c>
      <c r="O22">
        <v>18</v>
      </c>
      <c r="P22" t="s">
        <v>3477</v>
      </c>
      <c r="Q22">
        <v>18</v>
      </c>
      <c r="R22" s="13">
        <v>25800</v>
      </c>
      <c r="S22" s="13">
        <v>18060</v>
      </c>
    </row>
    <row r="23" spans="1:19">
      <c r="A23" s="9" t="s">
        <v>23</v>
      </c>
      <c r="B23" s="9" t="s">
        <v>27</v>
      </c>
      <c r="C23" s="9" t="s">
        <v>51</v>
      </c>
      <c r="D23" t="s">
        <v>204</v>
      </c>
      <c r="F23" s="12" t="s">
        <v>1527</v>
      </c>
      <c r="G23" s="10" t="s">
        <v>218</v>
      </c>
      <c r="H23" s="10" t="s">
        <v>218</v>
      </c>
      <c r="K23" t="s">
        <v>19</v>
      </c>
      <c r="L23" t="s">
        <v>20</v>
      </c>
      <c r="M23" s="9">
        <v>8481909</v>
      </c>
      <c r="N23" t="s">
        <v>3477</v>
      </c>
      <c r="O23">
        <v>18</v>
      </c>
      <c r="P23" t="s">
        <v>3477</v>
      </c>
      <c r="Q23">
        <v>18</v>
      </c>
      <c r="R23" s="13">
        <v>12000</v>
      </c>
      <c r="S23" s="13">
        <v>7200</v>
      </c>
    </row>
    <row r="24" spans="1:19">
      <c r="A24" s="9" t="s">
        <v>23</v>
      </c>
      <c r="B24" s="9" t="s">
        <v>28</v>
      </c>
      <c r="C24" s="9" t="s">
        <v>50</v>
      </c>
      <c r="D24" t="s">
        <v>204</v>
      </c>
      <c r="F24" s="12" t="s">
        <v>1528</v>
      </c>
      <c r="G24" s="10" t="s">
        <v>219</v>
      </c>
      <c r="H24" s="10" t="s">
        <v>219</v>
      </c>
      <c r="K24" t="s">
        <v>19</v>
      </c>
      <c r="L24" t="s">
        <v>20</v>
      </c>
      <c r="M24" s="9">
        <v>85161</v>
      </c>
      <c r="N24" t="s">
        <v>3477</v>
      </c>
      <c r="O24">
        <v>18</v>
      </c>
      <c r="P24" t="s">
        <v>3477</v>
      </c>
      <c r="Q24">
        <v>18</v>
      </c>
      <c r="R24" s="13">
        <v>624</v>
      </c>
      <c r="S24" s="13">
        <v>374.4</v>
      </c>
    </row>
    <row r="25" spans="1:19">
      <c r="A25" s="9" t="s">
        <v>22</v>
      </c>
      <c r="B25" s="9" t="s">
        <v>29</v>
      </c>
      <c r="C25" s="9" t="s">
        <v>52</v>
      </c>
      <c r="D25" t="s">
        <v>204</v>
      </c>
      <c r="F25" s="12" t="s">
        <v>1529</v>
      </c>
      <c r="G25" s="10" t="s">
        <v>220</v>
      </c>
      <c r="H25" s="10" t="s">
        <v>220</v>
      </c>
      <c r="K25" t="s">
        <v>19</v>
      </c>
      <c r="L25" t="s">
        <v>20</v>
      </c>
      <c r="M25" s="9">
        <v>8481801</v>
      </c>
      <c r="N25" t="s">
        <v>3477</v>
      </c>
      <c r="O25">
        <v>18</v>
      </c>
      <c r="P25" t="s">
        <v>3477</v>
      </c>
      <c r="Q25">
        <v>18</v>
      </c>
      <c r="R25" s="13">
        <v>60250</v>
      </c>
      <c r="S25" s="13">
        <v>42175</v>
      </c>
    </row>
    <row r="26" spans="1:19">
      <c r="A26" s="9" t="s">
        <v>22</v>
      </c>
      <c r="B26" s="9" t="s">
        <v>29</v>
      </c>
      <c r="C26" s="9" t="s">
        <v>52</v>
      </c>
      <c r="D26" t="s">
        <v>204</v>
      </c>
      <c r="F26" s="12" t="s">
        <v>1530</v>
      </c>
      <c r="G26" s="10" t="s">
        <v>220</v>
      </c>
      <c r="H26" s="10" t="s">
        <v>220</v>
      </c>
      <c r="K26" t="s">
        <v>19</v>
      </c>
      <c r="L26" t="s">
        <v>20</v>
      </c>
      <c r="M26" s="9">
        <v>8481909</v>
      </c>
      <c r="N26" t="s">
        <v>3477</v>
      </c>
      <c r="O26">
        <v>18</v>
      </c>
      <c r="P26" t="s">
        <v>3477</v>
      </c>
      <c r="Q26">
        <v>18</v>
      </c>
      <c r="R26" s="13">
        <v>126910</v>
      </c>
      <c r="S26" s="13">
        <v>88837</v>
      </c>
    </row>
    <row r="27" spans="1:19">
      <c r="A27" s="9" t="s">
        <v>23</v>
      </c>
      <c r="B27" s="9" t="s">
        <v>29</v>
      </c>
      <c r="C27" s="9" t="s">
        <v>52</v>
      </c>
      <c r="D27" t="s">
        <v>204</v>
      </c>
      <c r="F27" s="12" t="s">
        <v>1531</v>
      </c>
      <c r="G27" s="10" t="s">
        <v>221</v>
      </c>
      <c r="H27" s="10" t="s">
        <v>221</v>
      </c>
      <c r="K27" t="s">
        <v>19</v>
      </c>
      <c r="L27" t="s">
        <v>20</v>
      </c>
      <c r="M27" s="9">
        <v>8481802</v>
      </c>
      <c r="N27" t="s">
        <v>3477</v>
      </c>
      <c r="O27">
        <v>18</v>
      </c>
      <c r="P27" t="s">
        <v>3477</v>
      </c>
      <c r="Q27">
        <v>18</v>
      </c>
      <c r="R27" s="13">
        <v>52290</v>
      </c>
      <c r="S27" s="13">
        <v>31374</v>
      </c>
    </row>
    <row r="28" spans="1:19">
      <c r="A28" s="9" t="s">
        <v>23</v>
      </c>
      <c r="B28" s="9" t="s">
        <v>28</v>
      </c>
      <c r="C28" s="9" t="s">
        <v>50</v>
      </c>
      <c r="D28" t="s">
        <v>204</v>
      </c>
      <c r="F28" s="12" t="s">
        <v>1532</v>
      </c>
      <c r="G28" s="10" t="s">
        <v>222</v>
      </c>
      <c r="H28" s="10" t="s">
        <v>222</v>
      </c>
      <c r="K28" t="s">
        <v>19</v>
      </c>
      <c r="L28" t="s">
        <v>20</v>
      </c>
      <c r="M28" s="9">
        <v>9025199</v>
      </c>
      <c r="N28" t="s">
        <v>3477</v>
      </c>
      <c r="O28">
        <v>18</v>
      </c>
      <c r="P28" t="s">
        <v>3477</v>
      </c>
      <c r="Q28">
        <v>18</v>
      </c>
      <c r="R28" s="13">
        <v>3348</v>
      </c>
      <c r="S28" s="13">
        <v>2008.8</v>
      </c>
    </row>
    <row r="29" spans="1:19">
      <c r="A29" s="9" t="s">
        <v>22</v>
      </c>
      <c r="B29" s="9" t="s">
        <v>30</v>
      </c>
      <c r="C29" s="9" t="s">
        <v>50</v>
      </c>
      <c r="D29" t="s">
        <v>204</v>
      </c>
      <c r="F29" s="12" t="s">
        <v>1533</v>
      </c>
      <c r="G29" s="10" t="s">
        <v>223</v>
      </c>
      <c r="H29" s="10" t="s">
        <v>223</v>
      </c>
      <c r="K29" t="s">
        <v>19</v>
      </c>
      <c r="L29" t="s">
        <v>20</v>
      </c>
      <c r="M29" s="9">
        <v>39229</v>
      </c>
      <c r="N29" t="s">
        <v>3477</v>
      </c>
      <c r="O29">
        <v>18</v>
      </c>
      <c r="P29" t="s">
        <v>3477</v>
      </c>
      <c r="Q29">
        <v>18</v>
      </c>
      <c r="R29" s="13">
        <v>129</v>
      </c>
      <c r="S29" s="13">
        <v>90.3</v>
      </c>
    </row>
    <row r="30" spans="1:19">
      <c r="A30" s="9" t="s">
        <v>23</v>
      </c>
      <c r="B30" s="9" t="s">
        <v>27</v>
      </c>
      <c r="C30" s="9" t="s">
        <v>53</v>
      </c>
      <c r="D30" t="s">
        <v>204</v>
      </c>
      <c r="F30" s="12" t="s">
        <v>1534</v>
      </c>
      <c r="G30" s="10" t="s">
        <v>224</v>
      </c>
      <c r="H30" s="10" t="s">
        <v>224</v>
      </c>
      <c r="K30" t="s">
        <v>19</v>
      </c>
      <c r="L30" t="s">
        <v>20</v>
      </c>
      <c r="M30" s="9">
        <v>83025</v>
      </c>
      <c r="N30" t="s">
        <v>3477</v>
      </c>
      <c r="O30">
        <v>18</v>
      </c>
      <c r="P30" t="s">
        <v>3477</v>
      </c>
      <c r="Q30">
        <v>18</v>
      </c>
      <c r="R30" s="13">
        <v>18500</v>
      </c>
      <c r="S30" s="13">
        <v>11100</v>
      </c>
    </row>
    <row r="31" spans="1:19">
      <c r="A31" s="9" t="s">
        <v>23</v>
      </c>
      <c r="B31" s="9" t="s">
        <v>27</v>
      </c>
      <c r="C31" s="9" t="s">
        <v>53</v>
      </c>
      <c r="D31" t="s">
        <v>204</v>
      </c>
      <c r="F31" s="12" t="s">
        <v>1535</v>
      </c>
      <c r="G31" s="10" t="s">
        <v>224</v>
      </c>
      <c r="H31" s="10" t="s">
        <v>224</v>
      </c>
      <c r="K31" t="s">
        <v>19</v>
      </c>
      <c r="L31" t="s">
        <v>20</v>
      </c>
      <c r="M31" s="9">
        <v>83025</v>
      </c>
      <c r="N31" t="s">
        <v>3477</v>
      </c>
      <c r="O31">
        <v>18</v>
      </c>
      <c r="P31" t="s">
        <v>3477</v>
      </c>
      <c r="Q31">
        <v>18</v>
      </c>
      <c r="R31" s="13">
        <v>10640</v>
      </c>
      <c r="S31" s="13">
        <v>6384</v>
      </c>
    </row>
    <row r="32" spans="1:19">
      <c r="A32" s="9" t="s">
        <v>23</v>
      </c>
      <c r="B32" s="9" t="s">
        <v>27</v>
      </c>
      <c r="C32" s="9" t="s">
        <v>53</v>
      </c>
      <c r="D32" t="s">
        <v>204</v>
      </c>
      <c r="F32" s="12" t="s">
        <v>1536</v>
      </c>
      <c r="G32" s="10" t="s">
        <v>224</v>
      </c>
      <c r="H32" s="10" t="s">
        <v>224</v>
      </c>
      <c r="K32" t="s">
        <v>19</v>
      </c>
      <c r="L32" t="s">
        <v>20</v>
      </c>
      <c r="M32" s="9">
        <v>83025</v>
      </c>
      <c r="N32" t="s">
        <v>3477</v>
      </c>
      <c r="O32">
        <v>18</v>
      </c>
      <c r="P32" t="s">
        <v>3477</v>
      </c>
      <c r="Q32">
        <v>18</v>
      </c>
      <c r="R32" s="13">
        <v>13210</v>
      </c>
      <c r="S32" s="13">
        <v>7926</v>
      </c>
    </row>
    <row r="33" spans="1:19">
      <c r="A33" s="9" t="s">
        <v>23</v>
      </c>
      <c r="B33" s="9" t="s">
        <v>27</v>
      </c>
      <c r="C33" s="9" t="s">
        <v>53</v>
      </c>
      <c r="D33" t="s">
        <v>204</v>
      </c>
      <c r="F33" s="12" t="s">
        <v>1537</v>
      </c>
      <c r="G33" s="10" t="s">
        <v>225</v>
      </c>
      <c r="H33" s="10" t="s">
        <v>225</v>
      </c>
      <c r="K33" t="s">
        <v>19</v>
      </c>
      <c r="L33" t="s">
        <v>20</v>
      </c>
      <c r="M33" s="9">
        <v>83025</v>
      </c>
      <c r="N33" t="s">
        <v>3477</v>
      </c>
      <c r="O33">
        <v>18</v>
      </c>
      <c r="P33" t="s">
        <v>3477</v>
      </c>
      <c r="Q33">
        <v>18</v>
      </c>
      <c r="R33" s="13">
        <v>8510</v>
      </c>
      <c r="S33" s="13">
        <v>5106</v>
      </c>
    </row>
    <row r="34" spans="1:19">
      <c r="A34" s="9" t="s">
        <v>23</v>
      </c>
      <c r="B34" s="9" t="s">
        <v>27</v>
      </c>
      <c r="C34" s="9" t="s">
        <v>54</v>
      </c>
      <c r="D34" t="s">
        <v>204</v>
      </c>
      <c r="F34" s="12" t="s">
        <v>1538</v>
      </c>
      <c r="G34" s="10" t="s">
        <v>226</v>
      </c>
      <c r="H34" s="10" t="s">
        <v>226</v>
      </c>
      <c r="K34" t="s">
        <v>19</v>
      </c>
      <c r="L34" t="s">
        <v>20</v>
      </c>
      <c r="M34" s="9">
        <v>83025</v>
      </c>
      <c r="N34" t="s">
        <v>3477</v>
      </c>
      <c r="O34">
        <v>18</v>
      </c>
      <c r="P34" t="s">
        <v>3477</v>
      </c>
      <c r="Q34">
        <v>18</v>
      </c>
      <c r="R34" s="13">
        <v>5810</v>
      </c>
      <c r="S34" s="13">
        <v>3486</v>
      </c>
    </row>
    <row r="35" spans="1:19">
      <c r="A35" s="9" t="s">
        <v>23</v>
      </c>
      <c r="B35" s="9" t="s">
        <v>27</v>
      </c>
      <c r="C35" s="9" t="s">
        <v>55</v>
      </c>
      <c r="D35" t="s">
        <v>204</v>
      </c>
      <c r="F35" s="12" t="s">
        <v>1539</v>
      </c>
      <c r="G35" s="10" t="s">
        <v>226</v>
      </c>
      <c r="H35" s="10" t="s">
        <v>226</v>
      </c>
      <c r="K35" t="s">
        <v>19</v>
      </c>
      <c r="L35" t="s">
        <v>20</v>
      </c>
      <c r="M35" s="9">
        <v>83025</v>
      </c>
      <c r="N35" t="s">
        <v>3477</v>
      </c>
      <c r="O35">
        <v>18</v>
      </c>
      <c r="P35" t="s">
        <v>3477</v>
      </c>
      <c r="Q35">
        <v>18</v>
      </c>
      <c r="R35" s="13">
        <v>3960</v>
      </c>
      <c r="S35" s="13">
        <v>2376</v>
      </c>
    </row>
    <row r="36" spans="1:19">
      <c r="A36" s="9" t="s">
        <v>23</v>
      </c>
      <c r="B36" s="9" t="s">
        <v>27</v>
      </c>
      <c r="C36" s="9" t="s">
        <v>55</v>
      </c>
      <c r="D36" t="s">
        <v>204</v>
      </c>
      <c r="F36" s="12" t="s">
        <v>1540</v>
      </c>
      <c r="G36" s="10" t="s">
        <v>226</v>
      </c>
      <c r="H36" s="10" t="s">
        <v>226</v>
      </c>
      <c r="K36" t="s">
        <v>19</v>
      </c>
      <c r="L36" t="s">
        <v>20</v>
      </c>
      <c r="M36" s="9">
        <v>83025</v>
      </c>
      <c r="N36" t="s">
        <v>3477</v>
      </c>
      <c r="O36">
        <v>18</v>
      </c>
      <c r="P36" t="s">
        <v>3477</v>
      </c>
      <c r="Q36">
        <v>18</v>
      </c>
      <c r="R36" s="13">
        <v>3930</v>
      </c>
      <c r="S36" s="13">
        <v>2358</v>
      </c>
    </row>
    <row r="37" spans="1:19">
      <c r="A37" s="9" t="s">
        <v>23</v>
      </c>
      <c r="B37" s="9" t="s">
        <v>27</v>
      </c>
      <c r="C37" s="9" t="s">
        <v>55</v>
      </c>
      <c r="D37" t="s">
        <v>204</v>
      </c>
      <c r="F37" s="12" t="s">
        <v>1541</v>
      </c>
      <c r="G37" s="10" t="s">
        <v>226</v>
      </c>
      <c r="H37" s="10" t="s">
        <v>226</v>
      </c>
      <c r="K37" t="s">
        <v>19</v>
      </c>
      <c r="L37" t="s">
        <v>20</v>
      </c>
      <c r="M37" s="9">
        <v>83025</v>
      </c>
      <c r="N37" t="s">
        <v>3477</v>
      </c>
      <c r="O37">
        <v>18</v>
      </c>
      <c r="P37" t="s">
        <v>3477</v>
      </c>
      <c r="Q37">
        <v>18</v>
      </c>
      <c r="R37" s="13">
        <v>3170</v>
      </c>
      <c r="S37" s="13">
        <v>1902</v>
      </c>
    </row>
    <row r="38" spans="1:19">
      <c r="A38" s="9" t="s">
        <v>22</v>
      </c>
      <c r="B38" s="9" t="s">
        <v>27</v>
      </c>
      <c r="C38" s="9" t="s">
        <v>55</v>
      </c>
      <c r="D38" t="s">
        <v>204</v>
      </c>
      <c r="F38" s="12" t="s">
        <v>1542</v>
      </c>
      <c r="G38" s="10" t="s">
        <v>227</v>
      </c>
      <c r="H38" s="10" t="s">
        <v>227</v>
      </c>
      <c r="K38" t="s">
        <v>19</v>
      </c>
      <c r="L38" t="s">
        <v>20</v>
      </c>
      <c r="M38" s="9">
        <v>83025</v>
      </c>
      <c r="N38" t="s">
        <v>3477</v>
      </c>
      <c r="O38">
        <v>18</v>
      </c>
      <c r="P38" t="s">
        <v>3477</v>
      </c>
      <c r="Q38">
        <v>18</v>
      </c>
      <c r="R38" s="13">
        <v>3230</v>
      </c>
      <c r="S38" s="13">
        <v>2261</v>
      </c>
    </row>
    <row r="39" spans="1:19">
      <c r="A39" s="9" t="s">
        <v>22</v>
      </c>
      <c r="B39" s="9" t="s">
        <v>27</v>
      </c>
      <c r="C39" s="9" t="s">
        <v>50</v>
      </c>
      <c r="D39" t="s">
        <v>204</v>
      </c>
      <c r="F39" s="12" t="s">
        <v>1543</v>
      </c>
      <c r="G39" s="10" t="s">
        <v>228</v>
      </c>
      <c r="H39" s="10" t="s">
        <v>228</v>
      </c>
      <c r="K39" t="s">
        <v>19</v>
      </c>
      <c r="L39" t="s">
        <v>20</v>
      </c>
      <c r="M39" s="9">
        <v>7907009</v>
      </c>
      <c r="N39" t="s">
        <v>3477</v>
      </c>
      <c r="O39">
        <v>18</v>
      </c>
      <c r="P39" t="s">
        <v>3477</v>
      </c>
      <c r="Q39">
        <v>18</v>
      </c>
      <c r="R39" s="13">
        <v>566</v>
      </c>
      <c r="S39" s="13">
        <v>396.2</v>
      </c>
    </row>
    <row r="40" spans="1:19">
      <c r="A40" s="9" t="s">
        <v>23</v>
      </c>
      <c r="B40" s="9" t="s">
        <v>27</v>
      </c>
      <c r="C40" s="9" t="s">
        <v>56</v>
      </c>
      <c r="D40" t="s">
        <v>204</v>
      </c>
      <c r="F40" s="12" t="s">
        <v>1544</v>
      </c>
      <c r="G40" s="10" t="s">
        <v>228</v>
      </c>
      <c r="H40" s="10" t="s">
        <v>228</v>
      </c>
      <c r="K40" t="s">
        <v>19</v>
      </c>
      <c r="L40" t="s">
        <v>20</v>
      </c>
      <c r="M40" s="9">
        <v>7907001</v>
      </c>
      <c r="N40" t="s">
        <v>3477</v>
      </c>
      <c r="O40">
        <v>18</v>
      </c>
      <c r="P40" t="s">
        <v>3477</v>
      </c>
      <c r="Q40">
        <v>18</v>
      </c>
      <c r="R40" s="13">
        <v>6890</v>
      </c>
      <c r="S40" s="13">
        <v>4134</v>
      </c>
    </row>
    <row r="41" spans="1:19">
      <c r="A41" s="9" t="s">
        <v>23</v>
      </c>
      <c r="B41" s="9" t="s">
        <v>27</v>
      </c>
      <c r="C41" s="9" t="s">
        <v>56</v>
      </c>
      <c r="D41" t="s">
        <v>204</v>
      </c>
      <c r="F41" s="12" t="s">
        <v>1545</v>
      </c>
      <c r="G41" s="10" t="s">
        <v>228</v>
      </c>
      <c r="H41" s="10" t="s">
        <v>228</v>
      </c>
      <c r="K41" t="s">
        <v>19</v>
      </c>
      <c r="L41" t="s">
        <v>20</v>
      </c>
      <c r="M41" s="9">
        <v>7907009</v>
      </c>
      <c r="N41" t="s">
        <v>3477</v>
      </c>
      <c r="O41">
        <v>18</v>
      </c>
      <c r="P41" t="s">
        <v>3477</v>
      </c>
      <c r="Q41">
        <v>18</v>
      </c>
      <c r="R41" s="13">
        <v>7880</v>
      </c>
      <c r="S41" s="13">
        <v>4728</v>
      </c>
    </row>
    <row r="42" spans="1:19">
      <c r="A42" s="9" t="s">
        <v>23</v>
      </c>
      <c r="B42" s="9" t="s">
        <v>27</v>
      </c>
      <c r="C42" s="9" t="s">
        <v>56</v>
      </c>
      <c r="D42" t="s">
        <v>204</v>
      </c>
      <c r="F42" s="12" t="s">
        <v>1546</v>
      </c>
      <c r="G42" s="10" t="s">
        <v>228</v>
      </c>
      <c r="H42" s="10" t="s">
        <v>228</v>
      </c>
      <c r="K42" t="s">
        <v>19</v>
      </c>
      <c r="L42" t="s">
        <v>20</v>
      </c>
      <c r="M42" s="9">
        <v>7907001</v>
      </c>
      <c r="N42" t="s">
        <v>3477</v>
      </c>
      <c r="O42">
        <v>18</v>
      </c>
      <c r="P42" t="s">
        <v>3477</v>
      </c>
      <c r="Q42">
        <v>18</v>
      </c>
      <c r="R42" s="13">
        <v>5510</v>
      </c>
      <c r="S42" s="13">
        <v>3306</v>
      </c>
    </row>
    <row r="43" spans="1:19">
      <c r="A43" s="9" t="s">
        <v>23</v>
      </c>
      <c r="B43" s="9" t="s">
        <v>27</v>
      </c>
      <c r="C43" s="9" t="s">
        <v>56</v>
      </c>
      <c r="D43" t="s">
        <v>204</v>
      </c>
      <c r="F43" s="12" t="s">
        <v>1547</v>
      </c>
      <c r="G43" s="10" t="s">
        <v>229</v>
      </c>
      <c r="H43" s="10" t="s">
        <v>229</v>
      </c>
      <c r="K43" t="s">
        <v>19</v>
      </c>
      <c r="L43" t="s">
        <v>20</v>
      </c>
      <c r="M43" s="9">
        <v>7418202</v>
      </c>
      <c r="N43" t="s">
        <v>3477</v>
      </c>
      <c r="O43">
        <v>18</v>
      </c>
      <c r="P43" t="s">
        <v>3477</v>
      </c>
      <c r="Q43">
        <v>18</v>
      </c>
      <c r="R43" s="13">
        <v>13310</v>
      </c>
      <c r="S43" s="13">
        <v>7986</v>
      </c>
    </row>
    <row r="44" spans="1:19">
      <c r="A44" s="9" t="s">
        <v>23</v>
      </c>
      <c r="B44" s="9" t="s">
        <v>27</v>
      </c>
      <c r="C44" s="9" t="s">
        <v>57</v>
      </c>
      <c r="D44" t="s">
        <v>204</v>
      </c>
      <c r="F44" s="12" t="s">
        <v>1548</v>
      </c>
      <c r="G44" s="10" t="s">
        <v>229</v>
      </c>
      <c r="H44" s="10" t="s">
        <v>229</v>
      </c>
      <c r="K44" t="s">
        <v>19</v>
      </c>
      <c r="L44" t="s">
        <v>20</v>
      </c>
      <c r="M44" s="9">
        <v>7418201</v>
      </c>
      <c r="N44" t="s">
        <v>3477</v>
      </c>
      <c r="O44">
        <v>18</v>
      </c>
      <c r="P44" t="s">
        <v>3477</v>
      </c>
      <c r="Q44">
        <v>18</v>
      </c>
      <c r="R44" s="13">
        <v>7270</v>
      </c>
      <c r="S44" s="13">
        <v>4362</v>
      </c>
    </row>
    <row r="45" spans="1:19">
      <c r="A45" s="9" t="s">
        <v>23</v>
      </c>
      <c r="B45" s="9" t="s">
        <v>27</v>
      </c>
      <c r="C45" s="9" t="s">
        <v>57</v>
      </c>
      <c r="D45" t="s">
        <v>204</v>
      </c>
      <c r="F45" s="12" t="s">
        <v>1549</v>
      </c>
      <c r="G45" s="10" t="s">
        <v>230</v>
      </c>
      <c r="H45" s="10" t="s">
        <v>230</v>
      </c>
      <c r="K45" t="s">
        <v>19</v>
      </c>
      <c r="L45" t="s">
        <v>20</v>
      </c>
      <c r="M45" s="9">
        <v>7418201</v>
      </c>
      <c r="N45" t="s">
        <v>3477</v>
      </c>
      <c r="O45">
        <v>18</v>
      </c>
      <c r="P45" t="s">
        <v>3477</v>
      </c>
      <c r="Q45">
        <v>18</v>
      </c>
      <c r="R45" s="13">
        <v>5820</v>
      </c>
      <c r="S45" s="13">
        <v>3492</v>
      </c>
    </row>
    <row r="46" spans="1:19">
      <c r="A46" s="9" t="s">
        <v>23</v>
      </c>
      <c r="B46" s="9" t="s">
        <v>27</v>
      </c>
      <c r="C46" s="9" t="s">
        <v>53</v>
      </c>
      <c r="D46" t="s">
        <v>204</v>
      </c>
      <c r="F46" s="12" t="s">
        <v>1550</v>
      </c>
      <c r="G46" s="10" t="s">
        <v>231</v>
      </c>
      <c r="H46" s="10" t="s">
        <v>231</v>
      </c>
      <c r="K46" t="s">
        <v>19</v>
      </c>
      <c r="L46" t="s">
        <v>20</v>
      </c>
      <c r="M46" s="9">
        <v>83025</v>
      </c>
      <c r="N46" t="s">
        <v>3477</v>
      </c>
      <c r="O46">
        <v>18</v>
      </c>
      <c r="P46" t="s">
        <v>3477</v>
      </c>
      <c r="Q46">
        <v>18</v>
      </c>
      <c r="R46" s="13">
        <v>20400</v>
      </c>
      <c r="S46" s="13">
        <v>12240</v>
      </c>
    </row>
    <row r="47" spans="1:19">
      <c r="A47" s="9" t="s">
        <v>22</v>
      </c>
      <c r="B47" s="9" t="s">
        <v>27</v>
      </c>
      <c r="C47" s="9" t="s">
        <v>54</v>
      </c>
      <c r="D47" t="s">
        <v>204</v>
      </c>
      <c r="F47" s="12" t="s">
        <v>1551</v>
      </c>
      <c r="G47" s="10" t="s">
        <v>231</v>
      </c>
      <c r="H47" s="10" t="s">
        <v>231</v>
      </c>
      <c r="K47" t="s">
        <v>19</v>
      </c>
      <c r="L47" t="s">
        <v>20</v>
      </c>
      <c r="M47" s="9">
        <v>83025</v>
      </c>
      <c r="N47" t="s">
        <v>3477</v>
      </c>
      <c r="O47">
        <v>18</v>
      </c>
      <c r="P47" t="s">
        <v>3477</v>
      </c>
      <c r="Q47">
        <v>18</v>
      </c>
      <c r="R47" s="13">
        <v>7020</v>
      </c>
      <c r="S47" s="13">
        <v>4914</v>
      </c>
    </row>
    <row r="48" spans="1:19">
      <c r="A48" s="9" t="s">
        <v>23</v>
      </c>
      <c r="B48" s="9" t="s">
        <v>27</v>
      </c>
      <c r="C48" s="9" t="s">
        <v>54</v>
      </c>
      <c r="D48" t="s">
        <v>204</v>
      </c>
      <c r="F48" s="12" t="s">
        <v>1552</v>
      </c>
      <c r="G48" s="10" t="s">
        <v>232</v>
      </c>
      <c r="H48" s="10" t="s">
        <v>232</v>
      </c>
      <c r="K48" t="s">
        <v>19</v>
      </c>
      <c r="L48" t="s">
        <v>20</v>
      </c>
      <c r="M48" s="9">
        <v>83025</v>
      </c>
      <c r="N48" t="s">
        <v>3477</v>
      </c>
      <c r="O48">
        <v>18</v>
      </c>
      <c r="P48" t="s">
        <v>3477</v>
      </c>
      <c r="Q48">
        <v>18</v>
      </c>
      <c r="R48" s="13">
        <v>12700</v>
      </c>
      <c r="S48" s="13">
        <v>7620</v>
      </c>
    </row>
    <row r="49" spans="1:19">
      <c r="A49" s="9" t="s">
        <v>23</v>
      </c>
      <c r="B49" s="9" t="s">
        <v>27</v>
      </c>
      <c r="C49" s="9" t="s">
        <v>55</v>
      </c>
      <c r="D49" t="s">
        <v>204</v>
      </c>
      <c r="F49" s="12" t="s">
        <v>1553</v>
      </c>
      <c r="G49" s="10" t="s">
        <v>233</v>
      </c>
      <c r="H49" s="10" t="s">
        <v>233</v>
      </c>
      <c r="K49" t="s">
        <v>19</v>
      </c>
      <c r="L49" t="s">
        <v>20</v>
      </c>
      <c r="M49" s="9">
        <v>83025</v>
      </c>
      <c r="N49" t="s">
        <v>3477</v>
      </c>
      <c r="O49">
        <v>18</v>
      </c>
      <c r="P49" t="s">
        <v>3477</v>
      </c>
      <c r="Q49">
        <v>18</v>
      </c>
      <c r="R49" s="13">
        <v>6900</v>
      </c>
      <c r="S49" s="13">
        <v>4140</v>
      </c>
    </row>
    <row r="50" spans="1:19">
      <c r="A50" s="9" t="s">
        <v>22</v>
      </c>
      <c r="B50" s="9" t="s">
        <v>27</v>
      </c>
      <c r="C50" s="9" t="s">
        <v>56</v>
      </c>
      <c r="D50" t="s">
        <v>204</v>
      </c>
      <c r="F50" s="12" t="s">
        <v>1554</v>
      </c>
      <c r="G50" s="10" t="s">
        <v>233</v>
      </c>
      <c r="H50" s="10" t="s">
        <v>233</v>
      </c>
      <c r="K50" t="s">
        <v>19</v>
      </c>
      <c r="L50" t="s">
        <v>20</v>
      </c>
      <c r="M50" s="9">
        <v>7418201</v>
      </c>
      <c r="N50" t="s">
        <v>3477</v>
      </c>
      <c r="O50">
        <v>18</v>
      </c>
      <c r="P50" t="s">
        <v>3477</v>
      </c>
      <c r="Q50">
        <v>18</v>
      </c>
      <c r="R50" s="13">
        <v>7710</v>
      </c>
      <c r="S50" s="13">
        <v>5397</v>
      </c>
    </row>
    <row r="51" spans="1:19">
      <c r="A51" s="9" t="s">
        <v>23</v>
      </c>
      <c r="B51" s="9" t="s">
        <v>27</v>
      </c>
      <c r="C51" s="9" t="s">
        <v>56</v>
      </c>
      <c r="D51" t="s">
        <v>204</v>
      </c>
      <c r="F51" s="12" t="s">
        <v>1555</v>
      </c>
      <c r="G51" s="10" t="s">
        <v>234</v>
      </c>
      <c r="H51" s="10" t="s">
        <v>234</v>
      </c>
      <c r="K51" t="s">
        <v>19</v>
      </c>
      <c r="L51" t="s">
        <v>20</v>
      </c>
      <c r="M51" s="9">
        <v>7418201</v>
      </c>
      <c r="N51" t="s">
        <v>3477</v>
      </c>
      <c r="O51">
        <v>18</v>
      </c>
      <c r="P51" t="s">
        <v>3477</v>
      </c>
      <c r="Q51">
        <v>18</v>
      </c>
      <c r="R51" s="13">
        <v>13200</v>
      </c>
      <c r="S51" s="13">
        <v>7920</v>
      </c>
    </row>
    <row r="52" spans="1:19">
      <c r="A52" s="9" t="s">
        <v>22</v>
      </c>
      <c r="B52" s="9" t="s">
        <v>27</v>
      </c>
      <c r="C52" s="9" t="s">
        <v>57</v>
      </c>
      <c r="D52" t="s">
        <v>204</v>
      </c>
      <c r="F52" s="12" t="s">
        <v>1556</v>
      </c>
      <c r="G52" s="10" t="s">
        <v>235</v>
      </c>
      <c r="H52" s="10" t="s">
        <v>235</v>
      </c>
      <c r="K52" t="s">
        <v>19</v>
      </c>
      <c r="L52" t="s">
        <v>20</v>
      </c>
      <c r="M52" s="9">
        <v>7418201</v>
      </c>
      <c r="N52" t="s">
        <v>3477</v>
      </c>
      <c r="O52">
        <v>18</v>
      </c>
      <c r="P52" t="s">
        <v>3477</v>
      </c>
      <c r="Q52">
        <v>18</v>
      </c>
      <c r="R52" s="13">
        <v>5940</v>
      </c>
      <c r="S52" s="13">
        <v>4158</v>
      </c>
    </row>
    <row r="53" spans="1:19">
      <c r="A53" s="9" t="s">
        <v>22</v>
      </c>
      <c r="B53" s="9" t="s">
        <v>30</v>
      </c>
      <c r="C53" s="9" t="s">
        <v>50</v>
      </c>
      <c r="D53" t="s">
        <v>204</v>
      </c>
      <c r="F53" s="12" t="s">
        <v>1557</v>
      </c>
      <c r="G53" s="10" t="s">
        <v>236</v>
      </c>
      <c r="H53" s="10" t="s">
        <v>236</v>
      </c>
      <c r="K53" t="s">
        <v>19</v>
      </c>
      <c r="L53" t="s">
        <v>20</v>
      </c>
      <c r="M53" s="9">
        <v>7418202</v>
      </c>
      <c r="N53" t="s">
        <v>3477</v>
      </c>
      <c r="O53">
        <v>18</v>
      </c>
      <c r="P53" t="s">
        <v>3477</v>
      </c>
      <c r="Q53">
        <v>18</v>
      </c>
      <c r="R53" s="13">
        <v>578</v>
      </c>
      <c r="S53" s="13">
        <v>404.59999999999997</v>
      </c>
    </row>
    <row r="54" spans="1:19">
      <c r="A54" s="9" t="s">
        <v>22</v>
      </c>
      <c r="B54" s="9" t="s">
        <v>27</v>
      </c>
      <c r="C54" s="9" t="s">
        <v>58</v>
      </c>
      <c r="D54" t="s">
        <v>204</v>
      </c>
      <c r="F54" s="12" t="s">
        <v>1558</v>
      </c>
      <c r="G54" s="10" t="s">
        <v>237</v>
      </c>
      <c r="H54" s="10" t="s">
        <v>237</v>
      </c>
      <c r="K54" t="s">
        <v>19</v>
      </c>
      <c r="L54" t="s">
        <v>20</v>
      </c>
      <c r="M54" s="9">
        <v>8481802</v>
      </c>
      <c r="N54" t="s">
        <v>3477</v>
      </c>
      <c r="O54">
        <v>18</v>
      </c>
      <c r="P54" t="s">
        <v>3477</v>
      </c>
      <c r="Q54">
        <v>18</v>
      </c>
      <c r="R54" s="13">
        <v>4680</v>
      </c>
      <c r="S54" s="13">
        <v>3276</v>
      </c>
    </row>
    <row r="55" spans="1:19">
      <c r="A55" s="9" t="s">
        <v>22</v>
      </c>
      <c r="B55" s="9" t="s">
        <v>27</v>
      </c>
      <c r="C55" s="9" t="s">
        <v>58</v>
      </c>
      <c r="D55" t="s">
        <v>204</v>
      </c>
      <c r="F55" s="12" t="s">
        <v>1559</v>
      </c>
      <c r="G55" s="10" t="s">
        <v>237</v>
      </c>
      <c r="H55" s="10" t="s">
        <v>237</v>
      </c>
      <c r="K55" t="s">
        <v>19</v>
      </c>
      <c r="L55" t="s">
        <v>20</v>
      </c>
      <c r="M55" s="9">
        <v>7418202</v>
      </c>
      <c r="N55" t="s">
        <v>3477</v>
      </c>
      <c r="O55">
        <v>18</v>
      </c>
      <c r="P55" t="s">
        <v>3477</v>
      </c>
      <c r="Q55">
        <v>18</v>
      </c>
      <c r="R55" s="13">
        <v>9000</v>
      </c>
      <c r="S55" s="13">
        <v>6300</v>
      </c>
    </row>
    <row r="56" spans="1:19">
      <c r="A56" s="9" t="s">
        <v>22</v>
      </c>
      <c r="B56" s="9" t="s">
        <v>27</v>
      </c>
      <c r="C56" s="9" t="s">
        <v>58</v>
      </c>
      <c r="D56" t="s">
        <v>204</v>
      </c>
      <c r="F56" s="12" t="s">
        <v>1560</v>
      </c>
      <c r="G56" s="10" t="s">
        <v>237</v>
      </c>
      <c r="H56" s="10" t="s">
        <v>237</v>
      </c>
      <c r="K56" t="s">
        <v>19</v>
      </c>
      <c r="L56" t="s">
        <v>20</v>
      </c>
      <c r="M56" s="9">
        <v>7418202</v>
      </c>
      <c r="N56" t="s">
        <v>3477</v>
      </c>
      <c r="O56">
        <v>18</v>
      </c>
      <c r="P56" t="s">
        <v>3477</v>
      </c>
      <c r="Q56">
        <v>18</v>
      </c>
      <c r="R56" s="13">
        <v>7500</v>
      </c>
      <c r="S56" s="13">
        <v>5250</v>
      </c>
    </row>
    <row r="57" spans="1:19">
      <c r="A57" s="9" t="s">
        <v>22</v>
      </c>
      <c r="B57" s="9" t="s">
        <v>27</v>
      </c>
      <c r="C57" s="9" t="s">
        <v>58</v>
      </c>
      <c r="D57" t="s">
        <v>204</v>
      </c>
      <c r="F57" s="12" t="s">
        <v>1561</v>
      </c>
      <c r="G57" s="10" t="s">
        <v>238</v>
      </c>
      <c r="H57" s="10" t="s">
        <v>238</v>
      </c>
      <c r="K57" t="s">
        <v>19</v>
      </c>
      <c r="L57" t="s">
        <v>20</v>
      </c>
      <c r="M57" s="9">
        <v>7418202</v>
      </c>
      <c r="N57" t="s">
        <v>3477</v>
      </c>
      <c r="O57">
        <v>18</v>
      </c>
      <c r="P57" t="s">
        <v>3477</v>
      </c>
      <c r="Q57">
        <v>18</v>
      </c>
      <c r="R57" s="13">
        <v>9000</v>
      </c>
      <c r="S57" s="13">
        <v>6300</v>
      </c>
    </row>
    <row r="58" spans="1:19">
      <c r="A58" s="9" t="s">
        <v>24</v>
      </c>
      <c r="B58" s="9" t="s">
        <v>27</v>
      </c>
      <c r="C58" s="9" t="s">
        <v>59</v>
      </c>
      <c r="D58" t="s">
        <v>204</v>
      </c>
      <c r="F58" s="12" t="s">
        <v>1562</v>
      </c>
      <c r="G58" s="10" t="s">
        <v>239</v>
      </c>
      <c r="H58" s="10" t="s">
        <v>239</v>
      </c>
      <c r="K58" t="s">
        <v>19</v>
      </c>
      <c r="L58" t="s">
        <v>20</v>
      </c>
      <c r="M58" s="9">
        <v>8481802</v>
      </c>
      <c r="N58" t="s">
        <v>3477</v>
      </c>
      <c r="O58">
        <v>18</v>
      </c>
      <c r="P58" t="s">
        <v>3477</v>
      </c>
      <c r="Q58">
        <v>18</v>
      </c>
      <c r="R58" s="13">
        <v>5600</v>
      </c>
      <c r="S58" s="13">
        <v>4200</v>
      </c>
    </row>
    <row r="59" spans="1:19">
      <c r="A59" s="9" t="s">
        <v>24</v>
      </c>
      <c r="B59" s="9" t="s">
        <v>27</v>
      </c>
      <c r="C59" s="9" t="s">
        <v>59</v>
      </c>
      <c r="D59" t="s">
        <v>204</v>
      </c>
      <c r="F59" s="12" t="s">
        <v>1563</v>
      </c>
      <c r="G59" s="10" t="s">
        <v>240</v>
      </c>
      <c r="H59" s="10" t="s">
        <v>240</v>
      </c>
      <c r="K59" t="s">
        <v>19</v>
      </c>
      <c r="L59" t="s">
        <v>20</v>
      </c>
      <c r="M59" s="9">
        <v>8481802</v>
      </c>
      <c r="N59" t="s">
        <v>3477</v>
      </c>
      <c r="O59">
        <v>18</v>
      </c>
      <c r="P59" t="s">
        <v>3477</v>
      </c>
      <c r="Q59">
        <v>18</v>
      </c>
      <c r="R59" s="13">
        <v>6300</v>
      </c>
      <c r="S59" s="13">
        <v>4725</v>
      </c>
    </row>
    <row r="60" spans="1:19">
      <c r="A60" s="9" t="s">
        <v>24</v>
      </c>
      <c r="B60" s="9" t="s">
        <v>27</v>
      </c>
      <c r="C60" s="9" t="s">
        <v>60</v>
      </c>
      <c r="D60" t="s">
        <v>204</v>
      </c>
      <c r="F60" s="12" t="s">
        <v>1564</v>
      </c>
      <c r="G60" s="10" t="s">
        <v>240</v>
      </c>
      <c r="H60" s="10" t="s">
        <v>240</v>
      </c>
      <c r="K60" t="s">
        <v>19</v>
      </c>
      <c r="L60" t="s">
        <v>20</v>
      </c>
      <c r="M60" s="9">
        <v>8481802</v>
      </c>
      <c r="N60" t="s">
        <v>3477</v>
      </c>
      <c r="O60">
        <v>18</v>
      </c>
      <c r="P60" t="s">
        <v>3477</v>
      </c>
      <c r="Q60">
        <v>18</v>
      </c>
      <c r="R60" s="13">
        <v>1600</v>
      </c>
      <c r="S60" s="13">
        <v>1200</v>
      </c>
    </row>
    <row r="61" spans="1:19">
      <c r="A61" s="9" t="s">
        <v>24</v>
      </c>
      <c r="B61" s="9" t="s">
        <v>27</v>
      </c>
      <c r="C61" s="9" t="s">
        <v>60</v>
      </c>
      <c r="D61" t="s">
        <v>204</v>
      </c>
      <c r="F61" s="12" t="s">
        <v>1565</v>
      </c>
      <c r="G61" s="10" t="s">
        <v>240</v>
      </c>
      <c r="H61" s="10" t="s">
        <v>240</v>
      </c>
      <c r="K61" t="s">
        <v>19</v>
      </c>
      <c r="L61" t="s">
        <v>20</v>
      </c>
      <c r="M61" s="9">
        <v>8481802</v>
      </c>
      <c r="N61" t="s">
        <v>3477</v>
      </c>
      <c r="O61">
        <v>18</v>
      </c>
      <c r="P61" t="s">
        <v>3477</v>
      </c>
      <c r="Q61">
        <v>18</v>
      </c>
      <c r="R61" s="13">
        <v>1930</v>
      </c>
      <c r="S61" s="13">
        <v>1447.5</v>
      </c>
    </row>
    <row r="62" spans="1:19">
      <c r="A62" s="9" t="s">
        <v>24</v>
      </c>
      <c r="B62" s="9" t="s">
        <v>27</v>
      </c>
      <c r="C62" s="9" t="s">
        <v>60</v>
      </c>
      <c r="D62" t="s">
        <v>204</v>
      </c>
      <c r="F62" s="12" t="s">
        <v>1566</v>
      </c>
      <c r="G62" s="10" t="s">
        <v>240</v>
      </c>
      <c r="H62" s="10" t="s">
        <v>240</v>
      </c>
      <c r="K62" t="s">
        <v>19</v>
      </c>
      <c r="L62" t="s">
        <v>20</v>
      </c>
      <c r="M62" s="9">
        <v>8481802</v>
      </c>
      <c r="N62" t="s">
        <v>3477</v>
      </c>
      <c r="O62">
        <v>18</v>
      </c>
      <c r="P62" t="s">
        <v>3477</v>
      </c>
      <c r="Q62">
        <v>18</v>
      </c>
      <c r="R62" s="13">
        <v>2000</v>
      </c>
      <c r="S62" s="13">
        <v>1500</v>
      </c>
    </row>
    <row r="63" spans="1:19">
      <c r="A63" s="9" t="s">
        <v>24</v>
      </c>
      <c r="B63" s="9" t="s">
        <v>27</v>
      </c>
      <c r="C63" s="9" t="s">
        <v>60</v>
      </c>
      <c r="D63" t="s">
        <v>204</v>
      </c>
      <c r="F63" s="12" t="s">
        <v>1567</v>
      </c>
      <c r="G63" s="10" t="s">
        <v>240</v>
      </c>
      <c r="H63" s="10" t="s">
        <v>240</v>
      </c>
      <c r="K63" t="s">
        <v>19</v>
      </c>
      <c r="L63" t="s">
        <v>20</v>
      </c>
      <c r="M63" s="9">
        <v>8481802</v>
      </c>
      <c r="N63" t="s">
        <v>3477</v>
      </c>
      <c r="O63">
        <v>18</v>
      </c>
      <c r="P63" t="s">
        <v>3477</v>
      </c>
      <c r="Q63">
        <v>18</v>
      </c>
      <c r="R63" s="13">
        <v>1300</v>
      </c>
      <c r="S63" s="13">
        <v>975</v>
      </c>
    </row>
    <row r="64" spans="1:19">
      <c r="A64" s="9" t="s">
        <v>24</v>
      </c>
      <c r="B64" s="9" t="s">
        <v>27</v>
      </c>
      <c r="C64" s="9" t="s">
        <v>60</v>
      </c>
      <c r="D64" t="s">
        <v>204</v>
      </c>
      <c r="F64" s="12" t="s">
        <v>1568</v>
      </c>
      <c r="G64" s="10" t="s">
        <v>241</v>
      </c>
      <c r="H64" s="10" t="s">
        <v>241</v>
      </c>
      <c r="K64" t="s">
        <v>19</v>
      </c>
      <c r="L64" t="s">
        <v>20</v>
      </c>
      <c r="M64" s="9">
        <v>8481802</v>
      </c>
      <c r="N64" t="s">
        <v>3477</v>
      </c>
      <c r="O64">
        <v>18</v>
      </c>
      <c r="P64" t="s">
        <v>3477</v>
      </c>
      <c r="Q64">
        <v>18</v>
      </c>
      <c r="R64" s="13">
        <v>2000</v>
      </c>
      <c r="S64" s="13">
        <v>1500</v>
      </c>
    </row>
    <row r="65" spans="1:19">
      <c r="A65" s="9" t="s">
        <v>24</v>
      </c>
      <c r="B65" s="9" t="s">
        <v>27</v>
      </c>
      <c r="C65" s="9" t="s">
        <v>60</v>
      </c>
      <c r="D65" t="s">
        <v>204</v>
      </c>
      <c r="F65" s="12" t="s">
        <v>1569</v>
      </c>
      <c r="G65" s="10" t="s">
        <v>242</v>
      </c>
      <c r="H65" s="10" t="s">
        <v>242</v>
      </c>
      <c r="K65" t="s">
        <v>19</v>
      </c>
      <c r="L65" t="s">
        <v>20</v>
      </c>
      <c r="M65" s="9">
        <v>8481802</v>
      </c>
      <c r="N65" t="s">
        <v>3477</v>
      </c>
      <c r="O65">
        <v>18</v>
      </c>
      <c r="P65" t="s">
        <v>3477</v>
      </c>
      <c r="Q65">
        <v>18</v>
      </c>
      <c r="R65" s="13">
        <v>2000</v>
      </c>
      <c r="S65" s="13">
        <v>1500</v>
      </c>
    </row>
    <row r="66" spans="1:19">
      <c r="A66" s="9" t="s">
        <v>24</v>
      </c>
      <c r="B66" s="9" t="s">
        <v>27</v>
      </c>
      <c r="C66" s="9" t="s">
        <v>60</v>
      </c>
      <c r="D66" t="s">
        <v>204</v>
      </c>
      <c r="F66" s="12" t="s">
        <v>1570</v>
      </c>
      <c r="G66" s="10" t="s">
        <v>243</v>
      </c>
      <c r="H66" s="10" t="s">
        <v>243</v>
      </c>
      <c r="K66" t="s">
        <v>19</v>
      </c>
      <c r="L66" t="s">
        <v>20</v>
      </c>
      <c r="M66" s="9">
        <v>8481802</v>
      </c>
      <c r="N66" t="s">
        <v>3477</v>
      </c>
      <c r="O66">
        <v>18</v>
      </c>
      <c r="P66" t="s">
        <v>3477</v>
      </c>
      <c r="Q66">
        <v>18</v>
      </c>
      <c r="R66" s="13">
        <v>2100</v>
      </c>
      <c r="S66" s="13">
        <v>1575</v>
      </c>
    </row>
    <row r="67" spans="1:19">
      <c r="A67" s="9" t="s">
        <v>24</v>
      </c>
      <c r="B67" s="9" t="s">
        <v>27</v>
      </c>
      <c r="C67" s="9" t="s">
        <v>61</v>
      </c>
      <c r="D67" t="s">
        <v>204</v>
      </c>
      <c r="F67" s="12" t="s">
        <v>1571</v>
      </c>
      <c r="G67" s="10" t="s">
        <v>243</v>
      </c>
      <c r="H67" s="10" t="s">
        <v>243</v>
      </c>
      <c r="K67" t="s">
        <v>19</v>
      </c>
      <c r="L67" t="s">
        <v>20</v>
      </c>
      <c r="M67" s="9">
        <v>8481802</v>
      </c>
      <c r="N67" t="s">
        <v>3477</v>
      </c>
      <c r="O67">
        <v>18</v>
      </c>
      <c r="P67" t="s">
        <v>3477</v>
      </c>
      <c r="Q67">
        <v>18</v>
      </c>
      <c r="R67" s="13">
        <v>4300</v>
      </c>
      <c r="S67" s="13">
        <v>3225</v>
      </c>
    </row>
    <row r="68" spans="1:19">
      <c r="A68" s="9" t="s">
        <v>24</v>
      </c>
      <c r="B68" s="9" t="s">
        <v>27</v>
      </c>
      <c r="C68" s="9" t="s">
        <v>61</v>
      </c>
      <c r="D68" t="s">
        <v>204</v>
      </c>
      <c r="F68" s="12" t="s">
        <v>1572</v>
      </c>
      <c r="G68" s="10" t="s">
        <v>244</v>
      </c>
      <c r="H68" s="10" t="s">
        <v>244</v>
      </c>
      <c r="K68" t="s">
        <v>19</v>
      </c>
      <c r="L68" t="s">
        <v>20</v>
      </c>
      <c r="M68" s="9">
        <v>8481802</v>
      </c>
      <c r="N68" t="s">
        <v>3477</v>
      </c>
      <c r="O68">
        <v>18</v>
      </c>
      <c r="P68" t="s">
        <v>3477</v>
      </c>
      <c r="Q68">
        <v>18</v>
      </c>
      <c r="R68" s="13">
        <v>3500</v>
      </c>
      <c r="S68" s="13">
        <v>2625</v>
      </c>
    </row>
    <row r="69" spans="1:19">
      <c r="A69" s="9" t="s">
        <v>24</v>
      </c>
      <c r="B69" s="9" t="s">
        <v>27</v>
      </c>
      <c r="C69" s="9" t="s">
        <v>61</v>
      </c>
      <c r="D69" t="s">
        <v>204</v>
      </c>
      <c r="F69" s="12" t="s">
        <v>1573</v>
      </c>
      <c r="G69" s="10" t="s">
        <v>244</v>
      </c>
      <c r="H69" s="10" t="s">
        <v>244</v>
      </c>
      <c r="K69" t="s">
        <v>19</v>
      </c>
      <c r="L69" t="s">
        <v>20</v>
      </c>
      <c r="M69" s="9">
        <v>8481802</v>
      </c>
      <c r="N69" t="s">
        <v>3477</v>
      </c>
      <c r="O69">
        <v>18</v>
      </c>
      <c r="P69" t="s">
        <v>3477</v>
      </c>
      <c r="Q69">
        <v>18</v>
      </c>
      <c r="R69" s="13">
        <v>6500</v>
      </c>
      <c r="S69" s="13">
        <v>4875</v>
      </c>
    </row>
    <row r="70" spans="1:19">
      <c r="A70" s="9" t="s">
        <v>24</v>
      </c>
      <c r="B70" s="9" t="s">
        <v>27</v>
      </c>
      <c r="C70" s="9" t="s">
        <v>61</v>
      </c>
      <c r="D70" t="s">
        <v>204</v>
      </c>
      <c r="F70" s="12" t="s">
        <v>1574</v>
      </c>
      <c r="G70" s="10" t="s">
        <v>244</v>
      </c>
      <c r="H70" s="10" t="s">
        <v>244</v>
      </c>
      <c r="K70" t="s">
        <v>19</v>
      </c>
      <c r="L70" t="s">
        <v>20</v>
      </c>
      <c r="M70" s="9">
        <v>8481802</v>
      </c>
      <c r="N70" t="s">
        <v>3477</v>
      </c>
      <c r="O70">
        <v>18</v>
      </c>
      <c r="P70" t="s">
        <v>3477</v>
      </c>
      <c r="Q70">
        <v>18</v>
      </c>
      <c r="R70" s="13">
        <v>5200</v>
      </c>
      <c r="S70" s="13">
        <v>3900</v>
      </c>
    </row>
    <row r="71" spans="1:19">
      <c r="A71" s="9" t="s">
        <v>24</v>
      </c>
      <c r="B71" s="9" t="s">
        <v>27</v>
      </c>
      <c r="C71" s="9" t="s">
        <v>61</v>
      </c>
      <c r="D71" t="s">
        <v>204</v>
      </c>
      <c r="F71" s="12" t="s">
        <v>1575</v>
      </c>
      <c r="G71" s="10" t="s">
        <v>245</v>
      </c>
      <c r="H71" s="10" t="s">
        <v>245</v>
      </c>
      <c r="K71" t="s">
        <v>19</v>
      </c>
      <c r="L71" t="s">
        <v>20</v>
      </c>
      <c r="M71" s="9">
        <v>8481802</v>
      </c>
      <c r="N71" t="s">
        <v>3477</v>
      </c>
      <c r="O71">
        <v>18</v>
      </c>
      <c r="P71" t="s">
        <v>3477</v>
      </c>
      <c r="Q71">
        <v>18</v>
      </c>
      <c r="R71" s="13">
        <v>7800</v>
      </c>
      <c r="S71" s="13">
        <v>5850</v>
      </c>
    </row>
    <row r="72" spans="1:19">
      <c r="A72" s="9" t="s">
        <v>22</v>
      </c>
      <c r="B72" s="9" t="s">
        <v>26</v>
      </c>
      <c r="C72" s="9" t="s">
        <v>50</v>
      </c>
      <c r="D72" t="s">
        <v>204</v>
      </c>
      <c r="F72" s="12" t="s">
        <v>1576</v>
      </c>
      <c r="G72" s="10" t="s">
        <v>246</v>
      </c>
      <c r="H72" s="10" t="s">
        <v>246</v>
      </c>
      <c r="K72" t="s">
        <v>19</v>
      </c>
      <c r="L72" t="s">
        <v>20</v>
      </c>
      <c r="M72" s="9">
        <v>8481809</v>
      </c>
      <c r="N72" t="s">
        <v>3477</v>
      </c>
      <c r="O72">
        <v>18</v>
      </c>
      <c r="P72" t="s">
        <v>3477</v>
      </c>
      <c r="Q72">
        <v>18</v>
      </c>
      <c r="R72" s="13">
        <v>6049</v>
      </c>
      <c r="S72" s="13">
        <v>4234.3</v>
      </c>
    </row>
    <row r="73" spans="1:19">
      <c r="A73" s="9" t="s">
        <v>22</v>
      </c>
      <c r="B73" s="9" t="s">
        <v>26</v>
      </c>
      <c r="C73" s="9" t="s">
        <v>50</v>
      </c>
      <c r="D73" t="s">
        <v>204</v>
      </c>
      <c r="F73" s="12" t="s">
        <v>1577</v>
      </c>
      <c r="G73" s="10" t="s">
        <v>247</v>
      </c>
      <c r="H73" s="10" t="s">
        <v>247</v>
      </c>
      <c r="K73" t="s">
        <v>19</v>
      </c>
      <c r="L73" t="s">
        <v>20</v>
      </c>
      <c r="M73" s="9">
        <v>73249</v>
      </c>
      <c r="N73" t="s">
        <v>3477</v>
      </c>
      <c r="O73">
        <v>18</v>
      </c>
      <c r="P73" t="s">
        <v>3477</v>
      </c>
      <c r="Q73">
        <v>18</v>
      </c>
      <c r="R73" s="13">
        <v>2044</v>
      </c>
      <c r="S73" s="13">
        <v>1430.8</v>
      </c>
    </row>
    <row r="74" spans="1:19">
      <c r="A74" s="9" t="s">
        <v>23</v>
      </c>
      <c r="B74" s="9" t="s">
        <v>27</v>
      </c>
      <c r="C74" s="9" t="s">
        <v>51</v>
      </c>
      <c r="D74" t="s">
        <v>204</v>
      </c>
      <c r="F74" s="12" t="s">
        <v>1578</v>
      </c>
      <c r="G74" s="10" t="s">
        <v>248</v>
      </c>
      <c r="H74" s="10" t="s">
        <v>248</v>
      </c>
      <c r="K74" t="s">
        <v>19</v>
      </c>
      <c r="L74" t="s">
        <v>20</v>
      </c>
      <c r="M74" s="9">
        <v>8481909</v>
      </c>
      <c r="N74" t="s">
        <v>3477</v>
      </c>
      <c r="O74">
        <v>18</v>
      </c>
      <c r="P74" t="s">
        <v>3477</v>
      </c>
      <c r="Q74">
        <v>18</v>
      </c>
      <c r="R74" s="13">
        <v>24310</v>
      </c>
      <c r="S74" s="13">
        <v>14586</v>
      </c>
    </row>
    <row r="75" spans="1:19">
      <c r="A75" s="9" t="s">
        <v>22</v>
      </c>
      <c r="B75" s="9" t="s">
        <v>26</v>
      </c>
      <c r="C75" s="9" t="s">
        <v>50</v>
      </c>
      <c r="D75" t="s">
        <v>204</v>
      </c>
      <c r="F75" s="12" t="s">
        <v>1579</v>
      </c>
      <c r="G75" s="10" t="s">
        <v>249</v>
      </c>
      <c r="H75" s="10" t="s">
        <v>249</v>
      </c>
      <c r="K75" t="s">
        <v>19</v>
      </c>
      <c r="L75" t="s">
        <v>20</v>
      </c>
      <c r="M75" s="9">
        <v>8481909</v>
      </c>
      <c r="N75" t="s">
        <v>3477</v>
      </c>
      <c r="O75">
        <v>18</v>
      </c>
      <c r="P75" t="s">
        <v>3477</v>
      </c>
      <c r="Q75">
        <v>18</v>
      </c>
      <c r="R75" s="13">
        <v>757</v>
      </c>
      <c r="S75" s="13">
        <v>529.9</v>
      </c>
    </row>
    <row r="76" spans="1:19">
      <c r="A76" s="9" t="s">
        <v>22</v>
      </c>
      <c r="B76" s="9" t="s">
        <v>30</v>
      </c>
      <c r="C76" s="9" t="s">
        <v>50</v>
      </c>
      <c r="D76" t="s">
        <v>204</v>
      </c>
      <c r="F76" s="12" t="s">
        <v>1580</v>
      </c>
      <c r="G76" s="10" t="s">
        <v>250</v>
      </c>
      <c r="H76" s="10" t="s">
        <v>250</v>
      </c>
      <c r="K76" t="s">
        <v>19</v>
      </c>
      <c r="L76" t="s">
        <v>20</v>
      </c>
      <c r="M76" s="9">
        <v>4016932</v>
      </c>
      <c r="N76" t="s">
        <v>3477</v>
      </c>
      <c r="O76">
        <v>18</v>
      </c>
      <c r="P76" t="s">
        <v>3477</v>
      </c>
      <c r="Q76">
        <v>18</v>
      </c>
      <c r="R76" s="13">
        <v>74</v>
      </c>
      <c r="S76" s="13">
        <v>51.8</v>
      </c>
    </row>
    <row r="77" spans="1:19">
      <c r="A77" s="9" t="s">
        <v>22</v>
      </c>
      <c r="B77" s="9" t="s">
        <v>30</v>
      </c>
      <c r="C77" s="9" t="s">
        <v>50</v>
      </c>
      <c r="D77" t="s">
        <v>204</v>
      </c>
      <c r="F77" s="12" t="s">
        <v>1581</v>
      </c>
      <c r="G77" s="10" t="s">
        <v>250</v>
      </c>
      <c r="H77" s="10" t="s">
        <v>250</v>
      </c>
      <c r="K77" t="s">
        <v>19</v>
      </c>
      <c r="L77" t="s">
        <v>20</v>
      </c>
      <c r="M77" s="9">
        <v>7307919</v>
      </c>
      <c r="N77" t="s">
        <v>3477</v>
      </c>
      <c r="O77">
        <v>18</v>
      </c>
      <c r="P77" t="s">
        <v>3477</v>
      </c>
      <c r="Q77">
        <v>18</v>
      </c>
      <c r="R77" s="13">
        <v>394</v>
      </c>
      <c r="S77" s="13">
        <v>275.79999999999995</v>
      </c>
    </row>
    <row r="78" spans="1:19">
      <c r="A78" s="9" t="s">
        <v>22</v>
      </c>
      <c r="B78" s="9" t="s">
        <v>30</v>
      </c>
      <c r="C78" s="9" t="s">
        <v>50</v>
      </c>
      <c r="D78" t="s">
        <v>204</v>
      </c>
      <c r="F78" s="12" t="s">
        <v>1582</v>
      </c>
      <c r="G78" s="10" t="s">
        <v>249</v>
      </c>
      <c r="H78" s="10" t="s">
        <v>249</v>
      </c>
      <c r="K78" t="s">
        <v>19</v>
      </c>
      <c r="L78" t="s">
        <v>20</v>
      </c>
      <c r="M78" s="9">
        <v>7307919</v>
      </c>
      <c r="N78" t="s">
        <v>3477</v>
      </c>
      <c r="O78">
        <v>18</v>
      </c>
      <c r="P78" t="s">
        <v>3477</v>
      </c>
      <c r="Q78">
        <v>18</v>
      </c>
      <c r="R78" s="13">
        <v>217</v>
      </c>
      <c r="S78" s="13">
        <v>151.89999999999998</v>
      </c>
    </row>
    <row r="79" spans="1:19">
      <c r="A79" s="9" t="s">
        <v>22</v>
      </c>
      <c r="B79" s="9" t="s">
        <v>30</v>
      </c>
      <c r="C79" s="9" t="s">
        <v>50</v>
      </c>
      <c r="D79" t="s">
        <v>204</v>
      </c>
      <c r="F79" s="12" t="s">
        <v>1583</v>
      </c>
      <c r="G79" s="10" t="s">
        <v>251</v>
      </c>
      <c r="H79" s="10" t="s">
        <v>251</v>
      </c>
      <c r="K79" t="s">
        <v>19</v>
      </c>
      <c r="L79" t="s">
        <v>20</v>
      </c>
      <c r="M79" s="9">
        <v>4016932</v>
      </c>
      <c r="N79" t="s">
        <v>3477</v>
      </c>
      <c r="O79">
        <v>18</v>
      </c>
      <c r="P79" t="s">
        <v>3477</v>
      </c>
      <c r="Q79">
        <v>18</v>
      </c>
      <c r="R79" s="13">
        <v>79</v>
      </c>
      <c r="S79" s="13">
        <v>55.3</v>
      </c>
    </row>
    <row r="80" spans="1:19">
      <c r="A80" s="9" t="s">
        <v>22</v>
      </c>
      <c r="B80" s="9" t="s">
        <v>26</v>
      </c>
      <c r="C80" s="9" t="s">
        <v>50</v>
      </c>
      <c r="D80" t="s">
        <v>204</v>
      </c>
      <c r="F80" s="12" t="s">
        <v>1584</v>
      </c>
      <c r="G80" s="10" t="s">
        <v>252</v>
      </c>
      <c r="H80" s="10" t="s">
        <v>252</v>
      </c>
      <c r="K80" t="s">
        <v>19</v>
      </c>
      <c r="L80" t="s">
        <v>20</v>
      </c>
      <c r="M80" s="9">
        <v>39229</v>
      </c>
      <c r="N80" t="s">
        <v>3477</v>
      </c>
      <c r="O80">
        <v>18</v>
      </c>
      <c r="P80" t="s">
        <v>3477</v>
      </c>
      <c r="Q80">
        <v>18</v>
      </c>
      <c r="R80" s="13">
        <v>1973</v>
      </c>
      <c r="S80" s="13">
        <v>1381.1</v>
      </c>
    </row>
    <row r="81" spans="1:19">
      <c r="A81" s="9" t="s">
        <v>22</v>
      </c>
      <c r="B81" s="9" t="s">
        <v>26</v>
      </c>
      <c r="C81" s="9" t="s">
        <v>50</v>
      </c>
      <c r="D81" t="s">
        <v>204</v>
      </c>
      <c r="F81" s="12" t="s">
        <v>1585</v>
      </c>
      <c r="G81" s="10" t="s">
        <v>253</v>
      </c>
      <c r="H81" s="10" t="s">
        <v>253</v>
      </c>
      <c r="K81" t="s">
        <v>19</v>
      </c>
      <c r="L81" t="s">
        <v>20</v>
      </c>
      <c r="M81" s="9">
        <v>39229</v>
      </c>
      <c r="N81" t="s">
        <v>3477</v>
      </c>
      <c r="O81">
        <v>18</v>
      </c>
      <c r="P81" t="s">
        <v>3477</v>
      </c>
      <c r="Q81">
        <v>18</v>
      </c>
      <c r="R81" s="13">
        <v>1298</v>
      </c>
      <c r="S81" s="13">
        <v>908.59999999999991</v>
      </c>
    </row>
    <row r="82" spans="1:19">
      <c r="A82" s="9" t="s">
        <v>22</v>
      </c>
      <c r="B82" s="9" t="s">
        <v>31</v>
      </c>
      <c r="C82" s="9" t="s">
        <v>62</v>
      </c>
      <c r="D82" t="s">
        <v>204</v>
      </c>
      <c r="F82" s="12" t="s">
        <v>1586</v>
      </c>
      <c r="G82" s="10" t="s">
        <v>254</v>
      </c>
      <c r="H82" s="10" t="s">
        <v>254</v>
      </c>
      <c r="K82" t="s">
        <v>19</v>
      </c>
      <c r="L82" t="s">
        <v>20</v>
      </c>
      <c r="M82" s="9">
        <v>90329</v>
      </c>
      <c r="N82" t="s">
        <v>3477</v>
      </c>
      <c r="O82">
        <v>18</v>
      </c>
      <c r="P82" t="s">
        <v>3477</v>
      </c>
      <c r="Q82">
        <v>18</v>
      </c>
      <c r="R82" s="13">
        <v>11066</v>
      </c>
      <c r="S82" s="13">
        <v>7746.2</v>
      </c>
    </row>
    <row r="83" spans="1:19">
      <c r="A83" s="9" t="s">
        <v>22</v>
      </c>
      <c r="B83" s="9" t="s">
        <v>26</v>
      </c>
      <c r="C83" s="9" t="s">
        <v>50</v>
      </c>
      <c r="D83" t="s">
        <v>204</v>
      </c>
      <c r="F83" s="12" t="s">
        <v>1587</v>
      </c>
      <c r="G83" s="10" t="s">
        <v>255</v>
      </c>
      <c r="H83" s="10" t="s">
        <v>255</v>
      </c>
      <c r="K83" t="s">
        <v>19</v>
      </c>
      <c r="L83" t="s">
        <v>20</v>
      </c>
      <c r="M83" s="9">
        <v>39229</v>
      </c>
      <c r="N83" t="s">
        <v>3477</v>
      </c>
      <c r="O83">
        <v>18</v>
      </c>
      <c r="P83" t="s">
        <v>3477</v>
      </c>
      <c r="Q83">
        <v>18</v>
      </c>
      <c r="R83" s="13">
        <v>1127</v>
      </c>
      <c r="S83" s="13">
        <v>788.9</v>
      </c>
    </row>
    <row r="84" spans="1:19">
      <c r="A84" s="9" t="s">
        <v>22</v>
      </c>
      <c r="B84" s="9" t="s">
        <v>27</v>
      </c>
      <c r="C84" s="9" t="s">
        <v>48</v>
      </c>
      <c r="D84" t="s">
        <v>204</v>
      </c>
      <c r="F84" s="12" t="s">
        <v>1588</v>
      </c>
      <c r="G84" s="10" t="s">
        <v>256</v>
      </c>
      <c r="H84" s="10" t="s">
        <v>256</v>
      </c>
      <c r="K84" t="s">
        <v>19</v>
      </c>
      <c r="L84" t="s">
        <v>20</v>
      </c>
      <c r="M84" s="9">
        <v>8481802</v>
      </c>
      <c r="N84" t="s">
        <v>3477</v>
      </c>
      <c r="O84">
        <v>18</v>
      </c>
      <c r="P84" t="s">
        <v>3477</v>
      </c>
      <c r="Q84">
        <v>18</v>
      </c>
      <c r="R84" s="13">
        <v>44250</v>
      </c>
      <c r="S84" s="13">
        <v>30974.999999999996</v>
      </c>
    </row>
    <row r="85" spans="1:19">
      <c r="A85" s="9" t="s">
        <v>22</v>
      </c>
      <c r="B85" s="9" t="s">
        <v>27</v>
      </c>
      <c r="C85" s="9" t="s">
        <v>49</v>
      </c>
      <c r="D85" t="s">
        <v>204</v>
      </c>
      <c r="F85" s="12" t="s">
        <v>1589</v>
      </c>
      <c r="G85" s="10" t="s">
        <v>257</v>
      </c>
      <c r="H85" s="10" t="s">
        <v>257</v>
      </c>
      <c r="K85" t="s">
        <v>19</v>
      </c>
      <c r="L85" t="s">
        <v>20</v>
      </c>
      <c r="M85" s="9">
        <v>8481802</v>
      </c>
      <c r="N85" t="s">
        <v>3477</v>
      </c>
      <c r="O85">
        <v>18</v>
      </c>
      <c r="P85" t="s">
        <v>3477</v>
      </c>
      <c r="Q85">
        <v>18</v>
      </c>
      <c r="R85" s="13">
        <v>52260</v>
      </c>
      <c r="S85" s="13">
        <v>36582</v>
      </c>
    </row>
    <row r="86" spans="1:19">
      <c r="A86" s="9" t="s">
        <v>23</v>
      </c>
      <c r="B86" s="9" t="s">
        <v>27</v>
      </c>
      <c r="C86" s="9" t="s">
        <v>51</v>
      </c>
      <c r="D86" t="s">
        <v>204</v>
      </c>
      <c r="F86" s="12" t="s">
        <v>1590</v>
      </c>
      <c r="G86" s="10" t="s">
        <v>258</v>
      </c>
      <c r="H86" s="10" t="s">
        <v>258</v>
      </c>
      <c r="K86" t="s">
        <v>19</v>
      </c>
      <c r="L86" t="s">
        <v>20</v>
      </c>
      <c r="M86" s="9">
        <v>8481909</v>
      </c>
      <c r="N86" t="s">
        <v>3477</v>
      </c>
      <c r="O86">
        <v>18</v>
      </c>
      <c r="P86" t="s">
        <v>3477</v>
      </c>
      <c r="Q86">
        <v>18</v>
      </c>
      <c r="R86" s="13">
        <v>35000</v>
      </c>
      <c r="S86" s="13">
        <v>21000</v>
      </c>
    </row>
    <row r="87" spans="1:19">
      <c r="A87" s="9" t="s">
        <v>22</v>
      </c>
      <c r="B87" s="9" t="s">
        <v>27</v>
      </c>
      <c r="C87" s="9" t="s">
        <v>53</v>
      </c>
      <c r="D87" t="s">
        <v>204</v>
      </c>
      <c r="F87" s="12" t="s">
        <v>1591</v>
      </c>
      <c r="G87" s="10" t="s">
        <v>259</v>
      </c>
      <c r="H87" s="10" t="s">
        <v>259</v>
      </c>
      <c r="K87" t="s">
        <v>19</v>
      </c>
      <c r="L87" t="s">
        <v>20</v>
      </c>
      <c r="M87" s="9">
        <v>83025</v>
      </c>
      <c r="N87" t="s">
        <v>3477</v>
      </c>
      <c r="O87">
        <v>18</v>
      </c>
      <c r="P87" t="s">
        <v>3477</v>
      </c>
      <c r="Q87">
        <v>18</v>
      </c>
      <c r="R87" s="13">
        <v>6470</v>
      </c>
      <c r="S87" s="13">
        <v>4529</v>
      </c>
    </row>
    <row r="88" spans="1:19">
      <c r="A88" s="9" t="s">
        <v>22</v>
      </c>
      <c r="B88" s="9" t="s">
        <v>27</v>
      </c>
      <c r="C88" s="9" t="s">
        <v>53</v>
      </c>
      <c r="D88" t="s">
        <v>204</v>
      </c>
      <c r="F88" s="12" t="s">
        <v>1592</v>
      </c>
      <c r="G88" s="10" t="s">
        <v>259</v>
      </c>
      <c r="H88" s="10" t="s">
        <v>259</v>
      </c>
      <c r="K88" t="s">
        <v>19</v>
      </c>
      <c r="L88" t="s">
        <v>20</v>
      </c>
      <c r="M88" s="9">
        <v>83025</v>
      </c>
      <c r="N88" t="s">
        <v>3477</v>
      </c>
      <c r="O88">
        <v>18</v>
      </c>
      <c r="P88" t="s">
        <v>3477</v>
      </c>
      <c r="Q88">
        <v>18</v>
      </c>
      <c r="R88" s="13">
        <v>10400</v>
      </c>
      <c r="S88" s="13">
        <v>7279.9999999999991</v>
      </c>
    </row>
    <row r="89" spans="1:19">
      <c r="A89" s="9" t="s">
        <v>23</v>
      </c>
      <c r="B89" s="9" t="s">
        <v>27</v>
      </c>
      <c r="C89" s="9" t="s">
        <v>53</v>
      </c>
      <c r="D89" t="s">
        <v>204</v>
      </c>
      <c r="F89" s="12" t="s">
        <v>1593</v>
      </c>
      <c r="G89" s="10" t="s">
        <v>260</v>
      </c>
      <c r="H89" s="10" t="s">
        <v>260</v>
      </c>
      <c r="K89" t="s">
        <v>19</v>
      </c>
      <c r="L89" t="s">
        <v>20</v>
      </c>
      <c r="M89" s="9">
        <v>83025</v>
      </c>
      <c r="N89" t="s">
        <v>3477</v>
      </c>
      <c r="O89">
        <v>18</v>
      </c>
      <c r="P89" t="s">
        <v>3477</v>
      </c>
      <c r="Q89">
        <v>18</v>
      </c>
      <c r="R89" s="13">
        <v>21330</v>
      </c>
      <c r="S89" s="13">
        <v>12798</v>
      </c>
    </row>
    <row r="90" spans="1:19">
      <c r="A90" s="9" t="s">
        <v>22</v>
      </c>
      <c r="B90" s="9" t="s">
        <v>27</v>
      </c>
      <c r="C90" s="9" t="s">
        <v>54</v>
      </c>
      <c r="D90" t="s">
        <v>204</v>
      </c>
      <c r="F90" s="12" t="s">
        <v>1594</v>
      </c>
      <c r="G90" s="10" t="s">
        <v>261</v>
      </c>
      <c r="H90" s="10" t="s">
        <v>261</v>
      </c>
      <c r="K90" t="s">
        <v>19</v>
      </c>
      <c r="L90" t="s">
        <v>20</v>
      </c>
      <c r="M90" s="9">
        <v>83025</v>
      </c>
      <c r="N90" t="s">
        <v>3477</v>
      </c>
      <c r="O90">
        <v>18</v>
      </c>
      <c r="P90" t="s">
        <v>3477</v>
      </c>
      <c r="Q90">
        <v>18</v>
      </c>
      <c r="R90" s="13">
        <v>4640</v>
      </c>
      <c r="S90" s="13">
        <v>3248</v>
      </c>
    </row>
    <row r="91" spans="1:19">
      <c r="A91" s="9" t="s">
        <v>22</v>
      </c>
      <c r="B91" s="9" t="s">
        <v>27</v>
      </c>
      <c r="C91" s="9" t="s">
        <v>55</v>
      </c>
      <c r="D91" t="s">
        <v>204</v>
      </c>
      <c r="F91" s="12" t="s">
        <v>1595</v>
      </c>
      <c r="G91" s="10" t="s">
        <v>262</v>
      </c>
      <c r="H91" s="10" t="s">
        <v>262</v>
      </c>
      <c r="K91" t="s">
        <v>19</v>
      </c>
      <c r="L91" t="s">
        <v>20</v>
      </c>
      <c r="M91" s="9">
        <v>83025</v>
      </c>
      <c r="N91" t="s">
        <v>3477</v>
      </c>
      <c r="O91">
        <v>18</v>
      </c>
      <c r="P91" t="s">
        <v>3477</v>
      </c>
      <c r="Q91">
        <v>18</v>
      </c>
      <c r="R91" s="13">
        <v>4690</v>
      </c>
      <c r="S91" s="13">
        <v>3283</v>
      </c>
    </row>
    <row r="92" spans="1:19">
      <c r="A92" s="9" t="s">
        <v>22</v>
      </c>
      <c r="B92" s="9" t="s">
        <v>27</v>
      </c>
      <c r="C92" s="9" t="s">
        <v>56</v>
      </c>
      <c r="D92" t="s">
        <v>204</v>
      </c>
      <c r="F92" s="12" t="s">
        <v>1596</v>
      </c>
      <c r="G92" s="10" t="s">
        <v>263</v>
      </c>
      <c r="H92" s="10" t="s">
        <v>263</v>
      </c>
      <c r="K92" t="s">
        <v>19</v>
      </c>
      <c r="L92" t="s">
        <v>20</v>
      </c>
      <c r="M92" s="9">
        <v>7907001</v>
      </c>
      <c r="N92" t="s">
        <v>3477</v>
      </c>
      <c r="O92">
        <v>18</v>
      </c>
      <c r="P92" t="s">
        <v>3477</v>
      </c>
      <c r="Q92">
        <v>18</v>
      </c>
      <c r="R92" s="13">
        <v>4286</v>
      </c>
      <c r="S92" s="13">
        <v>3000.2</v>
      </c>
    </row>
    <row r="93" spans="1:19">
      <c r="A93" s="9" t="s">
        <v>22</v>
      </c>
      <c r="B93" s="9" t="s">
        <v>26</v>
      </c>
      <c r="C93" s="9" t="s">
        <v>50</v>
      </c>
      <c r="D93" t="s">
        <v>204</v>
      </c>
      <c r="F93" s="12" t="s">
        <v>1597</v>
      </c>
      <c r="G93" s="10" t="s">
        <v>264</v>
      </c>
      <c r="H93" s="10" t="s">
        <v>264</v>
      </c>
      <c r="K93" t="s">
        <v>19</v>
      </c>
      <c r="L93" t="s">
        <v>20</v>
      </c>
      <c r="M93" s="9">
        <v>39269099</v>
      </c>
      <c r="N93" t="s">
        <v>3477</v>
      </c>
      <c r="O93">
        <v>18</v>
      </c>
      <c r="P93" t="s">
        <v>3477</v>
      </c>
      <c r="Q93">
        <v>18</v>
      </c>
      <c r="R93" s="13">
        <v>132</v>
      </c>
      <c r="S93" s="13">
        <v>92.399999999999991</v>
      </c>
    </row>
    <row r="94" spans="1:19">
      <c r="A94" s="9" t="s">
        <v>22</v>
      </c>
      <c r="B94" s="9" t="s">
        <v>26</v>
      </c>
      <c r="C94" s="9" t="s">
        <v>50</v>
      </c>
      <c r="D94" t="s">
        <v>204</v>
      </c>
      <c r="F94" s="12" t="s">
        <v>1598</v>
      </c>
      <c r="G94" s="10" t="s">
        <v>265</v>
      </c>
      <c r="H94" s="10" t="s">
        <v>265</v>
      </c>
      <c r="K94" t="s">
        <v>19</v>
      </c>
      <c r="L94" t="s">
        <v>20</v>
      </c>
      <c r="M94" s="9">
        <v>3923509</v>
      </c>
      <c r="N94" t="s">
        <v>3477</v>
      </c>
      <c r="O94">
        <v>18</v>
      </c>
      <c r="P94" t="s">
        <v>3477</v>
      </c>
      <c r="Q94">
        <v>18</v>
      </c>
      <c r="R94" s="13">
        <v>61</v>
      </c>
      <c r="S94" s="13">
        <v>42.699999999999996</v>
      </c>
    </row>
    <row r="95" spans="1:19">
      <c r="A95" s="9" t="s">
        <v>22</v>
      </c>
      <c r="B95" s="9" t="s">
        <v>26</v>
      </c>
      <c r="C95" s="9" t="s">
        <v>50</v>
      </c>
      <c r="D95" t="s">
        <v>204</v>
      </c>
      <c r="F95" s="12" t="s">
        <v>1599</v>
      </c>
      <c r="G95" s="10" t="s">
        <v>266</v>
      </c>
      <c r="H95" s="10" t="s">
        <v>266</v>
      </c>
      <c r="K95" t="s">
        <v>19</v>
      </c>
      <c r="L95" t="s">
        <v>20</v>
      </c>
      <c r="M95" s="9">
        <v>39269099</v>
      </c>
      <c r="N95" t="s">
        <v>3477</v>
      </c>
      <c r="O95">
        <v>18</v>
      </c>
      <c r="P95" t="s">
        <v>3477</v>
      </c>
      <c r="Q95">
        <v>18</v>
      </c>
      <c r="R95" s="13">
        <v>95</v>
      </c>
      <c r="S95" s="13">
        <v>66.5</v>
      </c>
    </row>
    <row r="96" spans="1:19">
      <c r="A96" s="9" t="s">
        <v>22</v>
      </c>
      <c r="B96" s="9" t="s">
        <v>26</v>
      </c>
      <c r="C96" s="9" t="s">
        <v>50</v>
      </c>
      <c r="D96" t="s">
        <v>204</v>
      </c>
      <c r="F96" s="12" t="s">
        <v>1600</v>
      </c>
      <c r="G96" s="10" t="s">
        <v>267</v>
      </c>
      <c r="H96" s="10" t="s">
        <v>267</v>
      </c>
      <c r="K96" t="s">
        <v>19</v>
      </c>
      <c r="L96" t="s">
        <v>20</v>
      </c>
      <c r="M96" s="9">
        <v>39269099</v>
      </c>
      <c r="N96" t="s">
        <v>3477</v>
      </c>
      <c r="O96">
        <v>18</v>
      </c>
      <c r="P96" t="s">
        <v>3477</v>
      </c>
      <c r="Q96">
        <v>18</v>
      </c>
      <c r="R96" s="13">
        <v>132</v>
      </c>
      <c r="S96" s="13">
        <v>92.399999999999991</v>
      </c>
    </row>
    <row r="97" spans="1:19">
      <c r="A97" s="9" t="s">
        <v>22</v>
      </c>
      <c r="B97" s="9" t="s">
        <v>26</v>
      </c>
      <c r="C97" s="9" t="s">
        <v>50</v>
      </c>
      <c r="D97" t="s">
        <v>204</v>
      </c>
      <c r="F97" s="12" t="s">
        <v>1601</v>
      </c>
      <c r="G97" s="10" t="s">
        <v>268</v>
      </c>
      <c r="H97" s="10" t="s">
        <v>268</v>
      </c>
      <c r="K97" t="s">
        <v>19</v>
      </c>
      <c r="L97" t="s">
        <v>20</v>
      </c>
      <c r="M97" s="9">
        <v>4016933</v>
      </c>
      <c r="N97" t="s">
        <v>3477</v>
      </c>
      <c r="O97">
        <v>18</v>
      </c>
      <c r="P97" t="s">
        <v>3477</v>
      </c>
      <c r="Q97">
        <v>18</v>
      </c>
      <c r="R97" s="13">
        <v>891</v>
      </c>
      <c r="S97" s="13">
        <v>623.69999999999993</v>
      </c>
    </row>
    <row r="98" spans="1:19">
      <c r="A98" s="9" t="s">
        <v>22</v>
      </c>
      <c r="B98" s="9" t="s">
        <v>27</v>
      </c>
      <c r="C98" s="9" t="s">
        <v>63</v>
      </c>
      <c r="D98" t="s">
        <v>204</v>
      </c>
      <c r="F98" s="12" t="s">
        <v>1602</v>
      </c>
      <c r="G98" s="10" t="s">
        <v>269</v>
      </c>
      <c r="H98" s="10" t="s">
        <v>269</v>
      </c>
      <c r="K98" t="s">
        <v>19</v>
      </c>
      <c r="L98" t="s">
        <v>20</v>
      </c>
      <c r="M98" s="9">
        <v>8481802</v>
      </c>
      <c r="N98" t="s">
        <v>3477</v>
      </c>
      <c r="O98">
        <v>18</v>
      </c>
      <c r="P98" t="s">
        <v>3477</v>
      </c>
      <c r="Q98">
        <v>18</v>
      </c>
      <c r="R98" s="13">
        <v>29900</v>
      </c>
      <c r="S98" s="13">
        <v>20930</v>
      </c>
    </row>
    <row r="99" spans="1:19">
      <c r="A99" s="9" t="s">
        <v>22</v>
      </c>
      <c r="B99" s="9" t="s">
        <v>27</v>
      </c>
      <c r="C99" s="9" t="s">
        <v>58</v>
      </c>
      <c r="D99" t="s">
        <v>204</v>
      </c>
      <c r="F99" s="12" t="s">
        <v>1603</v>
      </c>
      <c r="G99" s="10" t="s">
        <v>269</v>
      </c>
      <c r="H99" s="10" t="s">
        <v>269</v>
      </c>
      <c r="K99" t="s">
        <v>19</v>
      </c>
      <c r="L99" t="s">
        <v>20</v>
      </c>
      <c r="M99" s="9">
        <v>7418202</v>
      </c>
      <c r="N99" t="s">
        <v>3477</v>
      </c>
      <c r="O99">
        <v>18</v>
      </c>
      <c r="P99" t="s">
        <v>3477</v>
      </c>
      <c r="Q99">
        <v>18</v>
      </c>
      <c r="R99" s="13">
        <v>5380</v>
      </c>
      <c r="S99" s="13">
        <v>3765.9999999999995</v>
      </c>
    </row>
    <row r="100" spans="1:19">
      <c r="A100" s="9" t="s">
        <v>22</v>
      </c>
      <c r="B100" s="9" t="s">
        <v>27</v>
      </c>
      <c r="C100" s="9" t="s">
        <v>58</v>
      </c>
      <c r="D100" t="s">
        <v>204</v>
      </c>
      <c r="F100" s="12" t="s">
        <v>1604</v>
      </c>
      <c r="G100" s="10" t="s">
        <v>269</v>
      </c>
      <c r="H100" s="10" t="s">
        <v>269</v>
      </c>
      <c r="K100" t="s">
        <v>19</v>
      </c>
      <c r="L100" t="s">
        <v>20</v>
      </c>
      <c r="M100" s="9">
        <v>7418202</v>
      </c>
      <c r="N100" t="s">
        <v>3477</v>
      </c>
      <c r="O100">
        <v>18</v>
      </c>
      <c r="P100" t="s">
        <v>3477</v>
      </c>
      <c r="Q100">
        <v>18</v>
      </c>
      <c r="R100" s="13">
        <v>5200</v>
      </c>
      <c r="S100" s="13">
        <v>3639.9999999999995</v>
      </c>
    </row>
    <row r="101" spans="1:19">
      <c r="A101" s="9" t="s">
        <v>22</v>
      </c>
      <c r="B101" s="9" t="s">
        <v>27</v>
      </c>
      <c r="C101" s="9" t="s">
        <v>58</v>
      </c>
      <c r="D101" t="s">
        <v>204</v>
      </c>
      <c r="F101" s="12" t="s">
        <v>1605</v>
      </c>
      <c r="G101" s="10" t="s">
        <v>269</v>
      </c>
      <c r="H101" s="10" t="s">
        <v>269</v>
      </c>
      <c r="K101" t="s">
        <v>19</v>
      </c>
      <c r="L101" t="s">
        <v>20</v>
      </c>
      <c r="M101" s="9">
        <v>7418202</v>
      </c>
      <c r="N101" t="s">
        <v>3477</v>
      </c>
      <c r="O101">
        <v>18</v>
      </c>
      <c r="P101" t="s">
        <v>3477</v>
      </c>
      <c r="Q101">
        <v>18</v>
      </c>
      <c r="R101" s="13">
        <v>6450</v>
      </c>
      <c r="S101" s="13">
        <v>4515</v>
      </c>
    </row>
    <row r="102" spans="1:19">
      <c r="A102" s="9" t="s">
        <v>22</v>
      </c>
      <c r="B102" s="9" t="s">
        <v>27</v>
      </c>
      <c r="C102" s="9" t="s">
        <v>58</v>
      </c>
      <c r="D102" t="s">
        <v>204</v>
      </c>
      <c r="F102" s="12" t="s">
        <v>1606</v>
      </c>
      <c r="G102" s="10" t="s">
        <v>269</v>
      </c>
      <c r="H102" s="10" t="s">
        <v>269</v>
      </c>
      <c r="K102" t="s">
        <v>19</v>
      </c>
      <c r="L102" t="s">
        <v>20</v>
      </c>
      <c r="M102" s="9">
        <v>7418202</v>
      </c>
      <c r="N102" t="s">
        <v>3477</v>
      </c>
      <c r="O102">
        <v>18</v>
      </c>
      <c r="P102" t="s">
        <v>3477</v>
      </c>
      <c r="Q102">
        <v>18</v>
      </c>
      <c r="R102" s="13">
        <v>6450</v>
      </c>
      <c r="S102" s="13">
        <v>4515</v>
      </c>
    </row>
    <row r="103" spans="1:19">
      <c r="A103" s="9" t="s">
        <v>22</v>
      </c>
      <c r="B103" s="9" t="s">
        <v>27</v>
      </c>
      <c r="C103" s="9" t="s">
        <v>58</v>
      </c>
      <c r="D103" t="s">
        <v>204</v>
      </c>
      <c r="F103" s="12" t="s">
        <v>1607</v>
      </c>
      <c r="G103" s="10" t="s">
        <v>269</v>
      </c>
      <c r="H103" s="10" t="s">
        <v>269</v>
      </c>
      <c r="K103" t="s">
        <v>19</v>
      </c>
      <c r="L103" t="s">
        <v>20</v>
      </c>
      <c r="M103" s="9">
        <v>7418202</v>
      </c>
      <c r="N103" t="s">
        <v>3477</v>
      </c>
      <c r="O103">
        <v>18</v>
      </c>
      <c r="P103" t="s">
        <v>3477</v>
      </c>
      <c r="Q103">
        <v>18</v>
      </c>
      <c r="R103" s="13">
        <v>4300</v>
      </c>
      <c r="S103" s="13">
        <v>3010</v>
      </c>
    </row>
    <row r="104" spans="1:19">
      <c r="A104" s="9" t="s">
        <v>22</v>
      </c>
      <c r="B104" s="9" t="s">
        <v>27</v>
      </c>
      <c r="C104" s="9" t="s">
        <v>58</v>
      </c>
      <c r="D104" t="s">
        <v>204</v>
      </c>
      <c r="F104" s="12" t="s">
        <v>1608</v>
      </c>
      <c r="G104" s="10" t="s">
        <v>270</v>
      </c>
      <c r="H104" s="10" t="s">
        <v>270</v>
      </c>
      <c r="K104" t="s">
        <v>19</v>
      </c>
      <c r="L104" t="s">
        <v>20</v>
      </c>
      <c r="M104" s="9">
        <v>7418202</v>
      </c>
      <c r="N104" t="s">
        <v>3477</v>
      </c>
      <c r="O104">
        <v>18</v>
      </c>
      <c r="P104" t="s">
        <v>3477</v>
      </c>
      <c r="Q104">
        <v>18</v>
      </c>
      <c r="R104" s="13">
        <v>6020</v>
      </c>
      <c r="S104" s="13">
        <v>4214</v>
      </c>
    </row>
    <row r="105" spans="1:19">
      <c r="A105" s="9" t="s">
        <v>22</v>
      </c>
      <c r="B105" s="9" t="s">
        <v>27</v>
      </c>
      <c r="C105" s="9" t="s">
        <v>58</v>
      </c>
      <c r="D105" t="s">
        <v>204</v>
      </c>
      <c r="F105" s="12" t="s">
        <v>1609</v>
      </c>
      <c r="G105" s="10" t="s">
        <v>270</v>
      </c>
      <c r="H105" s="10" t="s">
        <v>270</v>
      </c>
      <c r="K105" t="s">
        <v>19</v>
      </c>
      <c r="L105" t="s">
        <v>20</v>
      </c>
      <c r="M105" s="9">
        <v>7418202</v>
      </c>
      <c r="N105" t="s">
        <v>3477</v>
      </c>
      <c r="O105">
        <v>18</v>
      </c>
      <c r="P105" t="s">
        <v>3477</v>
      </c>
      <c r="Q105">
        <v>18</v>
      </c>
      <c r="R105" s="13">
        <v>5380</v>
      </c>
      <c r="S105" s="13">
        <v>3765.9999999999995</v>
      </c>
    </row>
    <row r="106" spans="1:19">
      <c r="A106" s="9" t="s">
        <v>22</v>
      </c>
      <c r="B106" s="9" t="s">
        <v>27</v>
      </c>
      <c r="C106" s="9" t="s">
        <v>58</v>
      </c>
      <c r="D106" t="s">
        <v>204</v>
      </c>
      <c r="F106" s="12" t="s">
        <v>1610</v>
      </c>
      <c r="G106" s="10" t="s">
        <v>270</v>
      </c>
      <c r="H106" s="10" t="s">
        <v>270</v>
      </c>
      <c r="K106" t="s">
        <v>19</v>
      </c>
      <c r="L106" t="s">
        <v>20</v>
      </c>
      <c r="M106" s="9">
        <v>7418202</v>
      </c>
      <c r="N106" t="s">
        <v>3477</v>
      </c>
      <c r="O106">
        <v>18</v>
      </c>
      <c r="P106" t="s">
        <v>3477</v>
      </c>
      <c r="Q106">
        <v>18</v>
      </c>
      <c r="R106" s="13">
        <v>4300</v>
      </c>
      <c r="S106" s="13">
        <v>3010</v>
      </c>
    </row>
    <row r="107" spans="1:19">
      <c r="A107" s="9" t="s">
        <v>22</v>
      </c>
      <c r="B107" s="9" t="s">
        <v>27</v>
      </c>
      <c r="C107" s="9" t="s">
        <v>58</v>
      </c>
      <c r="D107" t="s">
        <v>204</v>
      </c>
      <c r="F107" s="12" t="s">
        <v>1611</v>
      </c>
      <c r="G107" s="10" t="s">
        <v>271</v>
      </c>
      <c r="H107" s="10" t="s">
        <v>271</v>
      </c>
      <c r="K107" t="s">
        <v>19</v>
      </c>
      <c r="L107" t="s">
        <v>20</v>
      </c>
      <c r="M107" s="9">
        <v>7418202</v>
      </c>
      <c r="N107" t="s">
        <v>3477</v>
      </c>
      <c r="O107">
        <v>18</v>
      </c>
      <c r="P107" t="s">
        <v>3477</v>
      </c>
      <c r="Q107">
        <v>18</v>
      </c>
      <c r="R107" s="13">
        <v>6020</v>
      </c>
      <c r="S107" s="13">
        <v>4214</v>
      </c>
    </row>
    <row r="108" spans="1:19">
      <c r="A108" s="9" t="s">
        <v>22</v>
      </c>
      <c r="B108" s="9" t="s">
        <v>27</v>
      </c>
      <c r="C108" s="9" t="s">
        <v>64</v>
      </c>
      <c r="D108" t="s">
        <v>204</v>
      </c>
      <c r="F108" s="12" t="s">
        <v>1612</v>
      </c>
      <c r="G108" s="10" t="s">
        <v>272</v>
      </c>
      <c r="H108" s="10" t="s">
        <v>272</v>
      </c>
      <c r="K108" t="s">
        <v>19</v>
      </c>
      <c r="L108" t="s">
        <v>20</v>
      </c>
      <c r="M108" s="9">
        <v>39229</v>
      </c>
      <c r="N108" t="s">
        <v>3477</v>
      </c>
      <c r="O108">
        <v>18</v>
      </c>
      <c r="P108" t="s">
        <v>3477</v>
      </c>
      <c r="Q108">
        <v>18</v>
      </c>
      <c r="R108" s="13">
        <v>6000</v>
      </c>
      <c r="S108" s="13">
        <v>4200</v>
      </c>
    </row>
    <row r="109" spans="1:19">
      <c r="A109" s="9" t="s">
        <v>24</v>
      </c>
      <c r="B109" s="9" t="s">
        <v>27</v>
      </c>
      <c r="C109" s="9" t="s">
        <v>64</v>
      </c>
      <c r="D109" t="s">
        <v>204</v>
      </c>
      <c r="F109" s="12" t="s">
        <v>1613</v>
      </c>
      <c r="G109" s="10" t="s">
        <v>272</v>
      </c>
      <c r="H109" s="10" t="s">
        <v>272</v>
      </c>
      <c r="K109" t="s">
        <v>19</v>
      </c>
      <c r="L109" t="s">
        <v>20</v>
      </c>
      <c r="M109" s="9">
        <v>39229</v>
      </c>
      <c r="N109" t="s">
        <v>3477</v>
      </c>
      <c r="O109">
        <v>18</v>
      </c>
      <c r="P109" t="s">
        <v>3477</v>
      </c>
      <c r="Q109">
        <v>18</v>
      </c>
      <c r="R109" s="13">
        <v>3130</v>
      </c>
      <c r="S109" s="13">
        <v>2347.5</v>
      </c>
    </row>
    <row r="110" spans="1:19">
      <c r="A110" s="9" t="s">
        <v>22</v>
      </c>
      <c r="B110" s="9" t="s">
        <v>27</v>
      </c>
      <c r="C110" s="9" t="s">
        <v>64</v>
      </c>
      <c r="D110" t="s">
        <v>204</v>
      </c>
      <c r="F110" s="12" t="s">
        <v>1614</v>
      </c>
      <c r="G110" s="10" t="s">
        <v>272</v>
      </c>
      <c r="H110" s="10" t="s">
        <v>272</v>
      </c>
      <c r="K110" t="s">
        <v>19</v>
      </c>
      <c r="L110" t="s">
        <v>20</v>
      </c>
      <c r="M110" s="9">
        <v>39229</v>
      </c>
      <c r="N110" t="s">
        <v>3477</v>
      </c>
      <c r="O110">
        <v>18</v>
      </c>
      <c r="P110" t="s">
        <v>3477</v>
      </c>
      <c r="Q110">
        <v>18</v>
      </c>
      <c r="R110" s="13">
        <v>2525</v>
      </c>
      <c r="S110" s="13">
        <v>1767.5</v>
      </c>
    </row>
    <row r="111" spans="1:19">
      <c r="A111" s="9" t="s">
        <v>24</v>
      </c>
      <c r="B111" s="9" t="s">
        <v>27</v>
      </c>
      <c r="C111" s="9" t="s">
        <v>64</v>
      </c>
      <c r="D111" t="s">
        <v>204</v>
      </c>
      <c r="F111" s="12" t="s">
        <v>1615</v>
      </c>
      <c r="G111" s="10" t="s">
        <v>273</v>
      </c>
      <c r="H111" s="10" t="s">
        <v>273</v>
      </c>
      <c r="K111" t="s">
        <v>19</v>
      </c>
      <c r="L111" t="s">
        <v>20</v>
      </c>
      <c r="M111" s="9">
        <v>39229</v>
      </c>
      <c r="N111" t="s">
        <v>3477</v>
      </c>
      <c r="O111">
        <v>18</v>
      </c>
      <c r="P111" t="s">
        <v>3477</v>
      </c>
      <c r="Q111">
        <v>18</v>
      </c>
      <c r="R111" s="13">
        <v>2500</v>
      </c>
      <c r="S111" s="13">
        <v>1875</v>
      </c>
    </row>
    <row r="112" spans="1:19">
      <c r="A112" s="9" t="s">
        <v>22</v>
      </c>
      <c r="B112" s="9" t="s">
        <v>27</v>
      </c>
      <c r="C112" s="9" t="s">
        <v>65</v>
      </c>
      <c r="D112" t="s">
        <v>204</v>
      </c>
      <c r="F112" s="12" t="s">
        <v>1616</v>
      </c>
      <c r="G112" s="10" t="s">
        <v>274</v>
      </c>
      <c r="H112" s="10" t="s">
        <v>274</v>
      </c>
      <c r="K112" t="s">
        <v>19</v>
      </c>
      <c r="L112" t="s">
        <v>20</v>
      </c>
      <c r="M112" s="9">
        <v>39229</v>
      </c>
      <c r="N112" t="s">
        <v>3477</v>
      </c>
      <c r="O112">
        <v>18</v>
      </c>
      <c r="P112" t="s">
        <v>3477</v>
      </c>
      <c r="Q112">
        <v>18</v>
      </c>
      <c r="R112" s="13">
        <v>3300</v>
      </c>
      <c r="S112" s="13">
        <v>2310</v>
      </c>
    </row>
    <row r="113" spans="1:19">
      <c r="A113" s="9" t="s">
        <v>22</v>
      </c>
      <c r="B113" s="9" t="s">
        <v>27</v>
      </c>
      <c r="C113" s="9" t="s">
        <v>66</v>
      </c>
      <c r="D113" t="s">
        <v>204</v>
      </c>
      <c r="F113" s="12" t="s">
        <v>1617</v>
      </c>
      <c r="G113" s="10" t="s">
        <v>274</v>
      </c>
      <c r="H113" s="10" t="s">
        <v>274</v>
      </c>
      <c r="K113" t="s">
        <v>19</v>
      </c>
      <c r="L113" t="s">
        <v>20</v>
      </c>
      <c r="M113" s="9">
        <v>7418202</v>
      </c>
      <c r="N113" t="s">
        <v>3477</v>
      </c>
      <c r="O113">
        <v>18</v>
      </c>
      <c r="P113" t="s">
        <v>3477</v>
      </c>
      <c r="Q113">
        <v>18</v>
      </c>
      <c r="R113" s="13">
        <v>5400</v>
      </c>
      <c r="S113" s="13">
        <v>3779.9999999999995</v>
      </c>
    </row>
    <row r="114" spans="1:19">
      <c r="A114" s="9" t="s">
        <v>22</v>
      </c>
      <c r="B114" s="9" t="s">
        <v>27</v>
      </c>
      <c r="C114" s="9" t="s">
        <v>66</v>
      </c>
      <c r="D114" t="s">
        <v>204</v>
      </c>
      <c r="F114" s="12" t="s">
        <v>1618</v>
      </c>
      <c r="G114" s="10" t="s">
        <v>274</v>
      </c>
      <c r="H114" s="10" t="s">
        <v>274</v>
      </c>
      <c r="K114" t="s">
        <v>19</v>
      </c>
      <c r="L114" t="s">
        <v>20</v>
      </c>
      <c r="M114" s="9">
        <v>7418202</v>
      </c>
      <c r="N114" t="s">
        <v>3477</v>
      </c>
      <c r="O114">
        <v>18</v>
      </c>
      <c r="P114" t="s">
        <v>3477</v>
      </c>
      <c r="Q114">
        <v>18</v>
      </c>
      <c r="R114" s="13">
        <v>5400</v>
      </c>
      <c r="S114" s="13">
        <v>3779.9999999999995</v>
      </c>
    </row>
    <row r="115" spans="1:19">
      <c r="A115" s="9" t="s">
        <v>22</v>
      </c>
      <c r="B115" s="9" t="s">
        <v>27</v>
      </c>
      <c r="C115" s="9" t="s">
        <v>66</v>
      </c>
      <c r="D115" t="s">
        <v>204</v>
      </c>
      <c r="F115" s="12" t="s">
        <v>1619</v>
      </c>
      <c r="G115" s="10" t="s">
        <v>274</v>
      </c>
      <c r="H115" s="10" t="s">
        <v>274</v>
      </c>
      <c r="K115" t="s">
        <v>19</v>
      </c>
      <c r="L115" t="s">
        <v>20</v>
      </c>
      <c r="M115" s="9">
        <v>7418202</v>
      </c>
      <c r="N115" t="s">
        <v>3477</v>
      </c>
      <c r="O115">
        <v>18</v>
      </c>
      <c r="P115" t="s">
        <v>3477</v>
      </c>
      <c r="Q115">
        <v>18</v>
      </c>
      <c r="R115" s="13">
        <v>6430</v>
      </c>
      <c r="S115" s="13">
        <v>4501</v>
      </c>
    </row>
    <row r="116" spans="1:19">
      <c r="A116" s="9" t="s">
        <v>22</v>
      </c>
      <c r="B116" s="9" t="s">
        <v>27</v>
      </c>
      <c r="C116" s="9" t="s">
        <v>66</v>
      </c>
      <c r="D116" t="s">
        <v>204</v>
      </c>
      <c r="F116" s="12" t="s">
        <v>1620</v>
      </c>
      <c r="G116" s="10" t="s">
        <v>274</v>
      </c>
      <c r="H116" s="10" t="s">
        <v>274</v>
      </c>
      <c r="K116" t="s">
        <v>19</v>
      </c>
      <c r="L116" t="s">
        <v>20</v>
      </c>
      <c r="M116" s="9">
        <v>7418202</v>
      </c>
      <c r="N116" t="s">
        <v>3477</v>
      </c>
      <c r="O116">
        <v>18</v>
      </c>
      <c r="P116" t="s">
        <v>3477</v>
      </c>
      <c r="Q116">
        <v>18</v>
      </c>
      <c r="R116" s="13">
        <v>6400</v>
      </c>
      <c r="S116" s="13">
        <v>4480</v>
      </c>
    </row>
    <row r="117" spans="1:19">
      <c r="A117" s="9" t="s">
        <v>22</v>
      </c>
      <c r="B117" s="9" t="s">
        <v>27</v>
      </c>
      <c r="C117" s="9" t="s">
        <v>66</v>
      </c>
      <c r="D117" t="s">
        <v>204</v>
      </c>
      <c r="F117" s="12" t="s">
        <v>1621</v>
      </c>
      <c r="G117" s="10" t="s">
        <v>274</v>
      </c>
      <c r="H117" s="10" t="s">
        <v>274</v>
      </c>
      <c r="K117" t="s">
        <v>19</v>
      </c>
      <c r="L117" t="s">
        <v>20</v>
      </c>
      <c r="M117" s="9">
        <v>7418202</v>
      </c>
      <c r="N117" t="s">
        <v>3477</v>
      </c>
      <c r="O117">
        <v>18</v>
      </c>
      <c r="P117" t="s">
        <v>3477</v>
      </c>
      <c r="Q117">
        <v>18</v>
      </c>
      <c r="R117" s="13">
        <v>4300</v>
      </c>
      <c r="S117" s="13">
        <v>3010</v>
      </c>
    </row>
    <row r="118" spans="1:19">
      <c r="A118" s="9" t="s">
        <v>22</v>
      </c>
      <c r="B118" s="9" t="s">
        <v>27</v>
      </c>
      <c r="C118" s="9" t="s">
        <v>66</v>
      </c>
      <c r="D118" t="s">
        <v>204</v>
      </c>
      <c r="F118" s="12" t="s">
        <v>1622</v>
      </c>
      <c r="G118" s="10" t="s">
        <v>275</v>
      </c>
      <c r="H118" s="10" t="s">
        <v>275</v>
      </c>
      <c r="K118" t="s">
        <v>19</v>
      </c>
      <c r="L118" t="s">
        <v>20</v>
      </c>
      <c r="M118" s="9">
        <v>7418202</v>
      </c>
      <c r="N118" t="s">
        <v>3477</v>
      </c>
      <c r="O118">
        <v>18</v>
      </c>
      <c r="P118" t="s">
        <v>3477</v>
      </c>
      <c r="Q118">
        <v>18</v>
      </c>
      <c r="R118" s="13">
        <v>6000</v>
      </c>
      <c r="S118" s="13">
        <v>4200</v>
      </c>
    </row>
    <row r="119" spans="1:19">
      <c r="A119" s="9" t="s">
        <v>22</v>
      </c>
      <c r="B119" s="9" t="s">
        <v>30</v>
      </c>
      <c r="C119" s="9" t="s">
        <v>50</v>
      </c>
      <c r="D119" t="s">
        <v>204</v>
      </c>
      <c r="F119" s="12" t="s">
        <v>1623</v>
      </c>
      <c r="G119" s="10" t="s">
        <v>276</v>
      </c>
      <c r="H119" s="10" t="s">
        <v>276</v>
      </c>
      <c r="K119" t="s">
        <v>19</v>
      </c>
      <c r="L119" t="s">
        <v>20</v>
      </c>
      <c r="M119" s="9">
        <v>8481909</v>
      </c>
      <c r="N119" t="s">
        <v>3477</v>
      </c>
      <c r="O119">
        <v>18</v>
      </c>
      <c r="P119" t="s">
        <v>3477</v>
      </c>
      <c r="Q119">
        <v>18</v>
      </c>
      <c r="R119" s="13">
        <v>963</v>
      </c>
      <c r="S119" s="13">
        <v>674.09999999999991</v>
      </c>
    </row>
    <row r="120" spans="1:19">
      <c r="A120" s="9" t="s">
        <v>22</v>
      </c>
      <c r="B120" s="9" t="s">
        <v>30</v>
      </c>
      <c r="C120" s="9" t="s">
        <v>62</v>
      </c>
      <c r="D120" t="s">
        <v>204</v>
      </c>
      <c r="F120" s="12" t="s">
        <v>1624</v>
      </c>
      <c r="G120" s="10" t="s">
        <v>276</v>
      </c>
      <c r="H120" s="10" t="s">
        <v>276</v>
      </c>
      <c r="K120" t="s">
        <v>19</v>
      </c>
      <c r="L120" t="s">
        <v>20</v>
      </c>
      <c r="M120" s="9">
        <v>8481909</v>
      </c>
      <c r="N120" t="s">
        <v>3477</v>
      </c>
      <c r="O120">
        <v>18</v>
      </c>
      <c r="P120" t="s">
        <v>3477</v>
      </c>
      <c r="Q120">
        <v>18</v>
      </c>
      <c r="R120" s="13">
        <v>814</v>
      </c>
      <c r="S120" s="13">
        <v>569.79999999999995</v>
      </c>
    </row>
    <row r="121" spans="1:19">
      <c r="A121" s="9" t="s">
        <v>22</v>
      </c>
      <c r="B121" s="9" t="s">
        <v>30</v>
      </c>
      <c r="C121" s="9" t="s">
        <v>50</v>
      </c>
      <c r="D121" t="s">
        <v>204</v>
      </c>
      <c r="F121" s="12" t="s">
        <v>1625</v>
      </c>
      <c r="G121" s="10" t="s">
        <v>277</v>
      </c>
      <c r="H121" s="10" t="s">
        <v>277</v>
      </c>
      <c r="K121" t="s">
        <v>19</v>
      </c>
      <c r="L121" t="s">
        <v>20</v>
      </c>
      <c r="M121" s="9">
        <v>8481909</v>
      </c>
      <c r="N121" t="s">
        <v>3477</v>
      </c>
      <c r="O121">
        <v>18</v>
      </c>
      <c r="P121" t="s">
        <v>3477</v>
      </c>
      <c r="Q121">
        <v>18</v>
      </c>
      <c r="R121" s="13">
        <v>437</v>
      </c>
      <c r="S121" s="13">
        <v>305.89999999999998</v>
      </c>
    </row>
    <row r="122" spans="1:19">
      <c r="A122" s="9" t="s">
        <v>22</v>
      </c>
      <c r="B122" s="9" t="s">
        <v>26</v>
      </c>
      <c r="C122" s="9" t="s">
        <v>50</v>
      </c>
      <c r="D122" t="s">
        <v>204</v>
      </c>
      <c r="F122" s="12" t="s">
        <v>1626</v>
      </c>
      <c r="G122" s="10" t="s">
        <v>278</v>
      </c>
      <c r="H122" s="10" t="s">
        <v>278</v>
      </c>
      <c r="K122" t="s">
        <v>19</v>
      </c>
      <c r="L122" t="s">
        <v>20</v>
      </c>
      <c r="M122" s="9">
        <v>74122019</v>
      </c>
      <c r="N122" t="s">
        <v>3477</v>
      </c>
      <c r="O122">
        <v>18</v>
      </c>
      <c r="P122" t="s">
        <v>3477</v>
      </c>
      <c r="Q122">
        <v>18</v>
      </c>
      <c r="R122" s="13">
        <v>1009</v>
      </c>
      <c r="S122" s="13">
        <v>706.3</v>
      </c>
    </row>
    <row r="123" spans="1:19">
      <c r="A123" s="9" t="s">
        <v>22</v>
      </c>
      <c r="B123" s="9" t="s">
        <v>32</v>
      </c>
      <c r="C123" s="9" t="s">
        <v>67</v>
      </c>
      <c r="D123" t="s">
        <v>204</v>
      </c>
      <c r="F123" s="12" t="s">
        <v>1627</v>
      </c>
      <c r="G123" s="10" t="s">
        <v>279</v>
      </c>
      <c r="H123" s="10" t="s">
        <v>279</v>
      </c>
      <c r="K123" t="s">
        <v>19</v>
      </c>
      <c r="L123" t="s">
        <v>20</v>
      </c>
      <c r="M123" s="9">
        <v>8481809</v>
      </c>
      <c r="N123" t="s">
        <v>3477</v>
      </c>
      <c r="O123">
        <v>18</v>
      </c>
      <c r="P123" t="s">
        <v>3477</v>
      </c>
      <c r="Q123">
        <v>18</v>
      </c>
      <c r="R123" s="13">
        <v>62950</v>
      </c>
      <c r="S123" s="13">
        <v>44065</v>
      </c>
    </row>
    <row r="124" spans="1:19">
      <c r="A124" s="9" t="s">
        <v>23</v>
      </c>
      <c r="B124" s="9" t="s">
        <v>26</v>
      </c>
      <c r="C124" s="9" t="s">
        <v>43</v>
      </c>
      <c r="D124" t="s">
        <v>204</v>
      </c>
      <c r="F124" s="12" t="s">
        <v>1628</v>
      </c>
      <c r="G124" s="10" t="s">
        <v>280</v>
      </c>
      <c r="H124" s="10" t="s">
        <v>280</v>
      </c>
      <c r="K124" t="s">
        <v>19</v>
      </c>
      <c r="L124" t="s">
        <v>20</v>
      </c>
      <c r="M124" s="9">
        <v>69101</v>
      </c>
      <c r="N124" t="s">
        <v>3477</v>
      </c>
      <c r="O124">
        <v>18</v>
      </c>
      <c r="P124" t="s">
        <v>3477</v>
      </c>
      <c r="Q124">
        <v>18</v>
      </c>
      <c r="R124" s="13">
        <v>63250</v>
      </c>
      <c r="S124" s="13">
        <v>37950</v>
      </c>
    </row>
    <row r="125" spans="1:19">
      <c r="A125" s="9" t="s">
        <v>23</v>
      </c>
      <c r="B125" s="9" t="s">
        <v>26</v>
      </c>
      <c r="C125" s="9" t="s">
        <v>43</v>
      </c>
      <c r="D125" t="s">
        <v>204</v>
      </c>
      <c r="F125" s="12" t="s">
        <v>1629</v>
      </c>
      <c r="G125" s="10" t="s">
        <v>281</v>
      </c>
      <c r="H125" s="10" t="s">
        <v>281</v>
      </c>
      <c r="K125" t="s">
        <v>19</v>
      </c>
      <c r="L125" t="s">
        <v>20</v>
      </c>
      <c r="M125" s="9">
        <v>69101</v>
      </c>
      <c r="N125" t="s">
        <v>3477</v>
      </c>
      <c r="O125">
        <v>18</v>
      </c>
      <c r="P125" t="s">
        <v>3477</v>
      </c>
      <c r="Q125">
        <v>18</v>
      </c>
      <c r="R125" s="13">
        <v>55000</v>
      </c>
      <c r="S125" s="13">
        <v>33000</v>
      </c>
    </row>
    <row r="126" spans="1:19">
      <c r="A126" s="9" t="s">
        <v>22</v>
      </c>
      <c r="B126" s="9" t="s">
        <v>29</v>
      </c>
      <c r="C126" s="9" t="s">
        <v>68</v>
      </c>
      <c r="D126" t="s">
        <v>204</v>
      </c>
      <c r="F126" s="12" t="s">
        <v>1630</v>
      </c>
      <c r="G126" s="10" t="s">
        <v>282</v>
      </c>
      <c r="H126" s="10" t="s">
        <v>282</v>
      </c>
      <c r="K126" t="s">
        <v>19</v>
      </c>
      <c r="L126" t="s">
        <v>20</v>
      </c>
      <c r="M126" s="9">
        <v>39221</v>
      </c>
      <c r="N126" t="s">
        <v>3477</v>
      </c>
      <c r="O126">
        <v>18</v>
      </c>
      <c r="P126" t="s">
        <v>3477</v>
      </c>
      <c r="Q126">
        <v>18</v>
      </c>
      <c r="R126" s="13">
        <v>57988</v>
      </c>
      <c r="S126" s="13">
        <v>40591.599999999999</v>
      </c>
    </row>
    <row r="127" spans="1:19">
      <c r="A127" s="9" t="s">
        <v>22</v>
      </c>
      <c r="B127" s="9" t="s">
        <v>29</v>
      </c>
      <c r="C127" s="9" t="s">
        <v>68</v>
      </c>
      <c r="D127" t="s">
        <v>204</v>
      </c>
      <c r="F127" s="12" t="s">
        <v>1631</v>
      </c>
      <c r="G127" s="10" t="s">
        <v>283</v>
      </c>
      <c r="H127" s="10" t="s">
        <v>283</v>
      </c>
      <c r="K127" t="s">
        <v>19</v>
      </c>
      <c r="L127" t="s">
        <v>20</v>
      </c>
      <c r="M127" s="9">
        <v>39221</v>
      </c>
      <c r="N127" t="s">
        <v>3477</v>
      </c>
      <c r="O127">
        <v>18</v>
      </c>
      <c r="P127" t="s">
        <v>3477</v>
      </c>
      <c r="Q127">
        <v>18</v>
      </c>
      <c r="R127" s="13">
        <v>54521</v>
      </c>
      <c r="S127" s="13">
        <v>38164.699999999997</v>
      </c>
    </row>
    <row r="128" spans="1:19">
      <c r="A128" s="9" t="s">
        <v>23</v>
      </c>
      <c r="B128" s="9" t="s">
        <v>29</v>
      </c>
      <c r="C128" s="9" t="s">
        <v>69</v>
      </c>
      <c r="D128" t="s">
        <v>204</v>
      </c>
      <c r="F128" s="12" t="s">
        <v>1632</v>
      </c>
      <c r="G128" s="10" t="s">
        <v>284</v>
      </c>
      <c r="H128" s="10" t="s">
        <v>284</v>
      </c>
      <c r="K128" t="s">
        <v>19</v>
      </c>
      <c r="L128" t="s">
        <v>20</v>
      </c>
      <c r="M128" s="9">
        <v>9019102</v>
      </c>
      <c r="N128" t="s">
        <v>3477</v>
      </c>
      <c r="O128">
        <v>18</v>
      </c>
      <c r="P128" t="s">
        <v>3477</v>
      </c>
      <c r="Q128">
        <v>18</v>
      </c>
      <c r="R128" s="13">
        <v>142260</v>
      </c>
      <c r="S128" s="13">
        <v>85356</v>
      </c>
    </row>
    <row r="129" spans="1:19">
      <c r="A129" s="9" t="s">
        <v>22</v>
      </c>
      <c r="B129" s="9" t="s">
        <v>26</v>
      </c>
      <c r="C129" s="9" t="s">
        <v>70</v>
      </c>
      <c r="D129" t="s">
        <v>204</v>
      </c>
      <c r="F129" s="12" t="s">
        <v>1633</v>
      </c>
      <c r="G129" s="10" t="s">
        <v>285</v>
      </c>
      <c r="H129" s="10" t="s">
        <v>285</v>
      </c>
      <c r="K129" t="s">
        <v>19</v>
      </c>
      <c r="L129" t="s">
        <v>20</v>
      </c>
      <c r="M129" s="9">
        <v>69101</v>
      </c>
      <c r="N129" t="s">
        <v>3477</v>
      </c>
      <c r="O129">
        <v>18</v>
      </c>
      <c r="P129" t="s">
        <v>3477</v>
      </c>
      <c r="Q129">
        <v>18</v>
      </c>
      <c r="R129" s="13">
        <v>8570</v>
      </c>
      <c r="S129" s="13">
        <v>5999</v>
      </c>
    </row>
    <row r="130" spans="1:19">
      <c r="A130" s="9" t="s">
        <v>22</v>
      </c>
      <c r="B130" s="9" t="s">
        <v>26</v>
      </c>
      <c r="C130" s="9" t="s">
        <v>70</v>
      </c>
      <c r="D130" t="s">
        <v>204</v>
      </c>
      <c r="F130" s="12" t="s">
        <v>1634</v>
      </c>
      <c r="G130" s="10" t="s">
        <v>286</v>
      </c>
      <c r="H130" s="10" t="s">
        <v>286</v>
      </c>
      <c r="K130" t="s">
        <v>19</v>
      </c>
      <c r="L130" t="s">
        <v>20</v>
      </c>
      <c r="M130" s="9">
        <v>69101</v>
      </c>
      <c r="N130" t="s">
        <v>3477</v>
      </c>
      <c r="O130">
        <v>18</v>
      </c>
      <c r="P130" t="s">
        <v>3477</v>
      </c>
      <c r="Q130">
        <v>18</v>
      </c>
      <c r="R130" s="13">
        <v>6210</v>
      </c>
      <c r="S130" s="13">
        <v>4347</v>
      </c>
    </row>
    <row r="131" spans="1:19">
      <c r="A131" s="9" t="s">
        <v>22</v>
      </c>
      <c r="B131" s="9" t="s">
        <v>26</v>
      </c>
      <c r="C131" s="9" t="s">
        <v>71</v>
      </c>
      <c r="D131" t="s">
        <v>204</v>
      </c>
      <c r="F131" s="12" t="s">
        <v>1635</v>
      </c>
      <c r="G131" s="10" t="s">
        <v>287</v>
      </c>
      <c r="H131" s="10" t="s">
        <v>287</v>
      </c>
      <c r="K131" t="s">
        <v>19</v>
      </c>
      <c r="L131" t="s">
        <v>20</v>
      </c>
      <c r="M131" s="9">
        <v>69101</v>
      </c>
      <c r="N131" t="s">
        <v>3477</v>
      </c>
      <c r="O131">
        <v>18</v>
      </c>
      <c r="P131" t="s">
        <v>3477</v>
      </c>
      <c r="Q131">
        <v>18</v>
      </c>
      <c r="R131" s="13">
        <v>10390</v>
      </c>
      <c r="S131" s="13">
        <v>7272.9999999999991</v>
      </c>
    </row>
    <row r="132" spans="1:19">
      <c r="A132" s="9" t="s">
        <v>22</v>
      </c>
      <c r="B132" s="9" t="s">
        <v>26</v>
      </c>
      <c r="C132" s="9" t="s">
        <v>72</v>
      </c>
      <c r="D132" t="s">
        <v>204</v>
      </c>
      <c r="F132" s="12" t="s">
        <v>1636</v>
      </c>
      <c r="G132" s="10" t="s">
        <v>288</v>
      </c>
      <c r="H132" s="10" t="s">
        <v>288</v>
      </c>
      <c r="K132" t="s">
        <v>19</v>
      </c>
      <c r="L132" t="s">
        <v>20</v>
      </c>
      <c r="M132" s="9">
        <v>7418202</v>
      </c>
      <c r="N132" t="s">
        <v>3477</v>
      </c>
      <c r="O132">
        <v>18</v>
      </c>
      <c r="P132" t="s">
        <v>3477</v>
      </c>
      <c r="Q132">
        <v>18</v>
      </c>
      <c r="R132" s="13">
        <v>66530</v>
      </c>
      <c r="S132" s="13">
        <v>46571</v>
      </c>
    </row>
    <row r="133" spans="1:19">
      <c r="A133" s="9" t="s">
        <v>22</v>
      </c>
      <c r="B133" s="9" t="s">
        <v>29</v>
      </c>
      <c r="C133" s="9" t="s">
        <v>50</v>
      </c>
      <c r="D133" t="s">
        <v>204</v>
      </c>
      <c r="F133" s="12" t="s">
        <v>1637</v>
      </c>
      <c r="G133" s="10" t="s">
        <v>288</v>
      </c>
      <c r="H133" s="10" t="s">
        <v>288</v>
      </c>
      <c r="K133" t="s">
        <v>19</v>
      </c>
      <c r="L133" t="s">
        <v>20</v>
      </c>
      <c r="M133" s="9">
        <v>7418202</v>
      </c>
      <c r="N133" t="s">
        <v>3477</v>
      </c>
      <c r="O133">
        <v>18</v>
      </c>
      <c r="P133" t="s">
        <v>3477</v>
      </c>
      <c r="Q133">
        <v>18</v>
      </c>
      <c r="R133" s="13">
        <v>12580</v>
      </c>
      <c r="S133" s="13">
        <v>8806</v>
      </c>
    </row>
    <row r="134" spans="1:19">
      <c r="A134" s="9" t="s">
        <v>22</v>
      </c>
      <c r="B134" s="9" t="s">
        <v>29</v>
      </c>
      <c r="C134" s="9" t="s">
        <v>73</v>
      </c>
      <c r="D134" t="s">
        <v>204</v>
      </c>
      <c r="F134" s="12" t="s">
        <v>1638</v>
      </c>
      <c r="G134" s="10" t="s">
        <v>288</v>
      </c>
      <c r="H134" s="10" t="s">
        <v>288</v>
      </c>
      <c r="K134" t="s">
        <v>19</v>
      </c>
      <c r="L134" t="s">
        <v>20</v>
      </c>
      <c r="M134" s="9">
        <v>7418202</v>
      </c>
      <c r="N134" t="s">
        <v>3477</v>
      </c>
      <c r="O134">
        <v>18</v>
      </c>
      <c r="P134" t="s">
        <v>3477</v>
      </c>
      <c r="Q134">
        <v>18</v>
      </c>
      <c r="R134" s="13">
        <v>10902</v>
      </c>
      <c r="S134" s="13">
        <v>7631.4</v>
      </c>
    </row>
    <row r="135" spans="1:19">
      <c r="A135" s="9" t="s">
        <v>22</v>
      </c>
      <c r="B135" s="9" t="s">
        <v>29</v>
      </c>
      <c r="C135" s="9" t="s">
        <v>50</v>
      </c>
      <c r="D135" t="s">
        <v>204</v>
      </c>
      <c r="F135" s="12" t="s">
        <v>1639</v>
      </c>
      <c r="G135" s="10" t="s">
        <v>289</v>
      </c>
      <c r="H135" s="10" t="s">
        <v>289</v>
      </c>
      <c r="K135" t="s">
        <v>19</v>
      </c>
      <c r="L135" t="s">
        <v>20</v>
      </c>
      <c r="M135" s="9">
        <v>7418202</v>
      </c>
      <c r="N135" t="s">
        <v>3477</v>
      </c>
      <c r="O135">
        <v>18</v>
      </c>
      <c r="P135" t="s">
        <v>3477</v>
      </c>
      <c r="Q135">
        <v>18</v>
      </c>
      <c r="R135" s="13">
        <v>14400</v>
      </c>
      <c r="S135" s="13">
        <v>10080</v>
      </c>
    </row>
    <row r="136" spans="1:19">
      <c r="A136" s="9" t="s">
        <v>24</v>
      </c>
      <c r="B136" s="9" t="s">
        <v>27</v>
      </c>
      <c r="C136" s="9" t="s">
        <v>46</v>
      </c>
      <c r="D136" t="s">
        <v>204</v>
      </c>
      <c r="F136" s="12" t="s">
        <v>1640</v>
      </c>
      <c r="G136" s="10" t="s">
        <v>290</v>
      </c>
      <c r="H136" s="10" t="s">
        <v>290</v>
      </c>
      <c r="K136" t="s">
        <v>19</v>
      </c>
      <c r="L136" t="s">
        <v>20</v>
      </c>
      <c r="M136" s="9">
        <v>83025</v>
      </c>
      <c r="N136" t="s">
        <v>3477</v>
      </c>
      <c r="O136">
        <v>18</v>
      </c>
      <c r="P136" t="s">
        <v>3477</v>
      </c>
      <c r="Q136">
        <v>18</v>
      </c>
      <c r="R136" s="13">
        <v>9500</v>
      </c>
      <c r="S136" s="13">
        <v>7125</v>
      </c>
    </row>
    <row r="137" spans="1:19">
      <c r="A137" s="9" t="s">
        <v>24</v>
      </c>
      <c r="B137" s="9" t="s">
        <v>27</v>
      </c>
      <c r="C137" s="9" t="s">
        <v>45</v>
      </c>
      <c r="D137" t="s">
        <v>204</v>
      </c>
      <c r="F137" s="12" t="s">
        <v>1641</v>
      </c>
      <c r="G137" s="10" t="s">
        <v>291</v>
      </c>
      <c r="H137" s="10" t="s">
        <v>291</v>
      </c>
      <c r="K137" t="s">
        <v>19</v>
      </c>
      <c r="L137" t="s">
        <v>20</v>
      </c>
      <c r="M137" s="9">
        <v>73249</v>
      </c>
      <c r="N137" t="s">
        <v>3477</v>
      </c>
      <c r="O137">
        <v>18</v>
      </c>
      <c r="P137" t="s">
        <v>3477</v>
      </c>
      <c r="Q137">
        <v>18</v>
      </c>
      <c r="R137" s="13">
        <v>2320</v>
      </c>
      <c r="S137" s="13">
        <v>1740</v>
      </c>
    </row>
    <row r="138" spans="1:19">
      <c r="A138" s="9" t="s">
        <v>24</v>
      </c>
      <c r="B138" s="9" t="s">
        <v>27</v>
      </c>
      <c r="C138" s="9" t="s">
        <v>74</v>
      </c>
      <c r="D138" t="s">
        <v>204</v>
      </c>
      <c r="F138" s="12" t="s">
        <v>1642</v>
      </c>
      <c r="G138" s="10" t="s">
        <v>292</v>
      </c>
      <c r="H138" s="10" t="s">
        <v>292</v>
      </c>
      <c r="K138" t="s">
        <v>19</v>
      </c>
      <c r="L138" t="s">
        <v>20</v>
      </c>
      <c r="M138" s="9">
        <v>73249</v>
      </c>
      <c r="N138" t="s">
        <v>3477</v>
      </c>
      <c r="O138">
        <v>18</v>
      </c>
      <c r="P138" t="s">
        <v>3477</v>
      </c>
      <c r="Q138">
        <v>18</v>
      </c>
      <c r="R138" s="13">
        <v>2990</v>
      </c>
      <c r="S138" s="13">
        <v>2242.5</v>
      </c>
    </row>
    <row r="139" spans="1:19">
      <c r="A139" s="9" t="s">
        <v>22</v>
      </c>
      <c r="B139" s="9" t="s">
        <v>26</v>
      </c>
      <c r="C139" s="9" t="s">
        <v>72</v>
      </c>
      <c r="D139" t="s">
        <v>204</v>
      </c>
      <c r="F139" s="12" t="s">
        <v>1643</v>
      </c>
      <c r="G139" s="10" t="s">
        <v>293</v>
      </c>
      <c r="H139" s="10" t="s">
        <v>293</v>
      </c>
      <c r="K139" t="s">
        <v>19</v>
      </c>
      <c r="L139" t="s">
        <v>20</v>
      </c>
      <c r="M139" s="9">
        <v>69101</v>
      </c>
      <c r="N139" t="s">
        <v>3477</v>
      </c>
      <c r="O139">
        <v>18</v>
      </c>
      <c r="P139" t="s">
        <v>3477</v>
      </c>
      <c r="Q139">
        <v>18</v>
      </c>
      <c r="R139" s="13">
        <v>23700</v>
      </c>
      <c r="S139" s="13">
        <v>16590</v>
      </c>
    </row>
    <row r="140" spans="1:19">
      <c r="A140" s="9" t="s">
        <v>22</v>
      </c>
      <c r="B140" s="9" t="s">
        <v>26</v>
      </c>
      <c r="C140" s="9" t="s">
        <v>72</v>
      </c>
      <c r="D140" t="s">
        <v>204</v>
      </c>
      <c r="F140" s="12" t="s">
        <v>1644</v>
      </c>
      <c r="G140" s="10" t="s">
        <v>294</v>
      </c>
      <c r="H140" s="10" t="s">
        <v>294</v>
      </c>
      <c r="K140" t="s">
        <v>19</v>
      </c>
      <c r="L140" t="s">
        <v>20</v>
      </c>
      <c r="M140" s="9">
        <v>69101</v>
      </c>
      <c r="N140" t="s">
        <v>3477</v>
      </c>
      <c r="O140">
        <v>18</v>
      </c>
      <c r="P140" t="s">
        <v>3477</v>
      </c>
      <c r="Q140">
        <v>18</v>
      </c>
      <c r="R140" s="13">
        <v>18000</v>
      </c>
      <c r="S140" s="13">
        <v>12600</v>
      </c>
    </row>
    <row r="141" spans="1:19">
      <c r="A141" s="9" t="s">
        <v>22</v>
      </c>
      <c r="B141" s="9" t="s">
        <v>26</v>
      </c>
      <c r="C141" s="9" t="s">
        <v>75</v>
      </c>
      <c r="D141" t="s">
        <v>204</v>
      </c>
      <c r="F141" s="12" t="s">
        <v>1645</v>
      </c>
      <c r="G141" s="10" t="s">
        <v>295</v>
      </c>
      <c r="H141" s="10" t="s">
        <v>295</v>
      </c>
      <c r="K141" t="s">
        <v>19</v>
      </c>
      <c r="L141" t="s">
        <v>20</v>
      </c>
      <c r="M141" s="9">
        <v>69101</v>
      </c>
      <c r="N141" t="s">
        <v>3477</v>
      </c>
      <c r="O141">
        <v>18</v>
      </c>
      <c r="P141" t="s">
        <v>3477</v>
      </c>
      <c r="Q141">
        <v>18</v>
      </c>
      <c r="R141" s="13">
        <v>12420</v>
      </c>
      <c r="S141" s="13">
        <v>8694</v>
      </c>
    </row>
    <row r="142" spans="1:19">
      <c r="A142" s="9" t="s">
        <v>22</v>
      </c>
      <c r="B142" s="9" t="s">
        <v>26</v>
      </c>
      <c r="C142" s="9" t="s">
        <v>76</v>
      </c>
      <c r="D142" t="s">
        <v>204</v>
      </c>
      <c r="F142" s="12" t="s">
        <v>1646</v>
      </c>
      <c r="G142" s="10" t="s">
        <v>296</v>
      </c>
      <c r="H142" s="10" t="s">
        <v>296</v>
      </c>
      <c r="K142" t="s">
        <v>19</v>
      </c>
      <c r="L142" t="s">
        <v>20</v>
      </c>
      <c r="M142" s="9">
        <v>39222</v>
      </c>
      <c r="N142" t="s">
        <v>3477</v>
      </c>
      <c r="O142">
        <v>18</v>
      </c>
      <c r="P142" t="s">
        <v>3477</v>
      </c>
      <c r="Q142">
        <v>18</v>
      </c>
      <c r="R142" s="13">
        <v>5700</v>
      </c>
      <c r="S142" s="13">
        <v>3989.9999999999995</v>
      </c>
    </row>
    <row r="143" spans="1:19">
      <c r="A143" s="9" t="s">
        <v>24</v>
      </c>
      <c r="B143" s="9" t="s">
        <v>26</v>
      </c>
      <c r="C143" s="9" t="s">
        <v>77</v>
      </c>
      <c r="D143" t="s">
        <v>204</v>
      </c>
      <c r="F143" s="12" t="s">
        <v>1647</v>
      </c>
      <c r="G143" s="10" t="s">
        <v>297</v>
      </c>
      <c r="H143" s="10" t="s">
        <v>297</v>
      </c>
      <c r="K143" t="s">
        <v>19</v>
      </c>
      <c r="L143" t="s">
        <v>20</v>
      </c>
      <c r="M143" s="9">
        <v>69101</v>
      </c>
      <c r="N143" t="s">
        <v>3477</v>
      </c>
      <c r="O143">
        <v>18</v>
      </c>
      <c r="P143" t="s">
        <v>3477</v>
      </c>
      <c r="Q143">
        <v>18</v>
      </c>
      <c r="R143" s="13">
        <v>25000</v>
      </c>
      <c r="S143" s="13">
        <v>18750</v>
      </c>
    </row>
    <row r="144" spans="1:19">
      <c r="A144" s="9" t="s">
        <v>24</v>
      </c>
      <c r="B144" s="9" t="s">
        <v>26</v>
      </c>
      <c r="C144" s="9" t="s">
        <v>78</v>
      </c>
      <c r="D144" t="s">
        <v>204</v>
      </c>
      <c r="F144" s="12" t="s">
        <v>1648</v>
      </c>
      <c r="G144" s="10" t="s">
        <v>298</v>
      </c>
      <c r="H144" s="10" t="s">
        <v>298</v>
      </c>
      <c r="K144" t="s">
        <v>19</v>
      </c>
      <c r="L144" t="s">
        <v>20</v>
      </c>
      <c r="M144" s="9">
        <v>69101</v>
      </c>
      <c r="N144" t="s">
        <v>3477</v>
      </c>
      <c r="O144">
        <v>18</v>
      </c>
      <c r="P144" t="s">
        <v>3477</v>
      </c>
      <c r="Q144">
        <v>18</v>
      </c>
      <c r="R144" s="13">
        <v>12900</v>
      </c>
      <c r="S144" s="13">
        <v>9675</v>
      </c>
    </row>
    <row r="145" spans="1:19">
      <c r="A145" s="9" t="s">
        <v>24</v>
      </c>
      <c r="B145" s="9" t="s">
        <v>26</v>
      </c>
      <c r="C145" s="9" t="s">
        <v>79</v>
      </c>
      <c r="D145" t="s">
        <v>204</v>
      </c>
      <c r="F145" s="12" t="s">
        <v>1649</v>
      </c>
      <c r="G145" s="10" t="s">
        <v>299</v>
      </c>
      <c r="H145" s="10" t="s">
        <v>299</v>
      </c>
      <c r="K145" t="s">
        <v>19</v>
      </c>
      <c r="L145" t="s">
        <v>20</v>
      </c>
      <c r="M145" s="9">
        <v>69101</v>
      </c>
      <c r="N145" t="s">
        <v>3477</v>
      </c>
      <c r="O145">
        <v>18</v>
      </c>
      <c r="P145" t="s">
        <v>3477</v>
      </c>
      <c r="Q145">
        <v>18</v>
      </c>
      <c r="R145" s="13">
        <v>9185</v>
      </c>
      <c r="S145" s="13">
        <v>6888.75</v>
      </c>
    </row>
    <row r="146" spans="1:19">
      <c r="A146" s="9" t="s">
        <v>22</v>
      </c>
      <c r="B146" s="9" t="s">
        <v>26</v>
      </c>
      <c r="C146" s="9" t="s">
        <v>76</v>
      </c>
      <c r="D146" t="s">
        <v>204</v>
      </c>
      <c r="F146" s="12" t="s">
        <v>1650</v>
      </c>
      <c r="G146" s="10" t="s">
        <v>300</v>
      </c>
      <c r="H146" s="10" t="s">
        <v>300</v>
      </c>
      <c r="K146" t="s">
        <v>19</v>
      </c>
      <c r="L146" t="s">
        <v>20</v>
      </c>
      <c r="M146" s="9">
        <v>39222</v>
      </c>
      <c r="N146" t="s">
        <v>3477</v>
      </c>
      <c r="O146">
        <v>18</v>
      </c>
      <c r="P146" t="s">
        <v>3477</v>
      </c>
      <c r="Q146">
        <v>18</v>
      </c>
      <c r="R146" s="13">
        <v>4670</v>
      </c>
      <c r="S146" s="13">
        <v>3269</v>
      </c>
    </row>
    <row r="147" spans="1:19">
      <c r="A147" s="9" t="s">
        <v>22</v>
      </c>
      <c r="B147" s="9" t="s">
        <v>26</v>
      </c>
      <c r="C147" s="9" t="s">
        <v>80</v>
      </c>
      <c r="D147" t="s">
        <v>204</v>
      </c>
      <c r="F147" s="12" t="s">
        <v>1651</v>
      </c>
      <c r="G147" s="10" t="s">
        <v>301</v>
      </c>
      <c r="H147" s="10" t="s">
        <v>301</v>
      </c>
      <c r="K147" t="s">
        <v>19</v>
      </c>
      <c r="L147" t="s">
        <v>20</v>
      </c>
      <c r="M147" s="9">
        <v>73249</v>
      </c>
      <c r="N147" t="s">
        <v>3477</v>
      </c>
      <c r="O147">
        <v>18</v>
      </c>
      <c r="P147" t="s">
        <v>3477</v>
      </c>
      <c r="Q147">
        <v>18</v>
      </c>
      <c r="R147" s="13">
        <v>37400</v>
      </c>
      <c r="S147" s="13">
        <v>26180</v>
      </c>
    </row>
    <row r="148" spans="1:19">
      <c r="A148" s="9" t="s">
        <v>22</v>
      </c>
      <c r="B148" s="9" t="s">
        <v>26</v>
      </c>
      <c r="C148" s="9" t="s">
        <v>76</v>
      </c>
      <c r="D148" t="s">
        <v>204</v>
      </c>
      <c r="F148" s="12" t="s">
        <v>1652</v>
      </c>
      <c r="G148" s="10" t="s">
        <v>302</v>
      </c>
      <c r="H148" s="10" t="s">
        <v>302</v>
      </c>
      <c r="K148" t="s">
        <v>19</v>
      </c>
      <c r="L148" t="s">
        <v>20</v>
      </c>
      <c r="M148" s="9">
        <v>39222</v>
      </c>
      <c r="N148" t="s">
        <v>3477</v>
      </c>
      <c r="O148">
        <v>18</v>
      </c>
      <c r="P148" t="s">
        <v>3477</v>
      </c>
      <c r="Q148">
        <v>18</v>
      </c>
      <c r="R148" s="13">
        <v>3420</v>
      </c>
      <c r="S148" s="13">
        <v>2394</v>
      </c>
    </row>
    <row r="149" spans="1:19">
      <c r="A149" s="9" t="s">
        <v>22</v>
      </c>
      <c r="B149" s="9" t="s">
        <v>29</v>
      </c>
      <c r="C149" s="9" t="s">
        <v>68</v>
      </c>
      <c r="D149" t="s">
        <v>204</v>
      </c>
      <c r="F149" s="12" t="s">
        <v>1653</v>
      </c>
      <c r="G149" s="10" t="s">
        <v>303</v>
      </c>
      <c r="H149" s="10" t="s">
        <v>303</v>
      </c>
      <c r="K149" t="s">
        <v>19</v>
      </c>
      <c r="L149" t="s">
        <v>20</v>
      </c>
      <c r="M149" s="9">
        <v>39221</v>
      </c>
      <c r="N149" t="s">
        <v>3477</v>
      </c>
      <c r="O149">
        <v>18</v>
      </c>
      <c r="P149" t="s">
        <v>3477</v>
      </c>
      <c r="Q149">
        <v>18</v>
      </c>
      <c r="R149" s="13">
        <v>102800</v>
      </c>
      <c r="S149" s="13">
        <v>71960</v>
      </c>
    </row>
    <row r="150" spans="1:19">
      <c r="A150" s="9" t="s">
        <v>22</v>
      </c>
      <c r="B150" s="9" t="s">
        <v>29</v>
      </c>
      <c r="C150" s="9" t="s">
        <v>68</v>
      </c>
      <c r="D150" t="s">
        <v>204</v>
      </c>
      <c r="F150" s="12" t="s">
        <v>1654</v>
      </c>
      <c r="G150" s="10" t="s">
        <v>304</v>
      </c>
      <c r="H150" s="10" t="s">
        <v>304</v>
      </c>
      <c r="K150" t="s">
        <v>19</v>
      </c>
      <c r="L150" t="s">
        <v>20</v>
      </c>
      <c r="M150" s="9">
        <v>39221</v>
      </c>
      <c r="N150" t="s">
        <v>3477</v>
      </c>
      <c r="O150">
        <v>18</v>
      </c>
      <c r="P150" t="s">
        <v>3477</v>
      </c>
      <c r="Q150">
        <v>18</v>
      </c>
      <c r="R150" s="13">
        <v>102800</v>
      </c>
      <c r="S150" s="13">
        <v>71960</v>
      </c>
    </row>
    <row r="151" spans="1:19">
      <c r="A151" s="9" t="s">
        <v>23</v>
      </c>
      <c r="B151" s="9" t="s">
        <v>26</v>
      </c>
      <c r="C151" s="9" t="s">
        <v>81</v>
      </c>
      <c r="D151" t="s">
        <v>204</v>
      </c>
      <c r="F151" s="12" t="s">
        <v>1655</v>
      </c>
      <c r="G151" s="10" t="s">
        <v>305</v>
      </c>
      <c r="H151" s="10" t="s">
        <v>305</v>
      </c>
      <c r="K151" t="s">
        <v>19</v>
      </c>
      <c r="L151" t="s">
        <v>20</v>
      </c>
      <c r="M151" s="9">
        <v>69101</v>
      </c>
      <c r="N151" t="s">
        <v>3477</v>
      </c>
      <c r="O151">
        <v>18</v>
      </c>
      <c r="P151" t="s">
        <v>3477</v>
      </c>
      <c r="Q151">
        <v>18</v>
      </c>
      <c r="R151" s="13">
        <v>75000</v>
      </c>
      <c r="S151" s="13">
        <v>45000</v>
      </c>
    </row>
    <row r="152" spans="1:19">
      <c r="A152" s="9" t="s">
        <v>23</v>
      </c>
      <c r="B152" s="9" t="s">
        <v>29</v>
      </c>
      <c r="C152" s="9" t="s">
        <v>68</v>
      </c>
      <c r="D152" t="s">
        <v>204</v>
      </c>
      <c r="F152" s="12" t="s">
        <v>1656</v>
      </c>
      <c r="G152" s="10" t="s">
        <v>306</v>
      </c>
      <c r="H152" s="10" t="s">
        <v>306</v>
      </c>
      <c r="K152" t="s">
        <v>19</v>
      </c>
      <c r="L152" t="s">
        <v>20</v>
      </c>
      <c r="M152" s="9">
        <v>39221</v>
      </c>
      <c r="N152" t="s">
        <v>3477</v>
      </c>
      <c r="O152">
        <v>18</v>
      </c>
      <c r="P152" t="s">
        <v>3477</v>
      </c>
      <c r="Q152">
        <v>18</v>
      </c>
      <c r="R152" s="13">
        <v>105830</v>
      </c>
      <c r="S152" s="13">
        <v>59264.800000000003</v>
      </c>
    </row>
    <row r="153" spans="1:19">
      <c r="A153" s="9" t="s">
        <v>23</v>
      </c>
      <c r="B153" s="9" t="s">
        <v>26</v>
      </c>
      <c r="C153" s="9" t="s">
        <v>82</v>
      </c>
      <c r="D153" t="s">
        <v>204</v>
      </c>
      <c r="F153" s="12" t="s">
        <v>1657</v>
      </c>
      <c r="G153" s="10" t="s">
        <v>306</v>
      </c>
      <c r="H153" s="10" t="s">
        <v>306</v>
      </c>
      <c r="K153" t="s">
        <v>19</v>
      </c>
      <c r="L153" t="s">
        <v>20</v>
      </c>
      <c r="M153" s="9">
        <v>69101</v>
      </c>
      <c r="N153" t="s">
        <v>3477</v>
      </c>
      <c r="O153">
        <v>18</v>
      </c>
      <c r="P153" t="s">
        <v>3477</v>
      </c>
      <c r="Q153">
        <v>18</v>
      </c>
      <c r="R153" s="13">
        <v>115000</v>
      </c>
      <c r="S153" s="13">
        <v>69000</v>
      </c>
    </row>
    <row r="154" spans="1:19">
      <c r="A154" s="9" t="s">
        <v>23</v>
      </c>
      <c r="B154" s="9" t="s">
        <v>26</v>
      </c>
      <c r="C154" s="9" t="s">
        <v>82</v>
      </c>
      <c r="D154" t="s">
        <v>204</v>
      </c>
      <c r="F154" s="12" t="s">
        <v>1658</v>
      </c>
      <c r="G154" s="10" t="s">
        <v>306</v>
      </c>
      <c r="H154" s="10" t="s">
        <v>306</v>
      </c>
      <c r="K154" t="s">
        <v>19</v>
      </c>
      <c r="L154" t="s">
        <v>20</v>
      </c>
      <c r="M154" s="9">
        <v>69101</v>
      </c>
      <c r="N154" t="s">
        <v>3477</v>
      </c>
      <c r="O154">
        <v>18</v>
      </c>
      <c r="P154" t="s">
        <v>3477</v>
      </c>
      <c r="Q154">
        <v>18</v>
      </c>
      <c r="R154" s="13">
        <v>120000</v>
      </c>
      <c r="S154" s="13">
        <v>72000</v>
      </c>
    </row>
    <row r="155" spans="1:19">
      <c r="A155" s="9" t="s">
        <v>23</v>
      </c>
      <c r="B155" s="9" t="s">
        <v>26</v>
      </c>
      <c r="C155" s="9" t="s">
        <v>80</v>
      </c>
      <c r="D155" t="s">
        <v>204</v>
      </c>
      <c r="F155" s="12" t="s">
        <v>1659</v>
      </c>
      <c r="G155" s="10" t="s">
        <v>307</v>
      </c>
      <c r="H155" s="10" t="s">
        <v>307</v>
      </c>
      <c r="K155" t="s">
        <v>19</v>
      </c>
      <c r="L155" t="s">
        <v>20</v>
      </c>
      <c r="M155" s="9">
        <v>69101</v>
      </c>
      <c r="N155" t="s">
        <v>3477</v>
      </c>
      <c r="O155">
        <v>18</v>
      </c>
      <c r="P155" t="s">
        <v>3477</v>
      </c>
      <c r="Q155">
        <v>18</v>
      </c>
      <c r="R155" s="13">
        <v>120000</v>
      </c>
      <c r="S155" s="13">
        <v>72000</v>
      </c>
    </row>
    <row r="156" spans="1:19">
      <c r="A156" s="9" t="s">
        <v>23</v>
      </c>
      <c r="B156" s="9" t="s">
        <v>26</v>
      </c>
      <c r="C156" s="9" t="s">
        <v>82</v>
      </c>
      <c r="D156" t="s">
        <v>204</v>
      </c>
      <c r="F156" s="12" t="s">
        <v>1660</v>
      </c>
      <c r="G156" s="10" t="s">
        <v>307</v>
      </c>
      <c r="H156" s="10" t="s">
        <v>307</v>
      </c>
      <c r="K156" t="s">
        <v>19</v>
      </c>
      <c r="L156" t="s">
        <v>20</v>
      </c>
      <c r="M156" s="9">
        <v>69101</v>
      </c>
      <c r="N156" t="s">
        <v>3477</v>
      </c>
      <c r="O156">
        <v>18</v>
      </c>
      <c r="P156" t="s">
        <v>3477</v>
      </c>
      <c r="Q156">
        <v>18</v>
      </c>
      <c r="R156" s="13">
        <v>125000</v>
      </c>
      <c r="S156" s="13">
        <v>75000</v>
      </c>
    </row>
    <row r="157" spans="1:19">
      <c r="A157" s="9" t="s">
        <v>23</v>
      </c>
      <c r="B157" s="9" t="s">
        <v>26</v>
      </c>
      <c r="C157" s="9" t="s">
        <v>82</v>
      </c>
      <c r="D157" t="s">
        <v>204</v>
      </c>
      <c r="F157" s="12" t="s">
        <v>1661</v>
      </c>
      <c r="G157" s="10" t="s">
        <v>307</v>
      </c>
      <c r="H157" s="10" t="s">
        <v>307</v>
      </c>
      <c r="K157" t="s">
        <v>19</v>
      </c>
      <c r="L157" t="s">
        <v>20</v>
      </c>
      <c r="M157" s="9">
        <v>69101</v>
      </c>
      <c r="N157" t="s">
        <v>3477</v>
      </c>
      <c r="O157">
        <v>18</v>
      </c>
      <c r="P157" t="s">
        <v>3477</v>
      </c>
      <c r="Q157">
        <v>18</v>
      </c>
      <c r="R157" s="13">
        <v>130000</v>
      </c>
      <c r="S157" s="13">
        <v>78000</v>
      </c>
    </row>
    <row r="158" spans="1:19">
      <c r="A158" s="9" t="s">
        <v>23</v>
      </c>
      <c r="B158" s="9" t="s">
        <v>26</v>
      </c>
      <c r="C158" s="9" t="s">
        <v>80</v>
      </c>
      <c r="D158" t="s">
        <v>204</v>
      </c>
      <c r="F158" s="12" t="s">
        <v>1662</v>
      </c>
      <c r="G158" s="10" t="s">
        <v>308</v>
      </c>
      <c r="H158" s="10" t="s">
        <v>308</v>
      </c>
      <c r="K158" t="s">
        <v>19</v>
      </c>
      <c r="L158" t="s">
        <v>20</v>
      </c>
      <c r="M158" s="9">
        <v>69101</v>
      </c>
      <c r="N158" t="s">
        <v>3477</v>
      </c>
      <c r="O158">
        <v>18</v>
      </c>
      <c r="P158" t="s">
        <v>3477</v>
      </c>
      <c r="Q158">
        <v>18</v>
      </c>
      <c r="R158" s="13">
        <v>130000</v>
      </c>
      <c r="S158" s="13">
        <v>78000</v>
      </c>
    </row>
    <row r="159" spans="1:19">
      <c r="A159" s="9" t="s">
        <v>23</v>
      </c>
      <c r="B159" s="9" t="s">
        <v>29</v>
      </c>
      <c r="C159" s="9" t="s">
        <v>68</v>
      </c>
      <c r="D159" t="s">
        <v>204</v>
      </c>
      <c r="F159" s="12" t="s">
        <v>1663</v>
      </c>
      <c r="G159" s="10" t="s">
        <v>309</v>
      </c>
      <c r="H159" s="10" t="s">
        <v>309</v>
      </c>
      <c r="K159" t="s">
        <v>19</v>
      </c>
      <c r="L159" t="s">
        <v>20</v>
      </c>
      <c r="M159" s="9">
        <v>39221</v>
      </c>
      <c r="N159" t="s">
        <v>3477</v>
      </c>
      <c r="O159">
        <v>18</v>
      </c>
      <c r="P159" t="s">
        <v>3477</v>
      </c>
      <c r="Q159">
        <v>18</v>
      </c>
      <c r="R159" s="13">
        <v>1050000</v>
      </c>
      <c r="S159" s="13">
        <v>630000</v>
      </c>
    </row>
    <row r="160" spans="1:19">
      <c r="A160" s="9" t="s">
        <v>22</v>
      </c>
      <c r="B160" s="9" t="s">
        <v>27</v>
      </c>
      <c r="C160" s="9" t="s">
        <v>83</v>
      </c>
      <c r="D160" t="s">
        <v>204</v>
      </c>
      <c r="F160" s="12" t="s">
        <v>1664</v>
      </c>
      <c r="G160" s="10" t="s">
        <v>310</v>
      </c>
      <c r="H160" s="10" t="s">
        <v>310</v>
      </c>
      <c r="K160" t="s">
        <v>19</v>
      </c>
      <c r="L160" t="s">
        <v>20</v>
      </c>
      <c r="M160" s="9">
        <v>8481802</v>
      </c>
      <c r="N160" t="s">
        <v>3477</v>
      </c>
      <c r="O160">
        <v>18</v>
      </c>
      <c r="P160" t="s">
        <v>3477</v>
      </c>
      <c r="Q160">
        <v>18</v>
      </c>
      <c r="R160" s="13">
        <v>33040</v>
      </c>
      <c r="S160" s="13">
        <v>23128</v>
      </c>
    </row>
    <row r="161" spans="1:19">
      <c r="A161" s="9" t="s">
        <v>22</v>
      </c>
      <c r="B161" s="9" t="s">
        <v>27</v>
      </c>
      <c r="C161" s="9" t="s">
        <v>83</v>
      </c>
      <c r="D161" t="s">
        <v>204</v>
      </c>
      <c r="F161" s="12" t="s">
        <v>1665</v>
      </c>
      <c r="G161" s="10" t="s">
        <v>311</v>
      </c>
      <c r="H161" s="10" t="s">
        <v>311</v>
      </c>
      <c r="K161" t="s">
        <v>19</v>
      </c>
      <c r="L161" t="s">
        <v>20</v>
      </c>
      <c r="M161" s="9">
        <v>8481802</v>
      </c>
      <c r="N161" t="s">
        <v>3477</v>
      </c>
      <c r="O161">
        <v>18</v>
      </c>
      <c r="P161" t="s">
        <v>3477</v>
      </c>
      <c r="Q161">
        <v>18</v>
      </c>
      <c r="R161" s="13">
        <v>29320</v>
      </c>
      <c r="S161" s="13">
        <v>20524</v>
      </c>
    </row>
    <row r="162" spans="1:19">
      <c r="A162" s="9" t="s">
        <v>22</v>
      </c>
      <c r="B162" s="9" t="s">
        <v>26</v>
      </c>
      <c r="C162" s="9" t="s">
        <v>71</v>
      </c>
      <c r="D162" t="s">
        <v>204</v>
      </c>
      <c r="F162" s="12" t="s">
        <v>1666</v>
      </c>
      <c r="G162" s="10" t="s">
        <v>312</v>
      </c>
      <c r="H162" s="10" t="s">
        <v>312</v>
      </c>
      <c r="K162" t="s">
        <v>19</v>
      </c>
      <c r="L162" t="s">
        <v>20</v>
      </c>
      <c r="M162" s="9">
        <v>69101</v>
      </c>
      <c r="N162" t="s">
        <v>3477</v>
      </c>
      <c r="O162">
        <v>18</v>
      </c>
      <c r="P162" t="s">
        <v>3477</v>
      </c>
      <c r="Q162">
        <v>18</v>
      </c>
      <c r="R162" s="13">
        <v>9920</v>
      </c>
      <c r="S162" s="13">
        <v>6944</v>
      </c>
    </row>
    <row r="163" spans="1:19">
      <c r="A163" s="9" t="s">
        <v>22</v>
      </c>
      <c r="B163" s="9" t="s">
        <v>27</v>
      </c>
      <c r="C163" s="9" t="s">
        <v>83</v>
      </c>
      <c r="D163" t="s">
        <v>204</v>
      </c>
      <c r="F163" s="12" t="s">
        <v>1667</v>
      </c>
      <c r="G163" s="10" t="s">
        <v>313</v>
      </c>
      <c r="H163" s="10" t="s">
        <v>313</v>
      </c>
      <c r="K163" t="s">
        <v>19</v>
      </c>
      <c r="L163" t="s">
        <v>20</v>
      </c>
      <c r="M163" s="9">
        <v>8481802</v>
      </c>
      <c r="N163" t="s">
        <v>3477</v>
      </c>
      <c r="O163">
        <v>18</v>
      </c>
      <c r="P163" t="s">
        <v>3477</v>
      </c>
      <c r="Q163">
        <v>18</v>
      </c>
      <c r="R163" s="13">
        <v>30000</v>
      </c>
      <c r="S163" s="13">
        <v>21000</v>
      </c>
    </row>
    <row r="164" spans="1:19">
      <c r="A164" s="9" t="s">
        <v>24</v>
      </c>
      <c r="B164" s="9" t="s">
        <v>26</v>
      </c>
      <c r="C164" s="9" t="s">
        <v>43</v>
      </c>
      <c r="D164" t="s">
        <v>204</v>
      </c>
      <c r="F164" s="12" t="s">
        <v>1668</v>
      </c>
      <c r="G164" s="10" t="s">
        <v>314</v>
      </c>
      <c r="H164" s="10" t="s">
        <v>314</v>
      </c>
      <c r="K164" t="s">
        <v>19</v>
      </c>
      <c r="L164" t="s">
        <v>20</v>
      </c>
      <c r="M164" s="9">
        <v>69101</v>
      </c>
      <c r="N164" t="s">
        <v>3477</v>
      </c>
      <c r="O164">
        <v>18</v>
      </c>
      <c r="P164" t="s">
        <v>3477</v>
      </c>
      <c r="Q164">
        <v>18</v>
      </c>
      <c r="R164" s="13">
        <v>12305</v>
      </c>
      <c r="S164" s="13">
        <v>9228.75</v>
      </c>
    </row>
    <row r="165" spans="1:19">
      <c r="A165" s="9" t="s">
        <v>22</v>
      </c>
      <c r="B165" s="9" t="s">
        <v>27</v>
      </c>
      <c r="C165" s="9" t="s">
        <v>48</v>
      </c>
      <c r="D165" t="s">
        <v>204</v>
      </c>
      <c r="F165" s="12" t="s">
        <v>1669</v>
      </c>
      <c r="G165" s="10" t="s">
        <v>315</v>
      </c>
      <c r="H165" s="10" t="s">
        <v>315</v>
      </c>
      <c r="K165" t="s">
        <v>19</v>
      </c>
      <c r="L165" t="s">
        <v>20</v>
      </c>
      <c r="M165" s="9">
        <v>8481802</v>
      </c>
      <c r="N165" t="s">
        <v>3477</v>
      </c>
      <c r="O165">
        <v>18</v>
      </c>
      <c r="P165" t="s">
        <v>3477</v>
      </c>
      <c r="Q165">
        <v>18</v>
      </c>
      <c r="R165" s="13">
        <v>24670</v>
      </c>
      <c r="S165" s="13">
        <v>17269</v>
      </c>
    </row>
    <row r="166" spans="1:19">
      <c r="A166" s="9" t="s">
        <v>22</v>
      </c>
      <c r="B166" s="9" t="s">
        <v>27</v>
      </c>
      <c r="C166" s="9" t="s">
        <v>84</v>
      </c>
      <c r="D166" t="s">
        <v>204</v>
      </c>
      <c r="F166" s="12" t="s">
        <v>1670</v>
      </c>
      <c r="G166" s="10" t="s">
        <v>316</v>
      </c>
      <c r="H166" s="10" t="s">
        <v>316</v>
      </c>
      <c r="K166" t="s">
        <v>19</v>
      </c>
      <c r="L166" t="s">
        <v>20</v>
      </c>
      <c r="M166" s="9">
        <v>8481802</v>
      </c>
      <c r="N166" t="s">
        <v>3477</v>
      </c>
      <c r="O166">
        <v>18</v>
      </c>
      <c r="P166" t="s">
        <v>3477</v>
      </c>
      <c r="Q166">
        <v>18</v>
      </c>
      <c r="R166" s="13">
        <v>9440</v>
      </c>
      <c r="S166" s="13">
        <v>6608</v>
      </c>
    </row>
    <row r="167" spans="1:19">
      <c r="A167" s="9" t="s">
        <v>22</v>
      </c>
      <c r="B167" s="9" t="s">
        <v>26</v>
      </c>
      <c r="C167" s="9" t="s">
        <v>85</v>
      </c>
      <c r="D167" t="s">
        <v>204</v>
      </c>
      <c r="F167" s="12" t="s">
        <v>1671</v>
      </c>
      <c r="G167" s="10" t="s">
        <v>317</v>
      </c>
      <c r="H167" s="10" t="s">
        <v>317</v>
      </c>
      <c r="K167" t="s">
        <v>19</v>
      </c>
      <c r="L167" t="s">
        <v>20</v>
      </c>
      <c r="M167" s="9">
        <v>69101</v>
      </c>
      <c r="N167" t="s">
        <v>3477</v>
      </c>
      <c r="O167">
        <v>18</v>
      </c>
      <c r="P167" t="s">
        <v>3477</v>
      </c>
      <c r="Q167">
        <v>18</v>
      </c>
      <c r="R167" s="13">
        <v>11450</v>
      </c>
      <c r="S167" s="13">
        <v>8014.9999999999991</v>
      </c>
    </row>
    <row r="168" spans="1:19">
      <c r="A168" s="9" t="s">
        <v>22</v>
      </c>
      <c r="B168" s="9" t="s">
        <v>26</v>
      </c>
      <c r="C168" s="9" t="s">
        <v>86</v>
      </c>
      <c r="D168" t="s">
        <v>204</v>
      </c>
      <c r="F168" s="12" t="s">
        <v>1672</v>
      </c>
      <c r="G168" s="10" t="s">
        <v>318</v>
      </c>
      <c r="H168" s="10" t="s">
        <v>318</v>
      </c>
      <c r="K168" t="s">
        <v>19</v>
      </c>
      <c r="L168" t="s">
        <v>20</v>
      </c>
      <c r="M168" s="9">
        <v>69101</v>
      </c>
      <c r="N168" t="s">
        <v>3477</v>
      </c>
      <c r="O168">
        <v>18</v>
      </c>
      <c r="P168" t="s">
        <v>3477</v>
      </c>
      <c r="Q168">
        <v>18</v>
      </c>
      <c r="R168" s="13">
        <v>5830</v>
      </c>
      <c r="S168" s="13">
        <v>4080.9999999999995</v>
      </c>
    </row>
    <row r="169" spans="1:19">
      <c r="A169" s="9" t="s">
        <v>22</v>
      </c>
      <c r="B169" s="9" t="s">
        <v>26</v>
      </c>
      <c r="C169" s="9" t="s">
        <v>86</v>
      </c>
      <c r="D169" t="s">
        <v>204</v>
      </c>
      <c r="F169" s="12" t="s">
        <v>1673</v>
      </c>
      <c r="G169" s="10" t="s">
        <v>319</v>
      </c>
      <c r="H169" s="10" t="s">
        <v>319</v>
      </c>
      <c r="K169" t="s">
        <v>19</v>
      </c>
      <c r="L169" t="s">
        <v>20</v>
      </c>
      <c r="M169" s="9">
        <v>69101</v>
      </c>
      <c r="N169" t="s">
        <v>3477</v>
      </c>
      <c r="O169">
        <v>18</v>
      </c>
      <c r="P169" t="s">
        <v>3477</v>
      </c>
      <c r="Q169">
        <v>18</v>
      </c>
      <c r="R169" s="13">
        <v>5000</v>
      </c>
      <c r="S169" s="13">
        <v>3500</v>
      </c>
    </row>
    <row r="170" spans="1:19">
      <c r="A170" s="9" t="s">
        <v>22</v>
      </c>
      <c r="B170" s="9" t="s">
        <v>26</v>
      </c>
      <c r="C170" s="9" t="s">
        <v>87</v>
      </c>
      <c r="D170" t="s">
        <v>204</v>
      </c>
      <c r="F170" s="12" t="s">
        <v>1674</v>
      </c>
      <c r="G170" s="10" t="s">
        <v>320</v>
      </c>
      <c r="H170" s="10" t="s">
        <v>320</v>
      </c>
      <c r="K170" t="s">
        <v>19</v>
      </c>
      <c r="L170" t="s">
        <v>20</v>
      </c>
      <c r="M170" s="9">
        <v>69101</v>
      </c>
      <c r="N170" t="s">
        <v>3477</v>
      </c>
      <c r="O170">
        <v>18</v>
      </c>
      <c r="P170" t="s">
        <v>3477</v>
      </c>
      <c r="Q170">
        <v>18</v>
      </c>
      <c r="R170" s="13">
        <v>13270</v>
      </c>
      <c r="S170" s="13">
        <v>9289</v>
      </c>
    </row>
    <row r="171" spans="1:19">
      <c r="A171" s="9" t="s">
        <v>22</v>
      </c>
      <c r="B171" s="9" t="s">
        <v>27</v>
      </c>
      <c r="C171" s="9" t="s">
        <v>48</v>
      </c>
      <c r="D171" t="s">
        <v>204</v>
      </c>
      <c r="F171" s="12" t="s">
        <v>1675</v>
      </c>
      <c r="G171" s="10" t="s">
        <v>321</v>
      </c>
      <c r="H171" s="10" t="s">
        <v>321</v>
      </c>
      <c r="K171" t="s">
        <v>19</v>
      </c>
      <c r="L171" t="s">
        <v>20</v>
      </c>
      <c r="M171" s="9">
        <v>8481802</v>
      </c>
      <c r="N171" t="s">
        <v>3477</v>
      </c>
      <c r="O171">
        <v>18</v>
      </c>
      <c r="P171" t="s">
        <v>3477</v>
      </c>
      <c r="Q171">
        <v>18</v>
      </c>
      <c r="R171" s="13">
        <v>7900</v>
      </c>
      <c r="S171" s="13">
        <v>5530</v>
      </c>
    </row>
    <row r="172" spans="1:19">
      <c r="A172" s="9" t="s">
        <v>22</v>
      </c>
      <c r="B172" s="9" t="s">
        <v>29</v>
      </c>
      <c r="C172" s="9" t="s">
        <v>88</v>
      </c>
      <c r="D172" t="s">
        <v>204</v>
      </c>
      <c r="F172" s="12" t="s">
        <v>1676</v>
      </c>
      <c r="G172" s="10" t="s">
        <v>288</v>
      </c>
      <c r="H172" s="10" t="s">
        <v>288</v>
      </c>
      <c r="K172" t="s">
        <v>19</v>
      </c>
      <c r="L172" t="s">
        <v>20</v>
      </c>
      <c r="M172" s="9">
        <v>39221</v>
      </c>
      <c r="N172" t="s">
        <v>3477</v>
      </c>
      <c r="O172">
        <v>18</v>
      </c>
      <c r="P172" t="s">
        <v>3477</v>
      </c>
      <c r="Q172">
        <v>18</v>
      </c>
      <c r="R172" s="13">
        <v>196350</v>
      </c>
      <c r="S172" s="13">
        <v>137445</v>
      </c>
    </row>
    <row r="173" spans="1:19">
      <c r="A173" s="9" t="s">
        <v>22</v>
      </c>
      <c r="B173" s="9" t="s">
        <v>29</v>
      </c>
      <c r="C173" s="9" t="s">
        <v>89</v>
      </c>
      <c r="D173" t="s">
        <v>204</v>
      </c>
      <c r="F173" s="12" t="s">
        <v>1677</v>
      </c>
      <c r="G173" s="10" t="s">
        <v>322</v>
      </c>
      <c r="H173" s="10" t="s">
        <v>322</v>
      </c>
      <c r="K173" t="s">
        <v>19</v>
      </c>
      <c r="L173" t="s">
        <v>20</v>
      </c>
      <c r="M173" s="9">
        <v>7412209</v>
      </c>
      <c r="N173" t="s">
        <v>3477</v>
      </c>
      <c r="O173">
        <v>18</v>
      </c>
      <c r="P173" t="s">
        <v>3477</v>
      </c>
      <c r="Q173">
        <v>18</v>
      </c>
      <c r="R173" s="13">
        <v>14000</v>
      </c>
      <c r="S173" s="13">
        <v>9800</v>
      </c>
    </row>
    <row r="174" spans="1:19">
      <c r="A174" s="9" t="s">
        <v>22</v>
      </c>
      <c r="B174" s="9" t="s">
        <v>27</v>
      </c>
      <c r="C174" s="9" t="s">
        <v>90</v>
      </c>
      <c r="D174" t="s">
        <v>204</v>
      </c>
      <c r="F174" s="12" t="s">
        <v>1678</v>
      </c>
      <c r="G174" s="10" t="s">
        <v>322</v>
      </c>
      <c r="H174" s="10" t="s">
        <v>322</v>
      </c>
      <c r="K174" t="s">
        <v>19</v>
      </c>
      <c r="L174" t="s">
        <v>20</v>
      </c>
      <c r="M174" s="9">
        <v>7418201</v>
      </c>
      <c r="N174" t="s">
        <v>3477</v>
      </c>
      <c r="O174">
        <v>18</v>
      </c>
      <c r="P174" t="s">
        <v>3477</v>
      </c>
      <c r="Q174">
        <v>18</v>
      </c>
      <c r="R174" s="13">
        <v>13250</v>
      </c>
      <c r="S174" s="13">
        <v>9275</v>
      </c>
    </row>
    <row r="175" spans="1:19">
      <c r="A175" s="9" t="s">
        <v>23</v>
      </c>
      <c r="B175" s="9" t="s">
        <v>27</v>
      </c>
      <c r="C175" s="9" t="s">
        <v>90</v>
      </c>
      <c r="D175" t="s">
        <v>204</v>
      </c>
      <c r="F175" s="12" t="s">
        <v>1679</v>
      </c>
      <c r="G175" s="10" t="s">
        <v>323</v>
      </c>
      <c r="H175" s="10" t="s">
        <v>323</v>
      </c>
      <c r="K175" t="s">
        <v>19</v>
      </c>
      <c r="L175" t="s">
        <v>20</v>
      </c>
      <c r="M175" s="9">
        <v>7418201</v>
      </c>
      <c r="N175" t="s">
        <v>3477</v>
      </c>
      <c r="O175">
        <v>18</v>
      </c>
      <c r="P175" t="s">
        <v>3477</v>
      </c>
      <c r="Q175">
        <v>18</v>
      </c>
      <c r="R175" s="13">
        <v>18600</v>
      </c>
      <c r="S175" s="13">
        <v>11160</v>
      </c>
    </row>
    <row r="176" spans="1:19">
      <c r="A176" s="9" t="s">
        <v>23</v>
      </c>
      <c r="B176" s="9" t="s">
        <v>27</v>
      </c>
      <c r="C176" s="9" t="s">
        <v>90</v>
      </c>
      <c r="D176" t="s">
        <v>204</v>
      </c>
      <c r="F176" s="12" t="s">
        <v>1680</v>
      </c>
      <c r="G176" s="10" t="s">
        <v>324</v>
      </c>
      <c r="H176" s="10" t="s">
        <v>324</v>
      </c>
      <c r="K176" t="s">
        <v>19</v>
      </c>
      <c r="L176" t="s">
        <v>20</v>
      </c>
      <c r="M176" s="9">
        <v>8481801</v>
      </c>
      <c r="N176" t="s">
        <v>3477</v>
      </c>
      <c r="O176">
        <v>18</v>
      </c>
      <c r="P176" t="s">
        <v>3477</v>
      </c>
      <c r="Q176">
        <v>18</v>
      </c>
      <c r="R176" s="13">
        <v>20500</v>
      </c>
      <c r="S176" s="13">
        <v>12300</v>
      </c>
    </row>
    <row r="177" spans="1:19">
      <c r="A177" s="9" t="s">
        <v>22</v>
      </c>
      <c r="B177" s="9" t="s">
        <v>27</v>
      </c>
      <c r="C177" s="9" t="s">
        <v>90</v>
      </c>
      <c r="D177" t="s">
        <v>204</v>
      </c>
      <c r="F177" s="12" t="s">
        <v>1681</v>
      </c>
      <c r="G177" s="10" t="s">
        <v>325</v>
      </c>
      <c r="H177" s="10" t="s">
        <v>325</v>
      </c>
      <c r="K177" t="s">
        <v>19</v>
      </c>
      <c r="L177" t="s">
        <v>20</v>
      </c>
      <c r="M177" s="9">
        <v>7418201</v>
      </c>
      <c r="N177" t="s">
        <v>3477</v>
      </c>
      <c r="O177">
        <v>18</v>
      </c>
      <c r="P177" t="s">
        <v>3477</v>
      </c>
      <c r="Q177">
        <v>18</v>
      </c>
      <c r="R177" s="13">
        <v>31000</v>
      </c>
      <c r="S177" s="13">
        <v>21700</v>
      </c>
    </row>
    <row r="178" spans="1:19">
      <c r="A178" s="9" t="s">
        <v>23</v>
      </c>
      <c r="B178" s="9" t="s">
        <v>27</v>
      </c>
      <c r="C178" s="9" t="s">
        <v>90</v>
      </c>
      <c r="D178" t="s">
        <v>204</v>
      </c>
      <c r="F178" s="12" t="s">
        <v>1682</v>
      </c>
      <c r="G178" s="10" t="s">
        <v>326</v>
      </c>
      <c r="H178" s="10" t="s">
        <v>326</v>
      </c>
      <c r="K178" t="s">
        <v>19</v>
      </c>
      <c r="L178" t="s">
        <v>20</v>
      </c>
      <c r="M178" s="9">
        <v>7418201</v>
      </c>
      <c r="N178" t="s">
        <v>3477</v>
      </c>
      <c r="O178">
        <v>18</v>
      </c>
      <c r="P178" t="s">
        <v>3477</v>
      </c>
      <c r="Q178">
        <v>18</v>
      </c>
      <c r="R178" s="13">
        <v>90000</v>
      </c>
      <c r="S178" s="13">
        <v>54000</v>
      </c>
    </row>
    <row r="179" spans="1:19">
      <c r="A179" s="9" t="s">
        <v>22</v>
      </c>
      <c r="B179" s="9" t="s">
        <v>27</v>
      </c>
      <c r="C179" s="9" t="s">
        <v>90</v>
      </c>
      <c r="D179" t="s">
        <v>204</v>
      </c>
      <c r="F179" s="12" t="s">
        <v>1683</v>
      </c>
      <c r="G179" s="10" t="s">
        <v>327</v>
      </c>
      <c r="H179" s="10" t="s">
        <v>327</v>
      </c>
      <c r="K179" t="s">
        <v>19</v>
      </c>
      <c r="L179" t="s">
        <v>20</v>
      </c>
      <c r="M179" s="9">
        <v>7418201</v>
      </c>
      <c r="N179" t="s">
        <v>3477</v>
      </c>
      <c r="O179">
        <v>18</v>
      </c>
      <c r="P179" t="s">
        <v>3477</v>
      </c>
      <c r="Q179">
        <v>18</v>
      </c>
      <c r="R179" s="13">
        <v>22990</v>
      </c>
      <c r="S179" s="13">
        <v>16092.999999999998</v>
      </c>
    </row>
    <row r="180" spans="1:19">
      <c r="A180" s="9" t="s">
        <v>22</v>
      </c>
      <c r="B180" s="9" t="s">
        <v>27</v>
      </c>
      <c r="C180" s="9" t="s">
        <v>90</v>
      </c>
      <c r="D180" t="s">
        <v>204</v>
      </c>
      <c r="F180" s="12" t="s">
        <v>1684</v>
      </c>
      <c r="G180" s="10" t="s">
        <v>327</v>
      </c>
      <c r="H180" s="10" t="s">
        <v>327</v>
      </c>
      <c r="K180" t="s">
        <v>19</v>
      </c>
      <c r="L180" t="s">
        <v>20</v>
      </c>
      <c r="M180" s="9">
        <v>7418201</v>
      </c>
      <c r="N180" t="s">
        <v>3477</v>
      </c>
      <c r="O180">
        <v>18</v>
      </c>
      <c r="P180" t="s">
        <v>3477</v>
      </c>
      <c r="Q180">
        <v>18</v>
      </c>
      <c r="R180" s="13">
        <v>32000</v>
      </c>
      <c r="S180" s="13">
        <v>22400</v>
      </c>
    </row>
    <row r="181" spans="1:19">
      <c r="A181" s="9" t="s">
        <v>22</v>
      </c>
      <c r="B181" s="9" t="s">
        <v>27</v>
      </c>
      <c r="C181" s="9" t="s">
        <v>90</v>
      </c>
      <c r="D181" t="s">
        <v>204</v>
      </c>
      <c r="F181" s="12" t="s">
        <v>1685</v>
      </c>
      <c r="G181" s="10" t="s">
        <v>327</v>
      </c>
      <c r="H181" s="10" t="s">
        <v>327</v>
      </c>
      <c r="K181" t="s">
        <v>19</v>
      </c>
      <c r="L181" t="s">
        <v>20</v>
      </c>
      <c r="M181" s="9">
        <v>7418201</v>
      </c>
      <c r="N181" t="s">
        <v>3477</v>
      </c>
      <c r="O181">
        <v>18</v>
      </c>
      <c r="P181" t="s">
        <v>3477</v>
      </c>
      <c r="Q181">
        <v>18</v>
      </c>
      <c r="R181" s="13">
        <v>32000</v>
      </c>
      <c r="S181" s="13">
        <v>22400</v>
      </c>
    </row>
    <row r="182" spans="1:19">
      <c r="A182" s="9" t="s">
        <v>22</v>
      </c>
      <c r="B182" s="9" t="s">
        <v>27</v>
      </c>
      <c r="C182" s="9" t="s">
        <v>90</v>
      </c>
      <c r="D182" t="s">
        <v>204</v>
      </c>
      <c r="F182" s="12" t="s">
        <v>1686</v>
      </c>
      <c r="G182" s="10" t="s">
        <v>328</v>
      </c>
      <c r="H182" s="10" t="s">
        <v>328</v>
      </c>
      <c r="K182" t="s">
        <v>19</v>
      </c>
      <c r="L182" t="s">
        <v>20</v>
      </c>
      <c r="M182" s="9">
        <v>7418201</v>
      </c>
      <c r="N182" t="s">
        <v>3477</v>
      </c>
      <c r="O182">
        <v>18</v>
      </c>
      <c r="P182" t="s">
        <v>3477</v>
      </c>
      <c r="Q182">
        <v>18</v>
      </c>
      <c r="R182" s="13">
        <v>35800</v>
      </c>
      <c r="S182" s="13">
        <v>25060</v>
      </c>
    </row>
    <row r="183" spans="1:19">
      <c r="A183" s="9" t="s">
        <v>22</v>
      </c>
      <c r="B183" s="9" t="s">
        <v>27</v>
      </c>
      <c r="C183" s="9" t="s">
        <v>90</v>
      </c>
      <c r="D183" t="s">
        <v>204</v>
      </c>
      <c r="F183" s="12" t="s">
        <v>1687</v>
      </c>
      <c r="G183" s="10" t="s">
        <v>328</v>
      </c>
      <c r="H183" s="10" t="s">
        <v>328</v>
      </c>
      <c r="K183" t="s">
        <v>19</v>
      </c>
      <c r="L183" t="s">
        <v>20</v>
      </c>
      <c r="M183" s="9">
        <v>7418201</v>
      </c>
      <c r="N183" t="s">
        <v>3477</v>
      </c>
      <c r="O183">
        <v>18</v>
      </c>
      <c r="P183" t="s">
        <v>3477</v>
      </c>
      <c r="Q183">
        <v>18</v>
      </c>
      <c r="R183" s="13">
        <v>39970</v>
      </c>
      <c r="S183" s="13">
        <v>27979</v>
      </c>
    </row>
    <row r="184" spans="1:19">
      <c r="A184" s="9" t="s">
        <v>22</v>
      </c>
      <c r="B184" s="9" t="s">
        <v>27</v>
      </c>
      <c r="C184" s="9" t="s">
        <v>90</v>
      </c>
      <c r="D184" t="s">
        <v>204</v>
      </c>
      <c r="F184" s="12" t="s">
        <v>1688</v>
      </c>
      <c r="G184" s="10" t="s">
        <v>329</v>
      </c>
      <c r="H184" s="10" t="s">
        <v>329</v>
      </c>
      <c r="K184" t="s">
        <v>19</v>
      </c>
      <c r="L184" t="s">
        <v>20</v>
      </c>
      <c r="M184" s="9">
        <v>7418201</v>
      </c>
      <c r="N184" t="s">
        <v>3477</v>
      </c>
      <c r="O184">
        <v>18</v>
      </c>
      <c r="P184" t="s">
        <v>3477</v>
      </c>
      <c r="Q184">
        <v>18</v>
      </c>
      <c r="R184" s="13">
        <v>18550</v>
      </c>
      <c r="S184" s="13">
        <v>12985</v>
      </c>
    </row>
    <row r="185" spans="1:19">
      <c r="A185" s="9" t="s">
        <v>22</v>
      </c>
      <c r="B185" s="9" t="s">
        <v>27</v>
      </c>
      <c r="C185" s="9" t="s">
        <v>90</v>
      </c>
      <c r="D185" t="s">
        <v>204</v>
      </c>
      <c r="F185" s="12" t="s">
        <v>1689</v>
      </c>
      <c r="G185" s="10" t="s">
        <v>330</v>
      </c>
      <c r="H185" s="10" t="s">
        <v>330</v>
      </c>
      <c r="K185" t="s">
        <v>19</v>
      </c>
      <c r="L185" t="s">
        <v>20</v>
      </c>
      <c r="M185" s="9">
        <v>7418201</v>
      </c>
      <c r="N185" t="s">
        <v>3477</v>
      </c>
      <c r="O185">
        <v>18</v>
      </c>
      <c r="P185" t="s">
        <v>3477</v>
      </c>
      <c r="Q185">
        <v>18</v>
      </c>
      <c r="R185" s="13">
        <v>34650</v>
      </c>
      <c r="S185" s="13">
        <v>24255</v>
      </c>
    </row>
    <row r="186" spans="1:19">
      <c r="A186" s="9" t="s">
        <v>22</v>
      </c>
      <c r="B186" s="9" t="s">
        <v>27</v>
      </c>
      <c r="C186" s="9" t="s">
        <v>56</v>
      </c>
      <c r="D186" t="s">
        <v>204</v>
      </c>
      <c r="F186" s="12" t="s">
        <v>1690</v>
      </c>
      <c r="G186" s="10" t="s">
        <v>331</v>
      </c>
      <c r="H186" s="10" t="s">
        <v>331</v>
      </c>
      <c r="K186" t="s">
        <v>19</v>
      </c>
      <c r="L186" t="s">
        <v>20</v>
      </c>
      <c r="M186" s="9">
        <v>7907001</v>
      </c>
      <c r="N186" t="s">
        <v>3477</v>
      </c>
      <c r="O186">
        <v>18</v>
      </c>
      <c r="P186" t="s">
        <v>3477</v>
      </c>
      <c r="Q186">
        <v>18</v>
      </c>
      <c r="R186" s="13">
        <v>3143</v>
      </c>
      <c r="S186" s="13">
        <v>2200.1</v>
      </c>
    </row>
    <row r="187" spans="1:19">
      <c r="A187" s="9" t="s">
        <v>22</v>
      </c>
      <c r="B187" s="9" t="s">
        <v>29</v>
      </c>
      <c r="C187" s="9" t="s">
        <v>91</v>
      </c>
      <c r="D187" t="s">
        <v>204</v>
      </c>
      <c r="F187" s="12" t="s">
        <v>1691</v>
      </c>
      <c r="G187" s="10" t="s">
        <v>332</v>
      </c>
      <c r="H187" s="10" t="s">
        <v>332</v>
      </c>
      <c r="K187" t="s">
        <v>19</v>
      </c>
      <c r="L187" t="s">
        <v>20</v>
      </c>
      <c r="M187" s="9">
        <v>9404211</v>
      </c>
      <c r="N187" t="s">
        <v>3477</v>
      </c>
      <c r="O187">
        <v>18</v>
      </c>
      <c r="P187" t="s">
        <v>3477</v>
      </c>
      <c r="Q187">
        <v>18</v>
      </c>
      <c r="R187" s="13">
        <v>4020</v>
      </c>
      <c r="S187" s="13">
        <v>2814</v>
      </c>
    </row>
    <row r="188" spans="1:19">
      <c r="A188" s="9" t="s">
        <v>23</v>
      </c>
      <c r="B188" s="9" t="s">
        <v>29</v>
      </c>
      <c r="C188" s="9" t="s">
        <v>92</v>
      </c>
      <c r="D188" t="s">
        <v>204</v>
      </c>
      <c r="F188" s="12" t="s">
        <v>1692</v>
      </c>
      <c r="G188" s="10" t="s">
        <v>333</v>
      </c>
      <c r="H188" s="10" t="s">
        <v>333</v>
      </c>
      <c r="K188" t="s">
        <v>19</v>
      </c>
      <c r="L188" t="s">
        <v>20</v>
      </c>
      <c r="M188" s="9">
        <v>73249</v>
      </c>
      <c r="N188" t="s">
        <v>3477</v>
      </c>
      <c r="O188">
        <v>18</v>
      </c>
      <c r="P188" t="s">
        <v>3477</v>
      </c>
      <c r="Q188">
        <v>18</v>
      </c>
      <c r="R188" s="13">
        <v>3170</v>
      </c>
      <c r="S188" s="13">
        <v>1902</v>
      </c>
    </row>
    <row r="189" spans="1:19">
      <c r="A189" s="9" t="s">
        <v>24</v>
      </c>
      <c r="B189" s="9" t="s">
        <v>33</v>
      </c>
      <c r="C189" s="9" t="s">
        <v>93</v>
      </c>
      <c r="D189" t="s">
        <v>204</v>
      </c>
      <c r="F189" s="12" t="s">
        <v>1693</v>
      </c>
      <c r="G189" s="10" t="s">
        <v>288</v>
      </c>
      <c r="H189" s="10" t="s">
        <v>288</v>
      </c>
      <c r="K189" t="s">
        <v>19</v>
      </c>
      <c r="L189" t="s">
        <v>20</v>
      </c>
      <c r="M189" s="9">
        <v>700992</v>
      </c>
      <c r="N189" t="s">
        <v>3477</v>
      </c>
      <c r="O189">
        <v>18</v>
      </c>
      <c r="P189" t="s">
        <v>3477</v>
      </c>
      <c r="Q189">
        <v>18</v>
      </c>
      <c r="R189" s="13">
        <v>5900</v>
      </c>
      <c r="S189" s="13">
        <v>4425</v>
      </c>
    </row>
    <row r="190" spans="1:19">
      <c r="A190" s="9" t="s">
        <v>23</v>
      </c>
      <c r="B190" s="9" t="s">
        <v>29</v>
      </c>
      <c r="C190" s="9" t="s">
        <v>73</v>
      </c>
      <c r="D190" t="s">
        <v>204</v>
      </c>
      <c r="F190" s="12" t="s">
        <v>1694</v>
      </c>
      <c r="G190" s="10" t="s">
        <v>334</v>
      </c>
      <c r="H190" s="10" t="s">
        <v>334</v>
      </c>
      <c r="K190" t="s">
        <v>19</v>
      </c>
      <c r="L190" t="s">
        <v>20</v>
      </c>
      <c r="M190" s="9">
        <v>7418202</v>
      </c>
      <c r="N190" t="s">
        <v>3477</v>
      </c>
      <c r="O190">
        <v>18</v>
      </c>
      <c r="P190" t="s">
        <v>3477</v>
      </c>
      <c r="Q190">
        <v>18</v>
      </c>
      <c r="R190" s="13">
        <v>43700</v>
      </c>
      <c r="S190" s="13">
        <v>26220</v>
      </c>
    </row>
    <row r="191" spans="1:19">
      <c r="A191" s="9" t="s">
        <v>22</v>
      </c>
      <c r="B191" s="9" t="s">
        <v>27</v>
      </c>
      <c r="C191" s="9" t="s">
        <v>94</v>
      </c>
      <c r="D191" t="s">
        <v>204</v>
      </c>
      <c r="F191" s="12" t="s">
        <v>1695</v>
      </c>
      <c r="G191" s="10" t="s">
        <v>335</v>
      </c>
      <c r="H191" s="10" t="s">
        <v>335</v>
      </c>
      <c r="K191" t="s">
        <v>19</v>
      </c>
      <c r="L191" t="s">
        <v>20</v>
      </c>
      <c r="M191" s="9">
        <v>39229</v>
      </c>
      <c r="N191" t="s">
        <v>3477</v>
      </c>
      <c r="O191">
        <v>18</v>
      </c>
      <c r="P191" t="s">
        <v>3477</v>
      </c>
      <c r="Q191">
        <v>18</v>
      </c>
      <c r="R191" s="13">
        <v>65190</v>
      </c>
      <c r="S191" s="13">
        <v>45633</v>
      </c>
    </row>
    <row r="192" spans="1:19">
      <c r="A192" s="9" t="s">
        <v>23</v>
      </c>
      <c r="B192" s="9" t="s">
        <v>27</v>
      </c>
      <c r="C192" s="9" t="s">
        <v>95</v>
      </c>
      <c r="D192" t="s">
        <v>204</v>
      </c>
      <c r="F192" s="12" t="s">
        <v>1696</v>
      </c>
      <c r="G192" s="10" t="s">
        <v>335</v>
      </c>
      <c r="H192" s="10" t="s">
        <v>335</v>
      </c>
      <c r="K192" t="s">
        <v>19</v>
      </c>
      <c r="L192" t="s">
        <v>20</v>
      </c>
      <c r="M192" s="9">
        <v>8481909</v>
      </c>
      <c r="N192" t="s">
        <v>3477</v>
      </c>
      <c r="O192">
        <v>18</v>
      </c>
      <c r="P192" t="s">
        <v>3477</v>
      </c>
      <c r="Q192">
        <v>18</v>
      </c>
      <c r="R192" s="13">
        <v>19960</v>
      </c>
      <c r="S192" s="13">
        <v>11976</v>
      </c>
    </row>
    <row r="193" spans="1:19">
      <c r="A193" s="9" t="s">
        <v>22</v>
      </c>
      <c r="B193" s="9" t="s">
        <v>27</v>
      </c>
      <c r="C193" s="9" t="s">
        <v>95</v>
      </c>
      <c r="D193" t="s">
        <v>204</v>
      </c>
      <c r="F193" s="12" t="s">
        <v>1697</v>
      </c>
      <c r="G193" s="10" t="s">
        <v>336</v>
      </c>
      <c r="H193" s="10" t="s">
        <v>336</v>
      </c>
      <c r="K193" t="s">
        <v>19</v>
      </c>
      <c r="L193" t="s">
        <v>20</v>
      </c>
      <c r="M193" s="9">
        <v>8481909</v>
      </c>
      <c r="N193" t="s">
        <v>3477</v>
      </c>
      <c r="O193">
        <v>18</v>
      </c>
      <c r="P193" t="s">
        <v>3477</v>
      </c>
      <c r="Q193">
        <v>18</v>
      </c>
      <c r="R193" s="13">
        <v>13890</v>
      </c>
      <c r="S193" s="13">
        <v>9723</v>
      </c>
    </row>
    <row r="194" spans="1:19">
      <c r="A194" s="9" t="s">
        <v>22</v>
      </c>
      <c r="B194" s="9" t="s">
        <v>27</v>
      </c>
      <c r="C194" s="9" t="s">
        <v>95</v>
      </c>
      <c r="D194" t="s">
        <v>204</v>
      </c>
      <c r="F194" s="12" t="s">
        <v>1698</v>
      </c>
      <c r="G194" s="10" t="s">
        <v>336</v>
      </c>
      <c r="H194" s="10" t="s">
        <v>336</v>
      </c>
      <c r="K194" t="s">
        <v>19</v>
      </c>
      <c r="L194" t="s">
        <v>20</v>
      </c>
      <c r="M194" s="9">
        <v>8481909</v>
      </c>
      <c r="N194" t="s">
        <v>3477</v>
      </c>
      <c r="O194">
        <v>18</v>
      </c>
      <c r="P194" t="s">
        <v>3477</v>
      </c>
      <c r="Q194">
        <v>18</v>
      </c>
      <c r="R194" s="13">
        <v>14470</v>
      </c>
      <c r="S194" s="13">
        <v>10129</v>
      </c>
    </row>
    <row r="195" spans="1:19">
      <c r="A195" s="9" t="s">
        <v>22</v>
      </c>
      <c r="B195" s="9" t="s">
        <v>27</v>
      </c>
      <c r="C195" s="9" t="s">
        <v>95</v>
      </c>
      <c r="D195" t="s">
        <v>204</v>
      </c>
      <c r="F195" s="12" t="s">
        <v>1699</v>
      </c>
      <c r="G195" s="10" t="s">
        <v>337</v>
      </c>
      <c r="H195" s="10" t="s">
        <v>337</v>
      </c>
      <c r="K195" t="s">
        <v>19</v>
      </c>
      <c r="L195" t="s">
        <v>20</v>
      </c>
      <c r="M195" s="9">
        <v>8481909</v>
      </c>
      <c r="N195" t="s">
        <v>3477</v>
      </c>
      <c r="O195">
        <v>18</v>
      </c>
      <c r="P195" t="s">
        <v>3477</v>
      </c>
      <c r="Q195">
        <v>18</v>
      </c>
      <c r="R195" s="13">
        <v>18160</v>
      </c>
      <c r="S195" s="13">
        <v>12712</v>
      </c>
    </row>
    <row r="196" spans="1:19">
      <c r="A196" s="9" t="s">
        <v>22</v>
      </c>
      <c r="B196" s="9" t="s">
        <v>27</v>
      </c>
      <c r="C196" s="9" t="s">
        <v>95</v>
      </c>
      <c r="D196" t="s">
        <v>204</v>
      </c>
      <c r="F196" s="12" t="s">
        <v>1700</v>
      </c>
      <c r="G196" s="10" t="s">
        <v>338</v>
      </c>
      <c r="H196" s="10" t="s">
        <v>338</v>
      </c>
      <c r="K196" t="s">
        <v>19</v>
      </c>
      <c r="L196" t="s">
        <v>20</v>
      </c>
      <c r="M196" s="9">
        <v>8481802</v>
      </c>
      <c r="N196" t="s">
        <v>3477</v>
      </c>
      <c r="O196">
        <v>18</v>
      </c>
      <c r="P196" t="s">
        <v>3477</v>
      </c>
      <c r="Q196">
        <v>18</v>
      </c>
      <c r="R196" s="13">
        <v>14460</v>
      </c>
      <c r="S196" s="13">
        <v>10122</v>
      </c>
    </row>
    <row r="197" spans="1:19">
      <c r="A197" s="9" t="s">
        <v>22</v>
      </c>
      <c r="B197" s="9" t="s">
        <v>26</v>
      </c>
      <c r="C197" s="9" t="s">
        <v>86</v>
      </c>
      <c r="D197" t="s">
        <v>204</v>
      </c>
      <c r="F197" s="12" t="s">
        <v>1701</v>
      </c>
      <c r="G197" s="10" t="s">
        <v>339</v>
      </c>
      <c r="H197" s="10" t="s">
        <v>339</v>
      </c>
      <c r="K197" t="s">
        <v>19</v>
      </c>
      <c r="L197" t="s">
        <v>20</v>
      </c>
      <c r="M197" s="9">
        <v>69101</v>
      </c>
      <c r="N197" t="s">
        <v>3477</v>
      </c>
      <c r="O197">
        <v>18</v>
      </c>
      <c r="P197" t="s">
        <v>3477</v>
      </c>
      <c r="Q197">
        <v>18</v>
      </c>
      <c r="R197" s="13">
        <v>4580</v>
      </c>
      <c r="S197" s="13">
        <v>3206</v>
      </c>
    </row>
    <row r="198" spans="1:19">
      <c r="A198" s="9" t="s">
        <v>22</v>
      </c>
      <c r="B198" s="9" t="s">
        <v>26</v>
      </c>
      <c r="C198" s="9" t="s">
        <v>96</v>
      </c>
      <c r="D198" t="s">
        <v>204</v>
      </c>
      <c r="F198" s="12" t="s">
        <v>1702</v>
      </c>
      <c r="G198" s="10" t="s">
        <v>340</v>
      </c>
      <c r="H198" s="10" t="s">
        <v>340</v>
      </c>
      <c r="K198" t="s">
        <v>19</v>
      </c>
      <c r="L198" t="s">
        <v>20</v>
      </c>
      <c r="M198" s="9">
        <v>69101</v>
      </c>
      <c r="N198" t="s">
        <v>3477</v>
      </c>
      <c r="O198">
        <v>18</v>
      </c>
      <c r="P198" t="s">
        <v>3477</v>
      </c>
      <c r="Q198">
        <v>18</v>
      </c>
      <c r="R198" s="13">
        <v>34000</v>
      </c>
      <c r="S198" s="13">
        <v>23800</v>
      </c>
    </row>
    <row r="199" spans="1:19">
      <c r="A199" s="9" t="s">
        <v>23</v>
      </c>
      <c r="B199" s="9" t="s">
        <v>26</v>
      </c>
      <c r="C199" s="9" t="s">
        <v>97</v>
      </c>
      <c r="D199" t="s">
        <v>204</v>
      </c>
      <c r="F199" s="12" t="s">
        <v>1703</v>
      </c>
      <c r="G199" s="10" t="s">
        <v>341</v>
      </c>
      <c r="H199" s="10" t="s">
        <v>341</v>
      </c>
      <c r="K199" t="s">
        <v>19</v>
      </c>
      <c r="L199" t="s">
        <v>20</v>
      </c>
      <c r="M199" s="9">
        <v>39229</v>
      </c>
      <c r="N199" t="s">
        <v>3477</v>
      </c>
      <c r="O199">
        <v>18</v>
      </c>
      <c r="P199" t="s">
        <v>3477</v>
      </c>
      <c r="Q199">
        <v>18</v>
      </c>
      <c r="R199" s="13">
        <v>110000</v>
      </c>
      <c r="S199" s="13">
        <v>66000</v>
      </c>
    </row>
    <row r="200" spans="1:19">
      <c r="A200" s="9" t="s">
        <v>22</v>
      </c>
      <c r="B200" s="9" t="s">
        <v>26</v>
      </c>
      <c r="C200" s="9" t="s">
        <v>98</v>
      </c>
      <c r="D200" t="s">
        <v>204</v>
      </c>
      <c r="F200" s="12" t="s">
        <v>1704</v>
      </c>
      <c r="G200" s="10" t="s">
        <v>342</v>
      </c>
      <c r="H200" s="10" t="s">
        <v>342</v>
      </c>
      <c r="K200" t="s">
        <v>19</v>
      </c>
      <c r="L200" t="s">
        <v>20</v>
      </c>
      <c r="M200" s="9">
        <v>39229</v>
      </c>
      <c r="N200" t="s">
        <v>3477</v>
      </c>
      <c r="O200">
        <v>18</v>
      </c>
      <c r="P200" t="s">
        <v>3477</v>
      </c>
      <c r="Q200">
        <v>18</v>
      </c>
      <c r="R200" s="13">
        <v>72930</v>
      </c>
      <c r="S200" s="13">
        <v>51051</v>
      </c>
    </row>
    <row r="201" spans="1:19">
      <c r="A201" s="9" t="s">
        <v>22</v>
      </c>
      <c r="B201" s="9" t="s">
        <v>27</v>
      </c>
      <c r="C201" s="9" t="s">
        <v>83</v>
      </c>
      <c r="D201" t="s">
        <v>204</v>
      </c>
      <c r="F201" s="12" t="s">
        <v>1705</v>
      </c>
      <c r="G201" s="10" t="s">
        <v>343</v>
      </c>
      <c r="H201" s="10" t="s">
        <v>343</v>
      </c>
      <c r="K201" t="s">
        <v>19</v>
      </c>
      <c r="L201" t="s">
        <v>20</v>
      </c>
      <c r="M201" s="9">
        <v>8481802</v>
      </c>
      <c r="N201" t="s">
        <v>3477</v>
      </c>
      <c r="O201">
        <v>18</v>
      </c>
      <c r="P201" t="s">
        <v>3477</v>
      </c>
      <c r="Q201">
        <v>18</v>
      </c>
      <c r="R201" s="13">
        <v>24000</v>
      </c>
      <c r="S201" s="13">
        <v>16800</v>
      </c>
    </row>
    <row r="202" spans="1:19">
      <c r="A202" s="9" t="s">
        <v>22</v>
      </c>
      <c r="B202" s="9" t="s">
        <v>27</v>
      </c>
      <c r="C202" s="9" t="s">
        <v>83</v>
      </c>
      <c r="D202" t="s">
        <v>204</v>
      </c>
      <c r="F202" s="12" t="s">
        <v>1706</v>
      </c>
      <c r="G202" s="10" t="s">
        <v>344</v>
      </c>
      <c r="H202" s="10" t="s">
        <v>344</v>
      </c>
      <c r="K202" t="s">
        <v>19</v>
      </c>
      <c r="L202" t="s">
        <v>20</v>
      </c>
      <c r="M202" s="9">
        <v>8481802</v>
      </c>
      <c r="N202" t="s">
        <v>3477</v>
      </c>
      <c r="O202">
        <v>18</v>
      </c>
      <c r="P202" t="s">
        <v>3477</v>
      </c>
      <c r="Q202">
        <v>18</v>
      </c>
      <c r="R202" s="13">
        <v>18000</v>
      </c>
      <c r="S202" s="13">
        <v>12600</v>
      </c>
    </row>
    <row r="203" spans="1:19">
      <c r="A203" s="9" t="s">
        <v>23</v>
      </c>
      <c r="B203" s="9" t="s">
        <v>29</v>
      </c>
      <c r="C203" s="9" t="s">
        <v>99</v>
      </c>
      <c r="D203" t="s">
        <v>204</v>
      </c>
      <c r="F203" s="12" t="s">
        <v>1707</v>
      </c>
      <c r="G203" s="10" t="s">
        <v>345</v>
      </c>
      <c r="H203" s="10" t="s">
        <v>345</v>
      </c>
      <c r="K203" t="s">
        <v>19</v>
      </c>
      <c r="L203" t="s">
        <v>20</v>
      </c>
      <c r="M203" s="9">
        <v>9019102</v>
      </c>
      <c r="N203" t="s">
        <v>3477</v>
      </c>
      <c r="O203">
        <v>18</v>
      </c>
      <c r="P203" t="s">
        <v>3477</v>
      </c>
      <c r="Q203">
        <v>18</v>
      </c>
      <c r="R203" s="13">
        <v>656250</v>
      </c>
      <c r="S203" s="13">
        <v>393750</v>
      </c>
    </row>
    <row r="204" spans="1:19">
      <c r="A204" s="9" t="s">
        <v>22</v>
      </c>
      <c r="B204" s="9" t="s">
        <v>29</v>
      </c>
      <c r="C204" s="9" t="s">
        <v>68</v>
      </c>
      <c r="D204" t="s">
        <v>204</v>
      </c>
      <c r="F204" s="12" t="s">
        <v>1708</v>
      </c>
      <c r="G204" s="10" t="s">
        <v>346</v>
      </c>
      <c r="H204" s="10" t="s">
        <v>346</v>
      </c>
      <c r="K204" t="s">
        <v>19</v>
      </c>
      <c r="L204" t="s">
        <v>20</v>
      </c>
      <c r="M204" s="9">
        <v>39221</v>
      </c>
      <c r="N204" t="s">
        <v>3477</v>
      </c>
      <c r="O204">
        <v>18</v>
      </c>
      <c r="P204" t="s">
        <v>3477</v>
      </c>
      <c r="Q204">
        <v>18</v>
      </c>
      <c r="R204" s="13">
        <v>37254</v>
      </c>
      <c r="S204" s="13">
        <v>26077.8</v>
      </c>
    </row>
    <row r="205" spans="1:19">
      <c r="A205" s="9" t="s">
        <v>22</v>
      </c>
      <c r="B205" s="9" t="s">
        <v>29</v>
      </c>
      <c r="C205" s="9" t="s">
        <v>68</v>
      </c>
      <c r="D205" t="s">
        <v>204</v>
      </c>
      <c r="F205" s="12" t="s">
        <v>1709</v>
      </c>
      <c r="G205" s="10" t="s">
        <v>347</v>
      </c>
      <c r="H205" s="10" t="s">
        <v>347</v>
      </c>
      <c r="K205" t="s">
        <v>19</v>
      </c>
      <c r="L205" t="s">
        <v>20</v>
      </c>
      <c r="M205" s="9">
        <v>39221</v>
      </c>
      <c r="N205" t="s">
        <v>3477</v>
      </c>
      <c r="O205">
        <v>18</v>
      </c>
      <c r="P205" t="s">
        <v>3477</v>
      </c>
      <c r="Q205">
        <v>18</v>
      </c>
      <c r="R205" s="13">
        <v>33118</v>
      </c>
      <c r="S205" s="13">
        <v>23182.6</v>
      </c>
    </row>
    <row r="206" spans="1:19">
      <c r="A206" s="9" t="s">
        <v>23</v>
      </c>
      <c r="B206" s="9" t="s">
        <v>29</v>
      </c>
      <c r="C206" s="9" t="s">
        <v>69</v>
      </c>
      <c r="D206" t="s">
        <v>204</v>
      </c>
      <c r="F206" s="12" t="s">
        <v>1710</v>
      </c>
      <c r="G206" s="10" t="s">
        <v>348</v>
      </c>
      <c r="H206" s="10" t="s">
        <v>348</v>
      </c>
      <c r="K206" t="s">
        <v>19</v>
      </c>
      <c r="L206" t="s">
        <v>20</v>
      </c>
      <c r="M206" s="9">
        <v>9019102</v>
      </c>
      <c r="N206" t="s">
        <v>3477</v>
      </c>
      <c r="O206">
        <v>18</v>
      </c>
      <c r="P206" t="s">
        <v>3477</v>
      </c>
      <c r="Q206">
        <v>18</v>
      </c>
      <c r="R206" s="13">
        <v>151340</v>
      </c>
      <c r="S206" s="13">
        <v>90804</v>
      </c>
    </row>
    <row r="207" spans="1:19">
      <c r="A207" s="9" t="s">
        <v>22</v>
      </c>
      <c r="B207" s="9" t="s">
        <v>26</v>
      </c>
      <c r="C207" s="9" t="s">
        <v>81</v>
      </c>
      <c r="D207" t="s">
        <v>204</v>
      </c>
      <c r="F207" s="12" t="s">
        <v>1711</v>
      </c>
      <c r="G207" s="10" t="s">
        <v>349</v>
      </c>
      <c r="H207" s="10" t="s">
        <v>349</v>
      </c>
      <c r="K207" t="s">
        <v>19</v>
      </c>
      <c r="L207" t="s">
        <v>20</v>
      </c>
      <c r="M207" s="9">
        <v>69101</v>
      </c>
      <c r="N207" t="s">
        <v>3477</v>
      </c>
      <c r="O207">
        <v>18</v>
      </c>
      <c r="P207" t="s">
        <v>3477</v>
      </c>
      <c r="Q207">
        <v>18</v>
      </c>
      <c r="R207" s="13">
        <v>4540</v>
      </c>
      <c r="S207" s="13">
        <v>3178</v>
      </c>
    </row>
    <row r="208" spans="1:19">
      <c r="A208" s="9" t="s">
        <v>22</v>
      </c>
      <c r="B208" s="9" t="s">
        <v>26</v>
      </c>
      <c r="C208" s="9" t="s">
        <v>96</v>
      </c>
      <c r="D208" t="s">
        <v>204</v>
      </c>
      <c r="F208" s="12" t="s">
        <v>1712</v>
      </c>
      <c r="G208" s="10" t="s">
        <v>350</v>
      </c>
      <c r="H208" s="10" t="s">
        <v>350</v>
      </c>
      <c r="K208" t="s">
        <v>19</v>
      </c>
      <c r="L208" t="s">
        <v>20</v>
      </c>
      <c r="M208" s="9">
        <v>69101</v>
      </c>
      <c r="N208" t="s">
        <v>3477</v>
      </c>
      <c r="O208">
        <v>18</v>
      </c>
      <c r="P208" t="s">
        <v>3477</v>
      </c>
      <c r="Q208">
        <v>18</v>
      </c>
      <c r="R208" s="13">
        <v>26960</v>
      </c>
      <c r="S208" s="13">
        <v>18872</v>
      </c>
    </row>
    <row r="209" spans="1:19">
      <c r="A209" s="9" t="s">
        <v>22</v>
      </c>
      <c r="B209" s="9" t="s">
        <v>27</v>
      </c>
      <c r="C209" s="9" t="s">
        <v>48</v>
      </c>
      <c r="D209" t="s">
        <v>204</v>
      </c>
      <c r="F209" s="12" t="s">
        <v>1713</v>
      </c>
      <c r="G209" s="10" t="s">
        <v>351</v>
      </c>
      <c r="H209" s="10" t="s">
        <v>351</v>
      </c>
      <c r="K209" t="s">
        <v>19</v>
      </c>
      <c r="L209" t="s">
        <v>20</v>
      </c>
      <c r="M209" s="9">
        <v>8481802</v>
      </c>
      <c r="N209" t="s">
        <v>3477</v>
      </c>
      <c r="O209">
        <v>18</v>
      </c>
      <c r="P209" t="s">
        <v>3477</v>
      </c>
      <c r="Q209">
        <v>18</v>
      </c>
      <c r="R209" s="13">
        <v>41310</v>
      </c>
      <c r="S209" s="13">
        <v>28916.999999999996</v>
      </c>
    </row>
    <row r="210" spans="1:19">
      <c r="A210" s="9" t="s">
        <v>22</v>
      </c>
      <c r="B210" s="9" t="s">
        <v>27</v>
      </c>
      <c r="C210" s="9" t="s">
        <v>100</v>
      </c>
      <c r="D210" t="s">
        <v>204</v>
      </c>
      <c r="F210" s="12" t="s">
        <v>1714</v>
      </c>
      <c r="G210" s="10" t="s">
        <v>352</v>
      </c>
      <c r="H210" s="10" t="s">
        <v>352</v>
      </c>
      <c r="K210" t="s">
        <v>19</v>
      </c>
      <c r="L210" t="s">
        <v>20</v>
      </c>
      <c r="M210" s="9">
        <v>8481801</v>
      </c>
      <c r="N210" t="s">
        <v>3477</v>
      </c>
      <c r="O210">
        <v>18</v>
      </c>
      <c r="P210" t="s">
        <v>3477</v>
      </c>
      <c r="Q210">
        <v>18</v>
      </c>
      <c r="R210" s="13">
        <v>26700</v>
      </c>
      <c r="S210" s="13">
        <v>18690</v>
      </c>
    </row>
    <row r="211" spans="1:19">
      <c r="A211" s="9" t="s">
        <v>22</v>
      </c>
      <c r="B211" s="9" t="s">
        <v>29</v>
      </c>
      <c r="C211" s="9" t="s">
        <v>52</v>
      </c>
      <c r="D211" t="s">
        <v>204</v>
      </c>
      <c r="F211" s="12" t="s">
        <v>1715</v>
      </c>
      <c r="G211" s="10" t="s">
        <v>353</v>
      </c>
      <c r="H211" s="10" t="s">
        <v>353</v>
      </c>
      <c r="K211" t="s">
        <v>19</v>
      </c>
      <c r="L211" t="s">
        <v>20</v>
      </c>
      <c r="M211" s="9">
        <v>8481802</v>
      </c>
      <c r="N211" t="s">
        <v>3477</v>
      </c>
      <c r="O211">
        <v>18</v>
      </c>
      <c r="P211" t="s">
        <v>3477</v>
      </c>
      <c r="Q211">
        <v>18</v>
      </c>
      <c r="R211" s="13">
        <v>44710</v>
      </c>
      <c r="S211" s="13">
        <v>31296.999999999996</v>
      </c>
    </row>
    <row r="212" spans="1:19">
      <c r="A212" s="9" t="s">
        <v>22</v>
      </c>
      <c r="B212" s="9" t="s">
        <v>29</v>
      </c>
      <c r="C212" s="9" t="s">
        <v>91</v>
      </c>
      <c r="D212" t="s">
        <v>204</v>
      </c>
      <c r="F212" s="12" t="s">
        <v>1716</v>
      </c>
      <c r="G212" s="10" t="s">
        <v>353</v>
      </c>
      <c r="H212" s="10" t="s">
        <v>353</v>
      </c>
      <c r="K212" t="s">
        <v>19</v>
      </c>
      <c r="L212" t="s">
        <v>20</v>
      </c>
      <c r="M212" s="9">
        <v>9404211</v>
      </c>
      <c r="N212" t="s">
        <v>3477</v>
      </c>
      <c r="O212">
        <v>18</v>
      </c>
      <c r="P212" t="s">
        <v>3477</v>
      </c>
      <c r="Q212">
        <v>18</v>
      </c>
      <c r="R212" s="13">
        <v>3710</v>
      </c>
      <c r="S212" s="13">
        <v>2597</v>
      </c>
    </row>
    <row r="213" spans="1:19">
      <c r="A213" s="9" t="s">
        <v>22</v>
      </c>
      <c r="B213" s="9" t="s">
        <v>29</v>
      </c>
      <c r="C213" s="9" t="s">
        <v>91</v>
      </c>
      <c r="D213" t="s">
        <v>204</v>
      </c>
      <c r="F213" s="12" t="s">
        <v>1717</v>
      </c>
      <c r="G213" s="10" t="s">
        <v>354</v>
      </c>
      <c r="H213" s="10" t="s">
        <v>354</v>
      </c>
      <c r="K213" t="s">
        <v>19</v>
      </c>
      <c r="L213" t="s">
        <v>20</v>
      </c>
      <c r="M213" s="9">
        <v>9404211</v>
      </c>
      <c r="N213" t="s">
        <v>3477</v>
      </c>
      <c r="O213">
        <v>18</v>
      </c>
      <c r="P213" t="s">
        <v>3477</v>
      </c>
      <c r="Q213">
        <v>18</v>
      </c>
      <c r="R213" s="13">
        <v>3710</v>
      </c>
      <c r="S213" s="13">
        <v>2597</v>
      </c>
    </row>
    <row r="214" spans="1:19">
      <c r="A214" s="9" t="s">
        <v>22</v>
      </c>
      <c r="B214" s="9" t="s">
        <v>27</v>
      </c>
      <c r="C214" s="9" t="s">
        <v>44</v>
      </c>
      <c r="D214" t="s">
        <v>204</v>
      </c>
      <c r="F214" s="12" t="s">
        <v>1718</v>
      </c>
      <c r="G214" s="10" t="s">
        <v>355</v>
      </c>
      <c r="H214" s="10" t="s">
        <v>355</v>
      </c>
      <c r="K214" t="s">
        <v>19</v>
      </c>
      <c r="L214" t="s">
        <v>20</v>
      </c>
      <c r="M214" s="9">
        <v>8424899</v>
      </c>
      <c r="N214" t="s">
        <v>3477</v>
      </c>
      <c r="O214">
        <v>18</v>
      </c>
      <c r="P214" t="s">
        <v>3477</v>
      </c>
      <c r="Q214">
        <v>18</v>
      </c>
      <c r="R214" s="13">
        <v>4120</v>
      </c>
      <c r="S214" s="13">
        <v>2884</v>
      </c>
    </row>
    <row r="215" spans="1:19">
      <c r="A215" s="9" t="s">
        <v>22</v>
      </c>
      <c r="B215" s="9" t="s">
        <v>27</v>
      </c>
      <c r="C215" s="9" t="s">
        <v>44</v>
      </c>
      <c r="D215" t="s">
        <v>204</v>
      </c>
      <c r="F215" s="12" t="s">
        <v>1719</v>
      </c>
      <c r="G215" s="10" t="s">
        <v>356</v>
      </c>
      <c r="H215" s="10" t="s">
        <v>356</v>
      </c>
      <c r="K215" t="s">
        <v>19</v>
      </c>
      <c r="L215" t="s">
        <v>20</v>
      </c>
      <c r="M215" s="9">
        <v>8424899</v>
      </c>
      <c r="N215" t="s">
        <v>3477</v>
      </c>
      <c r="O215">
        <v>18</v>
      </c>
      <c r="P215" t="s">
        <v>3477</v>
      </c>
      <c r="Q215">
        <v>18</v>
      </c>
      <c r="R215" s="13">
        <v>4810</v>
      </c>
      <c r="S215" s="13">
        <v>3367</v>
      </c>
    </row>
    <row r="216" spans="1:19">
      <c r="A216" s="9" t="s">
        <v>22</v>
      </c>
      <c r="B216" s="9" t="s">
        <v>27</v>
      </c>
      <c r="C216" s="9" t="s">
        <v>101</v>
      </c>
      <c r="D216" t="s">
        <v>204</v>
      </c>
      <c r="F216" s="12" t="s">
        <v>1720</v>
      </c>
      <c r="G216" s="10" t="s">
        <v>357</v>
      </c>
      <c r="H216" s="10" t="s">
        <v>357</v>
      </c>
      <c r="K216" t="s">
        <v>19</v>
      </c>
      <c r="L216" t="s">
        <v>20</v>
      </c>
      <c r="M216" s="9">
        <v>73249</v>
      </c>
      <c r="N216" t="s">
        <v>3477</v>
      </c>
      <c r="O216">
        <v>18</v>
      </c>
      <c r="P216" t="s">
        <v>3477</v>
      </c>
      <c r="Q216">
        <v>18</v>
      </c>
      <c r="R216" s="13">
        <v>5030</v>
      </c>
      <c r="S216" s="13">
        <v>3521</v>
      </c>
    </row>
    <row r="217" spans="1:19">
      <c r="A217" s="9" t="s">
        <v>23</v>
      </c>
      <c r="B217" s="9" t="s">
        <v>26</v>
      </c>
      <c r="C217" s="9" t="s">
        <v>85</v>
      </c>
      <c r="D217" t="s">
        <v>204</v>
      </c>
      <c r="F217" s="12" t="s">
        <v>1721</v>
      </c>
      <c r="G217" s="10" t="s">
        <v>358</v>
      </c>
      <c r="H217" s="10" t="s">
        <v>358</v>
      </c>
      <c r="K217" t="s">
        <v>19</v>
      </c>
      <c r="L217" t="s">
        <v>20</v>
      </c>
      <c r="M217" s="9">
        <v>69101</v>
      </c>
      <c r="N217" t="s">
        <v>3477</v>
      </c>
      <c r="O217">
        <v>18</v>
      </c>
      <c r="P217" t="s">
        <v>3477</v>
      </c>
      <c r="Q217">
        <v>18</v>
      </c>
      <c r="R217" s="13">
        <v>57432</v>
      </c>
      <c r="S217" s="13">
        <v>34459.199999999997</v>
      </c>
    </row>
    <row r="218" spans="1:19">
      <c r="A218" s="9" t="s">
        <v>23</v>
      </c>
      <c r="B218" s="9" t="s">
        <v>26</v>
      </c>
      <c r="C218" s="9" t="s">
        <v>86</v>
      </c>
      <c r="D218" t="s">
        <v>204</v>
      </c>
      <c r="F218" s="12" t="s">
        <v>1722</v>
      </c>
      <c r="G218" s="10" t="s">
        <v>359</v>
      </c>
      <c r="H218" s="10" t="s">
        <v>359</v>
      </c>
      <c r="K218" t="s">
        <v>19</v>
      </c>
      <c r="L218" t="s">
        <v>20</v>
      </c>
      <c r="M218" s="9">
        <v>69101</v>
      </c>
      <c r="N218" t="s">
        <v>3477</v>
      </c>
      <c r="O218">
        <v>18</v>
      </c>
      <c r="P218" t="s">
        <v>3477</v>
      </c>
      <c r="Q218">
        <v>18</v>
      </c>
      <c r="R218" s="13">
        <v>44068</v>
      </c>
      <c r="S218" s="13">
        <v>26440.799999999999</v>
      </c>
    </row>
    <row r="219" spans="1:19">
      <c r="A219" s="9" t="s">
        <v>22</v>
      </c>
      <c r="B219" s="9" t="s">
        <v>26</v>
      </c>
      <c r="C219" s="9" t="s">
        <v>102</v>
      </c>
      <c r="D219" t="s">
        <v>204</v>
      </c>
      <c r="F219" s="12" t="s">
        <v>1723</v>
      </c>
      <c r="G219" s="10" t="s">
        <v>360</v>
      </c>
      <c r="H219" s="10" t="s">
        <v>360</v>
      </c>
      <c r="K219" t="s">
        <v>19</v>
      </c>
      <c r="L219" t="s">
        <v>20</v>
      </c>
      <c r="M219" s="9">
        <v>69101</v>
      </c>
      <c r="N219" t="s">
        <v>3477</v>
      </c>
      <c r="O219">
        <v>18</v>
      </c>
      <c r="P219" t="s">
        <v>3477</v>
      </c>
      <c r="Q219">
        <v>18</v>
      </c>
      <c r="R219" s="13">
        <v>48270</v>
      </c>
      <c r="S219" s="13">
        <v>33789</v>
      </c>
    </row>
    <row r="220" spans="1:19">
      <c r="A220" s="9" t="s">
        <v>23</v>
      </c>
      <c r="B220" s="9" t="s">
        <v>26</v>
      </c>
      <c r="C220" s="9" t="s">
        <v>103</v>
      </c>
      <c r="D220" t="s">
        <v>204</v>
      </c>
      <c r="F220" s="12" t="s">
        <v>1724</v>
      </c>
      <c r="G220" s="10" t="s">
        <v>361</v>
      </c>
      <c r="H220" s="10" t="s">
        <v>361</v>
      </c>
      <c r="K220" t="s">
        <v>19</v>
      </c>
      <c r="L220" t="s">
        <v>20</v>
      </c>
      <c r="M220" s="9">
        <v>69101</v>
      </c>
      <c r="N220" t="s">
        <v>3477</v>
      </c>
      <c r="O220">
        <v>18</v>
      </c>
      <c r="P220" t="s">
        <v>3477</v>
      </c>
      <c r="Q220">
        <v>18</v>
      </c>
      <c r="R220" s="13">
        <v>47150</v>
      </c>
      <c r="S220" s="13">
        <v>28290</v>
      </c>
    </row>
    <row r="221" spans="1:19">
      <c r="A221" s="9" t="s">
        <v>23</v>
      </c>
      <c r="B221" s="9" t="s">
        <v>26</v>
      </c>
      <c r="C221" s="9" t="s">
        <v>103</v>
      </c>
      <c r="D221" t="s">
        <v>204</v>
      </c>
      <c r="F221" s="12" t="s">
        <v>1725</v>
      </c>
      <c r="G221" s="10" t="s">
        <v>362</v>
      </c>
      <c r="H221" s="10" t="s">
        <v>362</v>
      </c>
      <c r="K221" t="s">
        <v>19</v>
      </c>
      <c r="L221" t="s">
        <v>20</v>
      </c>
      <c r="M221" s="9">
        <v>69101</v>
      </c>
      <c r="N221" t="s">
        <v>3477</v>
      </c>
      <c r="O221">
        <v>18</v>
      </c>
      <c r="P221" t="s">
        <v>3477</v>
      </c>
      <c r="Q221">
        <v>18</v>
      </c>
      <c r="R221" s="13">
        <v>41000</v>
      </c>
      <c r="S221" s="13">
        <v>24600</v>
      </c>
    </row>
    <row r="222" spans="1:19">
      <c r="A222" s="9" t="s">
        <v>23</v>
      </c>
      <c r="B222" s="9" t="s">
        <v>26</v>
      </c>
      <c r="C222" s="9" t="s">
        <v>103</v>
      </c>
      <c r="D222" t="s">
        <v>204</v>
      </c>
      <c r="F222" s="12" t="s">
        <v>1726</v>
      </c>
      <c r="G222" s="10" t="s">
        <v>363</v>
      </c>
      <c r="H222" s="10" t="s">
        <v>363</v>
      </c>
      <c r="K222" t="s">
        <v>19</v>
      </c>
      <c r="L222" t="s">
        <v>20</v>
      </c>
      <c r="M222" s="9">
        <v>69101</v>
      </c>
      <c r="N222" t="s">
        <v>3477</v>
      </c>
      <c r="O222">
        <v>18</v>
      </c>
      <c r="P222" t="s">
        <v>3477</v>
      </c>
      <c r="Q222">
        <v>18</v>
      </c>
      <c r="R222" s="13">
        <v>73710</v>
      </c>
      <c r="S222" s="13">
        <v>44226</v>
      </c>
    </row>
    <row r="223" spans="1:19">
      <c r="A223" s="9" t="s">
        <v>22</v>
      </c>
      <c r="B223" s="9" t="s">
        <v>26</v>
      </c>
      <c r="C223" s="9" t="s">
        <v>103</v>
      </c>
      <c r="D223" t="s">
        <v>204</v>
      </c>
      <c r="F223" s="12" t="s">
        <v>1727</v>
      </c>
      <c r="G223" s="10" t="s">
        <v>363</v>
      </c>
      <c r="H223" s="10" t="s">
        <v>363</v>
      </c>
      <c r="K223" t="s">
        <v>19</v>
      </c>
      <c r="L223" t="s">
        <v>20</v>
      </c>
      <c r="M223" s="9">
        <v>69101</v>
      </c>
      <c r="N223" t="s">
        <v>3477</v>
      </c>
      <c r="O223">
        <v>18</v>
      </c>
      <c r="P223" t="s">
        <v>3477</v>
      </c>
      <c r="Q223">
        <v>18</v>
      </c>
      <c r="R223" s="13">
        <v>17240</v>
      </c>
      <c r="S223" s="13">
        <v>12068</v>
      </c>
    </row>
    <row r="224" spans="1:19">
      <c r="A224" s="9" t="s">
        <v>22</v>
      </c>
      <c r="B224" s="9" t="s">
        <v>26</v>
      </c>
      <c r="C224" s="9" t="s">
        <v>103</v>
      </c>
      <c r="D224" t="s">
        <v>204</v>
      </c>
      <c r="F224" s="12" t="s">
        <v>1728</v>
      </c>
      <c r="G224" s="10" t="s">
        <v>364</v>
      </c>
      <c r="H224" s="10" t="s">
        <v>364</v>
      </c>
      <c r="K224" t="s">
        <v>19</v>
      </c>
      <c r="L224" t="s">
        <v>20</v>
      </c>
      <c r="M224" s="9">
        <v>69101</v>
      </c>
      <c r="N224" t="s">
        <v>3477</v>
      </c>
      <c r="O224">
        <v>18</v>
      </c>
      <c r="P224" t="s">
        <v>3477</v>
      </c>
      <c r="Q224">
        <v>18</v>
      </c>
      <c r="R224" s="13">
        <v>27600</v>
      </c>
      <c r="S224" s="13">
        <v>19320</v>
      </c>
    </row>
    <row r="225" spans="1:19">
      <c r="A225" s="9" t="s">
        <v>23</v>
      </c>
      <c r="B225" s="9" t="s">
        <v>27</v>
      </c>
      <c r="C225" s="9" t="s">
        <v>48</v>
      </c>
      <c r="D225" t="s">
        <v>204</v>
      </c>
      <c r="F225" s="12" t="s">
        <v>1729</v>
      </c>
      <c r="G225" s="10" t="s">
        <v>365</v>
      </c>
      <c r="H225" s="10" t="s">
        <v>365</v>
      </c>
      <c r="K225" t="s">
        <v>19</v>
      </c>
      <c r="L225" t="s">
        <v>20</v>
      </c>
      <c r="M225" s="9">
        <v>8481802</v>
      </c>
      <c r="N225" t="s">
        <v>3477</v>
      </c>
      <c r="O225">
        <v>18</v>
      </c>
      <c r="P225" t="s">
        <v>3477</v>
      </c>
      <c r="Q225">
        <v>18</v>
      </c>
      <c r="R225" s="13">
        <v>40000</v>
      </c>
      <c r="S225" s="13">
        <v>24000</v>
      </c>
    </row>
    <row r="226" spans="1:19">
      <c r="A226" s="9" t="s">
        <v>22</v>
      </c>
      <c r="B226" s="9" t="s">
        <v>26</v>
      </c>
      <c r="C226" s="9" t="s">
        <v>103</v>
      </c>
      <c r="D226" t="s">
        <v>204</v>
      </c>
      <c r="F226" s="12" t="s">
        <v>1730</v>
      </c>
      <c r="G226" s="10" t="s">
        <v>366</v>
      </c>
      <c r="H226" s="10" t="s">
        <v>366</v>
      </c>
      <c r="K226" t="s">
        <v>19</v>
      </c>
      <c r="L226" t="s">
        <v>20</v>
      </c>
      <c r="M226" s="9">
        <v>69101</v>
      </c>
      <c r="N226" t="s">
        <v>3477</v>
      </c>
      <c r="O226">
        <v>18</v>
      </c>
      <c r="P226" t="s">
        <v>3477</v>
      </c>
      <c r="Q226">
        <v>18</v>
      </c>
      <c r="R226" s="13">
        <v>13680</v>
      </c>
      <c r="S226" s="13">
        <v>9576</v>
      </c>
    </row>
    <row r="227" spans="1:19">
      <c r="A227" s="9" t="s">
        <v>22</v>
      </c>
      <c r="B227" s="9" t="s">
        <v>27</v>
      </c>
      <c r="C227" s="9" t="s">
        <v>48</v>
      </c>
      <c r="D227" t="s">
        <v>204</v>
      </c>
      <c r="F227" s="12" t="s">
        <v>1731</v>
      </c>
      <c r="G227" s="10" t="s">
        <v>366</v>
      </c>
      <c r="H227" s="10" t="s">
        <v>366</v>
      </c>
      <c r="K227" t="s">
        <v>19</v>
      </c>
      <c r="L227" t="s">
        <v>20</v>
      </c>
      <c r="M227" s="9">
        <v>8481802</v>
      </c>
      <c r="N227" t="s">
        <v>3477</v>
      </c>
      <c r="O227">
        <v>18</v>
      </c>
      <c r="P227" t="s">
        <v>3477</v>
      </c>
      <c r="Q227">
        <v>18</v>
      </c>
      <c r="R227" s="13">
        <v>24980</v>
      </c>
      <c r="S227" s="13">
        <v>17486</v>
      </c>
    </row>
    <row r="228" spans="1:19">
      <c r="A228" s="9" t="s">
        <v>23</v>
      </c>
      <c r="B228" s="9" t="s">
        <v>27</v>
      </c>
      <c r="C228" s="9" t="s">
        <v>48</v>
      </c>
      <c r="D228" t="s">
        <v>204</v>
      </c>
      <c r="F228" s="12" t="s">
        <v>1732</v>
      </c>
      <c r="G228" s="10" t="s">
        <v>367</v>
      </c>
      <c r="H228" s="10" t="s">
        <v>367</v>
      </c>
      <c r="K228" t="s">
        <v>19</v>
      </c>
      <c r="L228" t="s">
        <v>20</v>
      </c>
      <c r="M228" s="9">
        <v>8481802</v>
      </c>
      <c r="N228" t="s">
        <v>3477</v>
      </c>
      <c r="O228">
        <v>18</v>
      </c>
      <c r="P228" t="s">
        <v>3477</v>
      </c>
      <c r="Q228">
        <v>18</v>
      </c>
      <c r="R228" s="13">
        <v>19990</v>
      </c>
      <c r="S228" s="13">
        <v>11994</v>
      </c>
    </row>
    <row r="229" spans="1:19">
      <c r="A229" s="9" t="s">
        <v>23</v>
      </c>
      <c r="B229" s="9" t="s">
        <v>27</v>
      </c>
      <c r="C229" s="9" t="s">
        <v>49</v>
      </c>
      <c r="D229" t="s">
        <v>204</v>
      </c>
      <c r="F229" s="12" t="s">
        <v>1733</v>
      </c>
      <c r="G229" s="10" t="s">
        <v>368</v>
      </c>
      <c r="H229" s="10" t="s">
        <v>368</v>
      </c>
      <c r="K229" t="s">
        <v>19</v>
      </c>
      <c r="L229" t="s">
        <v>20</v>
      </c>
      <c r="M229" s="9">
        <v>8481802</v>
      </c>
      <c r="N229" t="s">
        <v>3477</v>
      </c>
      <c r="O229">
        <v>18</v>
      </c>
      <c r="P229" t="s">
        <v>3477</v>
      </c>
      <c r="Q229">
        <v>18</v>
      </c>
      <c r="R229" s="13">
        <v>24980</v>
      </c>
      <c r="S229" s="13">
        <v>14988</v>
      </c>
    </row>
    <row r="230" spans="1:19">
      <c r="A230" s="9" t="s">
        <v>22</v>
      </c>
      <c r="B230" s="9" t="s">
        <v>26</v>
      </c>
      <c r="C230" s="9" t="s">
        <v>103</v>
      </c>
      <c r="D230" t="s">
        <v>204</v>
      </c>
      <c r="F230" s="12" t="s">
        <v>1734</v>
      </c>
      <c r="G230" s="10" t="s">
        <v>369</v>
      </c>
      <c r="H230" s="10" t="s">
        <v>369</v>
      </c>
      <c r="K230" t="s">
        <v>19</v>
      </c>
      <c r="L230" t="s">
        <v>20</v>
      </c>
      <c r="M230" s="9">
        <v>69101</v>
      </c>
      <c r="N230" t="s">
        <v>3477</v>
      </c>
      <c r="O230">
        <v>18</v>
      </c>
      <c r="P230" t="s">
        <v>3477</v>
      </c>
      <c r="Q230">
        <v>18</v>
      </c>
      <c r="R230" s="13">
        <v>13780</v>
      </c>
      <c r="S230" s="13">
        <v>9646</v>
      </c>
    </row>
    <row r="231" spans="1:19">
      <c r="A231" s="9" t="s">
        <v>22</v>
      </c>
      <c r="B231" s="9" t="s">
        <v>26</v>
      </c>
      <c r="C231" s="9" t="s">
        <v>103</v>
      </c>
      <c r="D231" t="s">
        <v>204</v>
      </c>
      <c r="F231" s="12" t="s">
        <v>1735</v>
      </c>
      <c r="G231" s="10" t="s">
        <v>370</v>
      </c>
      <c r="H231" s="10" t="s">
        <v>370</v>
      </c>
      <c r="K231" t="s">
        <v>19</v>
      </c>
      <c r="L231" t="s">
        <v>20</v>
      </c>
      <c r="M231" s="9">
        <v>69101</v>
      </c>
      <c r="N231" t="s">
        <v>3477</v>
      </c>
      <c r="O231">
        <v>18</v>
      </c>
      <c r="P231" t="s">
        <v>3477</v>
      </c>
      <c r="Q231">
        <v>18</v>
      </c>
      <c r="R231" s="13">
        <v>10390</v>
      </c>
      <c r="S231" s="13">
        <v>7272.9999999999991</v>
      </c>
    </row>
    <row r="232" spans="1:19">
      <c r="A232" s="9" t="s">
        <v>22</v>
      </c>
      <c r="B232" s="9" t="s">
        <v>26</v>
      </c>
      <c r="C232" s="9" t="s">
        <v>86</v>
      </c>
      <c r="D232" t="s">
        <v>204</v>
      </c>
      <c r="F232" s="12" t="s">
        <v>1736</v>
      </c>
      <c r="G232" s="10" t="s">
        <v>371</v>
      </c>
      <c r="H232" s="10" t="s">
        <v>371</v>
      </c>
      <c r="K232" t="s">
        <v>19</v>
      </c>
      <c r="L232" t="s">
        <v>20</v>
      </c>
      <c r="M232" s="9">
        <v>69101</v>
      </c>
      <c r="N232" t="s">
        <v>3477</v>
      </c>
      <c r="O232">
        <v>18</v>
      </c>
      <c r="P232" t="s">
        <v>3477</v>
      </c>
      <c r="Q232">
        <v>18</v>
      </c>
      <c r="R232" s="13">
        <v>12000</v>
      </c>
      <c r="S232" s="13">
        <v>8400</v>
      </c>
    </row>
    <row r="233" spans="1:19">
      <c r="A233" s="9" t="s">
        <v>22</v>
      </c>
      <c r="B233" s="9" t="s">
        <v>27</v>
      </c>
      <c r="C233" s="9" t="s">
        <v>104</v>
      </c>
      <c r="D233" t="s">
        <v>204</v>
      </c>
      <c r="F233" s="12" t="s">
        <v>1737</v>
      </c>
      <c r="G233" s="10" t="s">
        <v>372</v>
      </c>
      <c r="H233" s="10" t="s">
        <v>372</v>
      </c>
      <c r="K233" t="s">
        <v>19</v>
      </c>
      <c r="L233" t="s">
        <v>20</v>
      </c>
      <c r="M233" s="9">
        <v>8481802</v>
      </c>
      <c r="N233" t="s">
        <v>3477</v>
      </c>
      <c r="O233">
        <v>18</v>
      </c>
      <c r="P233" t="s">
        <v>3477</v>
      </c>
      <c r="Q233">
        <v>18</v>
      </c>
      <c r="R233" s="13">
        <v>6990</v>
      </c>
      <c r="S233" s="13">
        <v>4893</v>
      </c>
    </row>
    <row r="234" spans="1:19">
      <c r="A234" s="9" t="s">
        <v>22</v>
      </c>
      <c r="B234" s="9" t="s">
        <v>27</v>
      </c>
      <c r="C234" s="9" t="s">
        <v>104</v>
      </c>
      <c r="D234" t="s">
        <v>204</v>
      </c>
      <c r="F234" s="12" t="s">
        <v>1738</v>
      </c>
      <c r="G234" s="10" t="s">
        <v>373</v>
      </c>
      <c r="H234" s="10" t="s">
        <v>373</v>
      </c>
      <c r="K234" t="s">
        <v>19</v>
      </c>
      <c r="L234" t="s">
        <v>20</v>
      </c>
      <c r="M234" s="9">
        <v>8481802</v>
      </c>
      <c r="N234" t="s">
        <v>3477</v>
      </c>
      <c r="O234">
        <v>18</v>
      </c>
      <c r="P234" t="s">
        <v>3477</v>
      </c>
      <c r="Q234">
        <v>18</v>
      </c>
      <c r="R234" s="13">
        <v>7940</v>
      </c>
      <c r="S234" s="13">
        <v>5558</v>
      </c>
    </row>
    <row r="235" spans="1:19">
      <c r="A235" s="9" t="s">
        <v>24</v>
      </c>
      <c r="B235" s="9" t="s">
        <v>27</v>
      </c>
      <c r="C235" s="9" t="s">
        <v>61</v>
      </c>
      <c r="D235" t="s">
        <v>204</v>
      </c>
      <c r="F235" s="12" t="s">
        <v>1739</v>
      </c>
      <c r="G235" s="10" t="s">
        <v>374</v>
      </c>
      <c r="H235" s="10" t="s">
        <v>374</v>
      </c>
      <c r="K235" t="s">
        <v>19</v>
      </c>
      <c r="L235" t="s">
        <v>20</v>
      </c>
      <c r="M235" s="9">
        <v>8481802</v>
      </c>
      <c r="N235" t="s">
        <v>3477</v>
      </c>
      <c r="O235">
        <v>18</v>
      </c>
      <c r="P235" t="s">
        <v>3477</v>
      </c>
      <c r="Q235">
        <v>18</v>
      </c>
      <c r="R235" s="13">
        <v>5900</v>
      </c>
      <c r="S235" s="13">
        <v>4425</v>
      </c>
    </row>
    <row r="236" spans="1:19">
      <c r="A236" s="9" t="s">
        <v>22</v>
      </c>
      <c r="B236" s="9" t="s">
        <v>27</v>
      </c>
      <c r="C236" s="9" t="s">
        <v>51</v>
      </c>
      <c r="D236" t="s">
        <v>204</v>
      </c>
      <c r="F236" s="12" t="s">
        <v>1740</v>
      </c>
      <c r="G236" s="10" t="s">
        <v>375</v>
      </c>
      <c r="H236" s="10" t="s">
        <v>375</v>
      </c>
      <c r="K236" t="s">
        <v>19</v>
      </c>
      <c r="L236" t="s">
        <v>20</v>
      </c>
      <c r="M236" s="9">
        <v>8481909</v>
      </c>
      <c r="N236" t="s">
        <v>3477</v>
      </c>
      <c r="O236">
        <v>18</v>
      </c>
      <c r="P236" t="s">
        <v>3477</v>
      </c>
      <c r="Q236">
        <v>18</v>
      </c>
      <c r="R236" s="13">
        <v>7750</v>
      </c>
      <c r="S236" s="13">
        <v>5425</v>
      </c>
    </row>
    <row r="237" spans="1:19">
      <c r="A237" s="9" t="s">
        <v>22</v>
      </c>
      <c r="B237" s="9" t="s">
        <v>27</v>
      </c>
      <c r="C237" s="9" t="s">
        <v>51</v>
      </c>
      <c r="D237" t="s">
        <v>204</v>
      </c>
      <c r="F237" s="12" t="s">
        <v>1741</v>
      </c>
      <c r="G237" s="10" t="s">
        <v>374</v>
      </c>
      <c r="H237" s="10" t="s">
        <v>374</v>
      </c>
      <c r="K237" t="s">
        <v>19</v>
      </c>
      <c r="L237" t="s">
        <v>20</v>
      </c>
      <c r="M237" s="9">
        <v>8481909</v>
      </c>
      <c r="N237" t="s">
        <v>3477</v>
      </c>
      <c r="O237">
        <v>18</v>
      </c>
      <c r="P237" t="s">
        <v>3477</v>
      </c>
      <c r="Q237">
        <v>18</v>
      </c>
      <c r="R237" s="13">
        <v>8680</v>
      </c>
      <c r="S237" s="13">
        <v>6076</v>
      </c>
    </row>
    <row r="238" spans="1:19">
      <c r="A238" s="9" t="s">
        <v>22</v>
      </c>
      <c r="B238" s="9" t="s">
        <v>27</v>
      </c>
      <c r="C238" s="9" t="s">
        <v>51</v>
      </c>
      <c r="D238" t="s">
        <v>204</v>
      </c>
      <c r="F238" s="12" t="s">
        <v>1742</v>
      </c>
      <c r="G238" s="10" t="s">
        <v>376</v>
      </c>
      <c r="H238" s="10" t="s">
        <v>376</v>
      </c>
      <c r="K238" t="s">
        <v>19</v>
      </c>
      <c r="L238" t="s">
        <v>20</v>
      </c>
      <c r="M238" s="9">
        <v>8481909</v>
      </c>
      <c r="N238" t="s">
        <v>3477</v>
      </c>
      <c r="O238">
        <v>18</v>
      </c>
      <c r="P238" t="s">
        <v>3477</v>
      </c>
      <c r="Q238">
        <v>18</v>
      </c>
      <c r="R238" s="13">
        <v>6200</v>
      </c>
      <c r="S238" s="13">
        <v>4340</v>
      </c>
    </row>
    <row r="239" spans="1:19">
      <c r="A239" s="9" t="s">
        <v>22</v>
      </c>
      <c r="B239" s="9" t="s">
        <v>26</v>
      </c>
      <c r="C239" s="9" t="s">
        <v>98</v>
      </c>
      <c r="D239" t="s">
        <v>204</v>
      </c>
      <c r="F239" s="12" t="s">
        <v>1743</v>
      </c>
      <c r="G239" s="10" t="s">
        <v>377</v>
      </c>
      <c r="H239" s="10" t="s">
        <v>377</v>
      </c>
      <c r="K239" t="s">
        <v>19</v>
      </c>
      <c r="L239" t="s">
        <v>20</v>
      </c>
      <c r="M239" s="9">
        <v>39229</v>
      </c>
      <c r="N239" t="s">
        <v>3477</v>
      </c>
      <c r="O239">
        <v>18</v>
      </c>
      <c r="P239" t="s">
        <v>3477</v>
      </c>
      <c r="Q239">
        <v>18</v>
      </c>
      <c r="R239" s="13">
        <v>10000</v>
      </c>
      <c r="S239" s="13">
        <v>7000</v>
      </c>
    </row>
    <row r="240" spans="1:19">
      <c r="A240" s="9" t="s">
        <v>22</v>
      </c>
      <c r="B240" s="9" t="s">
        <v>26</v>
      </c>
      <c r="C240" s="9" t="s">
        <v>98</v>
      </c>
      <c r="D240" t="s">
        <v>204</v>
      </c>
      <c r="F240" s="12" t="s">
        <v>1744</v>
      </c>
      <c r="G240" s="10" t="s">
        <v>378</v>
      </c>
      <c r="H240" s="10" t="s">
        <v>378</v>
      </c>
      <c r="K240" t="s">
        <v>19</v>
      </c>
      <c r="L240" t="s">
        <v>20</v>
      </c>
      <c r="M240" s="9">
        <v>39229</v>
      </c>
      <c r="N240" t="s">
        <v>3477</v>
      </c>
      <c r="O240">
        <v>18</v>
      </c>
      <c r="P240" t="s">
        <v>3477</v>
      </c>
      <c r="Q240">
        <v>18</v>
      </c>
      <c r="R240" s="13">
        <v>12400</v>
      </c>
      <c r="S240" s="13">
        <v>8680</v>
      </c>
    </row>
    <row r="241" spans="1:19">
      <c r="A241" s="9" t="s">
        <v>22</v>
      </c>
      <c r="B241" s="9" t="s">
        <v>26</v>
      </c>
      <c r="C241" s="9" t="s">
        <v>98</v>
      </c>
      <c r="D241" t="s">
        <v>204</v>
      </c>
      <c r="F241" s="12" t="s">
        <v>1745</v>
      </c>
      <c r="G241" s="10" t="s">
        <v>379</v>
      </c>
      <c r="H241" s="10" t="s">
        <v>379</v>
      </c>
      <c r="K241" t="s">
        <v>19</v>
      </c>
      <c r="L241" t="s">
        <v>20</v>
      </c>
      <c r="M241" s="9">
        <v>39229</v>
      </c>
      <c r="N241" t="s">
        <v>3477</v>
      </c>
      <c r="O241">
        <v>18</v>
      </c>
      <c r="P241" t="s">
        <v>3477</v>
      </c>
      <c r="Q241">
        <v>18</v>
      </c>
      <c r="R241" s="13">
        <v>8900</v>
      </c>
      <c r="S241" s="13">
        <v>6230</v>
      </c>
    </row>
    <row r="242" spans="1:19">
      <c r="A242" s="9" t="s">
        <v>22</v>
      </c>
      <c r="B242" s="9" t="s">
        <v>27</v>
      </c>
      <c r="C242" s="9" t="s">
        <v>58</v>
      </c>
      <c r="D242" t="s">
        <v>204</v>
      </c>
      <c r="F242" s="12" t="s">
        <v>1746</v>
      </c>
      <c r="G242" s="10" t="s">
        <v>380</v>
      </c>
      <c r="H242" s="10" t="s">
        <v>380</v>
      </c>
      <c r="K242" t="s">
        <v>19</v>
      </c>
      <c r="L242" t="s">
        <v>20</v>
      </c>
      <c r="M242" s="9">
        <v>7418202</v>
      </c>
      <c r="N242" t="s">
        <v>3477</v>
      </c>
      <c r="O242">
        <v>18</v>
      </c>
      <c r="P242" t="s">
        <v>3477</v>
      </c>
      <c r="Q242">
        <v>18</v>
      </c>
      <c r="R242" s="13">
        <v>6000</v>
      </c>
      <c r="S242" s="13">
        <v>4200</v>
      </c>
    </row>
    <row r="243" spans="1:19">
      <c r="A243" s="9" t="s">
        <v>22</v>
      </c>
      <c r="B243" s="9" t="s">
        <v>27</v>
      </c>
      <c r="C243" s="9" t="s">
        <v>58</v>
      </c>
      <c r="D243" t="s">
        <v>204</v>
      </c>
      <c r="F243" s="12" t="s">
        <v>1747</v>
      </c>
      <c r="G243" s="10" t="s">
        <v>381</v>
      </c>
      <c r="H243" s="10" t="s">
        <v>381</v>
      </c>
      <c r="K243" t="s">
        <v>19</v>
      </c>
      <c r="L243" t="s">
        <v>20</v>
      </c>
      <c r="M243" s="9">
        <v>7418202</v>
      </c>
      <c r="N243" t="s">
        <v>3477</v>
      </c>
      <c r="O243">
        <v>18</v>
      </c>
      <c r="P243" t="s">
        <v>3477</v>
      </c>
      <c r="Q243">
        <v>18</v>
      </c>
      <c r="R243" s="13">
        <v>6000</v>
      </c>
      <c r="S243" s="13">
        <v>4200</v>
      </c>
    </row>
    <row r="244" spans="1:19">
      <c r="A244" s="9" t="s">
        <v>23</v>
      </c>
      <c r="B244" s="9" t="s">
        <v>26</v>
      </c>
      <c r="C244" s="9" t="s">
        <v>76</v>
      </c>
      <c r="D244" t="s">
        <v>204</v>
      </c>
      <c r="F244" s="12" t="s">
        <v>1748</v>
      </c>
      <c r="G244" s="10" t="s">
        <v>382</v>
      </c>
      <c r="H244" s="10" t="s">
        <v>382</v>
      </c>
      <c r="K244" t="s">
        <v>19</v>
      </c>
      <c r="L244" t="s">
        <v>20</v>
      </c>
      <c r="M244" s="9">
        <v>39222</v>
      </c>
      <c r="N244" t="s">
        <v>3477</v>
      </c>
      <c r="O244">
        <v>18</v>
      </c>
      <c r="P244" t="s">
        <v>3477</v>
      </c>
      <c r="Q244">
        <v>18</v>
      </c>
      <c r="R244" s="13">
        <v>14000</v>
      </c>
      <c r="S244" s="13">
        <v>8400</v>
      </c>
    </row>
    <row r="245" spans="1:19">
      <c r="A245" s="9" t="s">
        <v>23</v>
      </c>
      <c r="B245" s="9" t="s">
        <v>26</v>
      </c>
      <c r="C245" s="9" t="s">
        <v>76</v>
      </c>
      <c r="D245" t="s">
        <v>204</v>
      </c>
      <c r="F245" s="12" t="s">
        <v>1749</v>
      </c>
      <c r="G245" s="10" t="s">
        <v>383</v>
      </c>
      <c r="H245" s="10" t="s">
        <v>383</v>
      </c>
      <c r="K245" t="s">
        <v>19</v>
      </c>
      <c r="L245" t="s">
        <v>20</v>
      </c>
      <c r="M245" s="9">
        <v>39222</v>
      </c>
      <c r="N245" t="s">
        <v>3477</v>
      </c>
      <c r="O245">
        <v>18</v>
      </c>
      <c r="P245" t="s">
        <v>3477</v>
      </c>
      <c r="Q245">
        <v>18</v>
      </c>
      <c r="R245" s="13">
        <v>16100</v>
      </c>
      <c r="S245" s="13">
        <v>9660</v>
      </c>
    </row>
    <row r="246" spans="1:19">
      <c r="A246" s="9" t="s">
        <v>22</v>
      </c>
      <c r="B246" s="9" t="s">
        <v>26</v>
      </c>
      <c r="C246" s="9" t="s">
        <v>43</v>
      </c>
      <c r="D246" t="s">
        <v>204</v>
      </c>
      <c r="F246" s="12" t="s">
        <v>1750</v>
      </c>
      <c r="G246" s="10" t="s">
        <v>383</v>
      </c>
      <c r="H246" s="10" t="s">
        <v>383</v>
      </c>
      <c r="K246" t="s">
        <v>19</v>
      </c>
      <c r="L246" t="s">
        <v>20</v>
      </c>
      <c r="M246" s="9">
        <v>69101</v>
      </c>
      <c r="N246" t="s">
        <v>3477</v>
      </c>
      <c r="O246">
        <v>18</v>
      </c>
      <c r="P246" t="s">
        <v>3477</v>
      </c>
      <c r="Q246">
        <v>18</v>
      </c>
      <c r="R246" s="13">
        <v>23000</v>
      </c>
      <c r="S246" s="13">
        <v>16099.999999999998</v>
      </c>
    </row>
    <row r="247" spans="1:19">
      <c r="A247" s="9" t="s">
        <v>22</v>
      </c>
      <c r="B247" s="9" t="s">
        <v>26</v>
      </c>
      <c r="C247" s="9" t="s">
        <v>43</v>
      </c>
      <c r="D247" t="s">
        <v>204</v>
      </c>
      <c r="F247" s="12" t="s">
        <v>1751</v>
      </c>
      <c r="G247" s="10" t="s">
        <v>384</v>
      </c>
      <c r="H247" s="10" t="s">
        <v>384</v>
      </c>
      <c r="K247" t="s">
        <v>19</v>
      </c>
      <c r="L247" t="s">
        <v>20</v>
      </c>
      <c r="M247" s="9">
        <v>69101</v>
      </c>
      <c r="N247" t="s">
        <v>3477</v>
      </c>
      <c r="O247">
        <v>18</v>
      </c>
      <c r="P247" t="s">
        <v>3477</v>
      </c>
      <c r="Q247">
        <v>18</v>
      </c>
      <c r="R247" s="13">
        <v>26450</v>
      </c>
      <c r="S247" s="13">
        <v>18515</v>
      </c>
    </row>
    <row r="248" spans="1:19">
      <c r="A248" s="9" t="s">
        <v>22</v>
      </c>
      <c r="B248" s="9" t="s">
        <v>26</v>
      </c>
      <c r="C248" s="9" t="s">
        <v>103</v>
      </c>
      <c r="D248" t="s">
        <v>204</v>
      </c>
      <c r="F248" s="12" t="s">
        <v>1752</v>
      </c>
      <c r="G248" s="10" t="s">
        <v>385</v>
      </c>
      <c r="H248" s="10" t="s">
        <v>385</v>
      </c>
      <c r="K248" t="s">
        <v>19</v>
      </c>
      <c r="L248" t="s">
        <v>20</v>
      </c>
      <c r="M248" s="9">
        <v>69101</v>
      </c>
      <c r="N248" t="s">
        <v>3477</v>
      </c>
      <c r="O248">
        <v>18</v>
      </c>
      <c r="P248" t="s">
        <v>3477</v>
      </c>
      <c r="Q248">
        <v>18</v>
      </c>
      <c r="R248" s="13">
        <v>17500</v>
      </c>
      <c r="S248" s="13">
        <v>12250</v>
      </c>
    </row>
    <row r="249" spans="1:19">
      <c r="A249" s="9" t="s">
        <v>22</v>
      </c>
      <c r="B249" s="9" t="s">
        <v>26</v>
      </c>
      <c r="C249" s="9" t="s">
        <v>103</v>
      </c>
      <c r="D249" t="s">
        <v>204</v>
      </c>
      <c r="F249" s="12" t="s">
        <v>1753</v>
      </c>
      <c r="G249" s="10" t="s">
        <v>385</v>
      </c>
      <c r="H249" s="10" t="s">
        <v>385</v>
      </c>
      <c r="K249" t="s">
        <v>19</v>
      </c>
      <c r="L249" t="s">
        <v>20</v>
      </c>
      <c r="M249" s="9">
        <v>69101</v>
      </c>
      <c r="N249" t="s">
        <v>3477</v>
      </c>
      <c r="O249">
        <v>18</v>
      </c>
      <c r="P249" t="s">
        <v>3477</v>
      </c>
      <c r="Q249">
        <v>18</v>
      </c>
      <c r="R249" s="13">
        <v>20125</v>
      </c>
      <c r="S249" s="13">
        <v>14087.5</v>
      </c>
    </row>
    <row r="250" spans="1:19">
      <c r="A250" s="9" t="s">
        <v>22</v>
      </c>
      <c r="B250" s="9" t="s">
        <v>26</v>
      </c>
      <c r="C250" s="9" t="s">
        <v>103</v>
      </c>
      <c r="D250" t="s">
        <v>204</v>
      </c>
      <c r="F250" s="12" t="s">
        <v>1754</v>
      </c>
      <c r="G250" s="10" t="s">
        <v>386</v>
      </c>
      <c r="H250" s="10" t="s">
        <v>386</v>
      </c>
      <c r="K250" t="s">
        <v>19</v>
      </c>
      <c r="L250" t="s">
        <v>20</v>
      </c>
      <c r="M250" s="9">
        <v>69101</v>
      </c>
      <c r="N250" t="s">
        <v>3477</v>
      </c>
      <c r="O250">
        <v>18</v>
      </c>
      <c r="P250" t="s">
        <v>3477</v>
      </c>
      <c r="Q250">
        <v>18</v>
      </c>
      <c r="R250" s="13">
        <v>20200</v>
      </c>
      <c r="S250" s="13">
        <v>14140</v>
      </c>
    </row>
    <row r="251" spans="1:19">
      <c r="A251" s="9" t="s">
        <v>22</v>
      </c>
      <c r="B251" s="9" t="s">
        <v>26</v>
      </c>
      <c r="C251" s="9" t="s">
        <v>76</v>
      </c>
      <c r="D251" t="s">
        <v>204</v>
      </c>
      <c r="F251" s="12" t="s">
        <v>1755</v>
      </c>
      <c r="G251" s="10" t="s">
        <v>386</v>
      </c>
      <c r="H251" s="10" t="s">
        <v>386</v>
      </c>
      <c r="K251" t="s">
        <v>19</v>
      </c>
      <c r="L251" t="s">
        <v>20</v>
      </c>
      <c r="M251" s="9">
        <v>39222</v>
      </c>
      <c r="N251" t="s">
        <v>3477</v>
      </c>
      <c r="O251">
        <v>18</v>
      </c>
      <c r="P251" t="s">
        <v>3477</v>
      </c>
      <c r="Q251">
        <v>18</v>
      </c>
      <c r="R251" s="13">
        <v>5500</v>
      </c>
      <c r="S251" s="13">
        <v>3849.9999999999995</v>
      </c>
    </row>
    <row r="252" spans="1:19">
      <c r="A252" s="9" t="s">
        <v>22</v>
      </c>
      <c r="B252" s="9" t="s">
        <v>26</v>
      </c>
      <c r="C252" s="9" t="s">
        <v>76</v>
      </c>
      <c r="D252" t="s">
        <v>204</v>
      </c>
      <c r="F252" s="12" t="s">
        <v>1756</v>
      </c>
      <c r="G252" s="10" t="s">
        <v>387</v>
      </c>
      <c r="H252" s="10" t="s">
        <v>387</v>
      </c>
      <c r="K252" t="s">
        <v>19</v>
      </c>
      <c r="L252" t="s">
        <v>20</v>
      </c>
      <c r="M252" s="9">
        <v>69101</v>
      </c>
      <c r="N252" t="s">
        <v>3477</v>
      </c>
      <c r="O252">
        <v>18</v>
      </c>
      <c r="P252" t="s">
        <v>3477</v>
      </c>
      <c r="Q252">
        <v>18</v>
      </c>
      <c r="R252" s="13">
        <v>6325</v>
      </c>
      <c r="S252" s="13">
        <v>4427.5</v>
      </c>
    </row>
    <row r="253" spans="1:19">
      <c r="A253" s="9" t="s">
        <v>23</v>
      </c>
      <c r="B253" s="9" t="s">
        <v>29</v>
      </c>
      <c r="C253" s="9" t="s">
        <v>68</v>
      </c>
      <c r="D253" t="s">
        <v>204</v>
      </c>
      <c r="F253" s="12" t="s">
        <v>1757</v>
      </c>
      <c r="G253" s="10" t="s">
        <v>388</v>
      </c>
      <c r="H253" s="10" t="s">
        <v>388</v>
      </c>
      <c r="K253" t="s">
        <v>19</v>
      </c>
      <c r="L253" t="s">
        <v>20</v>
      </c>
      <c r="M253" s="9">
        <v>39221</v>
      </c>
      <c r="N253" t="s">
        <v>3477</v>
      </c>
      <c r="O253">
        <v>18</v>
      </c>
      <c r="P253" t="s">
        <v>3477</v>
      </c>
      <c r="Q253">
        <v>18</v>
      </c>
      <c r="R253" s="13">
        <v>550000</v>
      </c>
      <c r="S253" s="13">
        <v>330000</v>
      </c>
    </row>
    <row r="254" spans="1:19">
      <c r="A254" s="9" t="s">
        <v>23</v>
      </c>
      <c r="B254" s="9" t="s">
        <v>34</v>
      </c>
      <c r="C254" s="9" t="s">
        <v>105</v>
      </c>
      <c r="D254" t="s">
        <v>204</v>
      </c>
      <c r="F254" s="12" t="s">
        <v>1758</v>
      </c>
      <c r="G254" s="10" t="s">
        <v>389</v>
      </c>
      <c r="H254" s="10" t="s">
        <v>389</v>
      </c>
      <c r="K254" t="s">
        <v>19</v>
      </c>
      <c r="L254" t="s">
        <v>20</v>
      </c>
      <c r="M254" s="9">
        <v>69101</v>
      </c>
      <c r="N254" t="s">
        <v>3477</v>
      </c>
      <c r="O254">
        <v>18</v>
      </c>
      <c r="P254" t="s">
        <v>3477</v>
      </c>
      <c r="Q254">
        <v>18</v>
      </c>
      <c r="R254" s="13">
        <v>135500</v>
      </c>
      <c r="S254" s="13">
        <v>81300</v>
      </c>
    </row>
    <row r="255" spans="1:19">
      <c r="A255" s="9" t="s">
        <v>22</v>
      </c>
      <c r="B255" s="9" t="s">
        <v>30</v>
      </c>
      <c r="C255" s="9" t="s">
        <v>50</v>
      </c>
      <c r="D255" t="s">
        <v>204</v>
      </c>
      <c r="F255" s="12" t="s">
        <v>1759</v>
      </c>
      <c r="G255" s="10" t="s">
        <v>390</v>
      </c>
      <c r="H255" s="10" t="s">
        <v>390</v>
      </c>
      <c r="K255" t="s">
        <v>19</v>
      </c>
      <c r="L255" t="s">
        <v>20</v>
      </c>
      <c r="M255" s="9">
        <v>7418202</v>
      </c>
      <c r="N255" t="s">
        <v>3477</v>
      </c>
      <c r="O255">
        <v>18</v>
      </c>
      <c r="P255" t="s">
        <v>3477</v>
      </c>
      <c r="Q255">
        <v>18</v>
      </c>
      <c r="R255" s="13">
        <v>778</v>
      </c>
      <c r="S255" s="13">
        <v>544.59999999999991</v>
      </c>
    </row>
    <row r="256" spans="1:19">
      <c r="A256" s="9" t="s">
        <v>22</v>
      </c>
      <c r="B256" s="9" t="s">
        <v>27</v>
      </c>
      <c r="C256" s="9" t="s">
        <v>50</v>
      </c>
      <c r="D256" t="s">
        <v>204</v>
      </c>
      <c r="F256" s="12" t="s">
        <v>1760</v>
      </c>
      <c r="G256" s="10" t="s">
        <v>391</v>
      </c>
      <c r="H256" s="10" t="s">
        <v>391</v>
      </c>
      <c r="K256" t="s">
        <v>19</v>
      </c>
      <c r="L256" t="s">
        <v>20</v>
      </c>
      <c r="M256" s="9">
        <v>39229</v>
      </c>
      <c r="N256" t="s">
        <v>3477</v>
      </c>
      <c r="O256">
        <v>18</v>
      </c>
      <c r="P256" t="s">
        <v>3477</v>
      </c>
      <c r="Q256">
        <v>18</v>
      </c>
      <c r="R256" s="13">
        <v>152</v>
      </c>
      <c r="S256" s="13">
        <v>106.39999999999999</v>
      </c>
    </row>
    <row r="257" spans="1:19">
      <c r="A257" s="9" t="s">
        <v>22</v>
      </c>
      <c r="B257" s="9" t="s">
        <v>35</v>
      </c>
      <c r="C257" s="9" t="s">
        <v>106</v>
      </c>
      <c r="D257" t="s">
        <v>204</v>
      </c>
      <c r="F257" s="12" t="s">
        <v>1761</v>
      </c>
      <c r="G257" s="10" t="s">
        <v>392</v>
      </c>
      <c r="H257" s="10" t="s">
        <v>392</v>
      </c>
      <c r="K257" t="s">
        <v>19</v>
      </c>
      <c r="L257" t="s">
        <v>20</v>
      </c>
      <c r="M257" s="9">
        <v>3925909</v>
      </c>
      <c r="N257" t="s">
        <v>3477</v>
      </c>
      <c r="O257">
        <v>18</v>
      </c>
      <c r="P257" t="s">
        <v>3477</v>
      </c>
      <c r="Q257">
        <v>18</v>
      </c>
      <c r="R257" s="13">
        <v>12000</v>
      </c>
      <c r="S257" s="13">
        <v>8400</v>
      </c>
    </row>
    <row r="258" spans="1:19">
      <c r="A258" s="9" t="s">
        <v>24</v>
      </c>
      <c r="B258" s="9" t="s">
        <v>27</v>
      </c>
      <c r="C258" s="9" t="s">
        <v>107</v>
      </c>
      <c r="D258" t="s">
        <v>204</v>
      </c>
      <c r="F258" s="12" t="s">
        <v>1762</v>
      </c>
      <c r="G258" s="10" t="s">
        <v>393</v>
      </c>
      <c r="H258" s="10" t="s">
        <v>393</v>
      </c>
      <c r="K258" t="s">
        <v>19</v>
      </c>
      <c r="L258" t="s">
        <v>20</v>
      </c>
      <c r="M258" s="9">
        <v>8481802</v>
      </c>
      <c r="N258" t="s">
        <v>3477</v>
      </c>
      <c r="O258">
        <v>18</v>
      </c>
      <c r="P258" t="s">
        <v>3477</v>
      </c>
      <c r="Q258">
        <v>18</v>
      </c>
      <c r="R258" s="13">
        <v>5500</v>
      </c>
      <c r="S258" s="13">
        <v>4125</v>
      </c>
    </row>
    <row r="259" spans="1:19">
      <c r="A259" s="9" t="s">
        <v>22</v>
      </c>
      <c r="B259" s="9" t="s">
        <v>27</v>
      </c>
      <c r="C259" s="9" t="s">
        <v>107</v>
      </c>
      <c r="D259" t="s">
        <v>204</v>
      </c>
      <c r="F259" s="12" t="s">
        <v>1763</v>
      </c>
      <c r="G259" s="10" t="s">
        <v>394</v>
      </c>
      <c r="H259" s="10" t="s">
        <v>394</v>
      </c>
      <c r="K259" t="s">
        <v>19</v>
      </c>
      <c r="L259" t="s">
        <v>20</v>
      </c>
      <c r="M259" s="9">
        <v>8481802</v>
      </c>
      <c r="N259" t="s">
        <v>3477</v>
      </c>
      <c r="O259">
        <v>18</v>
      </c>
      <c r="P259" t="s">
        <v>3477</v>
      </c>
      <c r="Q259">
        <v>18</v>
      </c>
      <c r="R259" s="13">
        <v>7800</v>
      </c>
      <c r="S259" s="13">
        <v>5460</v>
      </c>
    </row>
    <row r="260" spans="1:19">
      <c r="A260" s="9" t="s">
        <v>24</v>
      </c>
      <c r="B260" s="9" t="s">
        <v>27</v>
      </c>
      <c r="C260" s="9" t="s">
        <v>108</v>
      </c>
      <c r="D260" t="s">
        <v>204</v>
      </c>
      <c r="F260" s="12" t="s">
        <v>1764</v>
      </c>
      <c r="G260" s="10" t="s">
        <v>395</v>
      </c>
      <c r="H260" s="10" t="s">
        <v>395</v>
      </c>
      <c r="K260" t="s">
        <v>19</v>
      </c>
      <c r="L260" t="s">
        <v>20</v>
      </c>
      <c r="M260" s="9">
        <v>8481802</v>
      </c>
      <c r="N260" t="s">
        <v>3477</v>
      </c>
      <c r="O260">
        <v>18</v>
      </c>
      <c r="P260" t="s">
        <v>3477</v>
      </c>
      <c r="Q260">
        <v>18</v>
      </c>
      <c r="R260" s="13">
        <v>5300</v>
      </c>
      <c r="S260" s="13">
        <v>3975</v>
      </c>
    </row>
    <row r="261" spans="1:19">
      <c r="A261" s="9" t="s">
        <v>22</v>
      </c>
      <c r="B261" s="9" t="s">
        <v>27</v>
      </c>
      <c r="C261" s="9" t="s">
        <v>108</v>
      </c>
      <c r="D261" t="s">
        <v>204</v>
      </c>
      <c r="F261" s="12" t="s">
        <v>1765</v>
      </c>
      <c r="G261" s="10" t="s">
        <v>396</v>
      </c>
      <c r="H261" s="10" t="s">
        <v>396</v>
      </c>
      <c r="K261" t="s">
        <v>19</v>
      </c>
      <c r="L261" t="s">
        <v>20</v>
      </c>
      <c r="M261" s="9">
        <v>8481802</v>
      </c>
      <c r="N261" t="s">
        <v>3477</v>
      </c>
      <c r="O261">
        <v>18</v>
      </c>
      <c r="P261" t="s">
        <v>3477</v>
      </c>
      <c r="Q261">
        <v>18</v>
      </c>
      <c r="R261" s="13">
        <v>6240</v>
      </c>
      <c r="S261" s="13">
        <v>4368</v>
      </c>
    </row>
    <row r="262" spans="1:19">
      <c r="A262" s="9" t="s">
        <v>22</v>
      </c>
      <c r="B262" s="9" t="s">
        <v>27</v>
      </c>
      <c r="C262" s="9" t="s">
        <v>108</v>
      </c>
      <c r="D262" t="s">
        <v>204</v>
      </c>
      <c r="F262" s="12" t="s">
        <v>1766</v>
      </c>
      <c r="G262" s="10" t="s">
        <v>397</v>
      </c>
      <c r="H262" s="10" t="s">
        <v>397</v>
      </c>
      <c r="K262" t="s">
        <v>19</v>
      </c>
      <c r="L262" t="s">
        <v>20</v>
      </c>
      <c r="M262" s="9">
        <v>8481802</v>
      </c>
      <c r="N262" t="s">
        <v>3477</v>
      </c>
      <c r="O262">
        <v>18</v>
      </c>
      <c r="P262" t="s">
        <v>3477</v>
      </c>
      <c r="Q262">
        <v>18</v>
      </c>
      <c r="R262" s="13">
        <v>7400</v>
      </c>
      <c r="S262" s="13">
        <v>5180</v>
      </c>
    </row>
    <row r="263" spans="1:19">
      <c r="A263" s="9" t="s">
        <v>24</v>
      </c>
      <c r="B263" s="9" t="s">
        <v>27</v>
      </c>
      <c r="C263" s="9" t="s">
        <v>109</v>
      </c>
      <c r="D263" t="s">
        <v>204</v>
      </c>
      <c r="F263" s="12" t="s">
        <v>1767</v>
      </c>
      <c r="G263" s="10" t="s">
        <v>398</v>
      </c>
      <c r="H263" s="10" t="s">
        <v>398</v>
      </c>
      <c r="K263" t="s">
        <v>19</v>
      </c>
      <c r="L263" t="s">
        <v>20</v>
      </c>
      <c r="M263" s="9">
        <v>8481802</v>
      </c>
      <c r="N263" t="s">
        <v>3477</v>
      </c>
      <c r="O263">
        <v>18</v>
      </c>
      <c r="P263" t="s">
        <v>3477</v>
      </c>
      <c r="Q263">
        <v>18</v>
      </c>
      <c r="R263" s="13">
        <v>8900</v>
      </c>
      <c r="S263" s="13">
        <v>6675</v>
      </c>
    </row>
    <row r="264" spans="1:19">
      <c r="A264" s="9" t="s">
        <v>22</v>
      </c>
      <c r="B264" s="9" t="s">
        <v>27</v>
      </c>
      <c r="C264" s="9" t="s">
        <v>109</v>
      </c>
      <c r="D264" t="s">
        <v>204</v>
      </c>
      <c r="F264" s="12" t="s">
        <v>1768</v>
      </c>
      <c r="G264" s="10" t="s">
        <v>399</v>
      </c>
      <c r="H264" s="10" t="s">
        <v>399</v>
      </c>
      <c r="K264" t="s">
        <v>19</v>
      </c>
      <c r="L264" t="s">
        <v>20</v>
      </c>
      <c r="M264" s="9">
        <v>8481802</v>
      </c>
      <c r="N264" t="s">
        <v>3477</v>
      </c>
      <c r="O264">
        <v>18</v>
      </c>
      <c r="P264" t="s">
        <v>3477</v>
      </c>
      <c r="Q264">
        <v>18</v>
      </c>
      <c r="R264" s="13">
        <v>10470</v>
      </c>
      <c r="S264" s="13">
        <v>7328.9999999999991</v>
      </c>
    </row>
    <row r="265" spans="1:19">
      <c r="A265" s="9" t="s">
        <v>22</v>
      </c>
      <c r="B265" s="9" t="s">
        <v>27</v>
      </c>
      <c r="C265" s="9" t="s">
        <v>109</v>
      </c>
      <c r="D265" t="s">
        <v>204</v>
      </c>
      <c r="F265" s="12" t="s">
        <v>1769</v>
      </c>
      <c r="G265" s="10" t="s">
        <v>400</v>
      </c>
      <c r="H265" s="10" t="s">
        <v>400</v>
      </c>
      <c r="K265" t="s">
        <v>19</v>
      </c>
      <c r="L265" t="s">
        <v>20</v>
      </c>
      <c r="M265" s="9">
        <v>8481802</v>
      </c>
      <c r="N265" t="s">
        <v>3477</v>
      </c>
      <c r="O265">
        <v>18</v>
      </c>
      <c r="P265" t="s">
        <v>3477</v>
      </c>
      <c r="Q265">
        <v>18</v>
      </c>
      <c r="R265" s="13">
        <v>12900</v>
      </c>
      <c r="S265" s="13">
        <v>9030</v>
      </c>
    </row>
    <row r="266" spans="1:19">
      <c r="A266" s="9" t="s">
        <v>23</v>
      </c>
      <c r="B266" s="9" t="s">
        <v>29</v>
      </c>
      <c r="C266" s="9" t="s">
        <v>73</v>
      </c>
      <c r="D266" t="s">
        <v>204</v>
      </c>
      <c r="F266" s="12" t="s">
        <v>1770</v>
      </c>
      <c r="G266" s="10" t="s">
        <v>401</v>
      </c>
      <c r="H266" s="10" t="s">
        <v>401</v>
      </c>
      <c r="K266" t="s">
        <v>19</v>
      </c>
      <c r="L266" t="s">
        <v>20</v>
      </c>
      <c r="M266" s="9">
        <v>73249</v>
      </c>
      <c r="N266" t="s">
        <v>3477</v>
      </c>
      <c r="O266">
        <v>18</v>
      </c>
      <c r="P266" t="s">
        <v>3477</v>
      </c>
      <c r="Q266">
        <v>18</v>
      </c>
      <c r="R266" s="13">
        <v>13300</v>
      </c>
      <c r="S266" s="13">
        <v>7980</v>
      </c>
    </row>
    <row r="267" spans="1:19">
      <c r="A267" s="9" t="s">
        <v>23</v>
      </c>
      <c r="B267" s="9" t="s">
        <v>29</v>
      </c>
      <c r="C267" s="9" t="s">
        <v>69</v>
      </c>
      <c r="D267" t="s">
        <v>204</v>
      </c>
      <c r="F267" s="12" t="s">
        <v>1771</v>
      </c>
      <c r="G267" s="10" t="s">
        <v>402</v>
      </c>
      <c r="H267" s="10" t="s">
        <v>402</v>
      </c>
      <c r="K267" t="s">
        <v>19</v>
      </c>
      <c r="L267" t="s">
        <v>20</v>
      </c>
      <c r="M267" s="9">
        <v>9019102</v>
      </c>
      <c r="N267" t="s">
        <v>3477</v>
      </c>
      <c r="O267">
        <v>18</v>
      </c>
      <c r="P267" t="s">
        <v>3477</v>
      </c>
      <c r="Q267">
        <v>18</v>
      </c>
      <c r="R267" s="13">
        <v>187600</v>
      </c>
      <c r="S267" s="13">
        <v>112560</v>
      </c>
    </row>
    <row r="268" spans="1:19">
      <c r="A268" s="9" t="s">
        <v>23</v>
      </c>
      <c r="B268" s="9" t="s">
        <v>26</v>
      </c>
      <c r="C268" s="9" t="s">
        <v>110</v>
      </c>
      <c r="D268" t="s">
        <v>204</v>
      </c>
      <c r="F268" s="12" t="s">
        <v>1772</v>
      </c>
      <c r="G268" s="10" t="s">
        <v>403</v>
      </c>
      <c r="H268" s="10" t="s">
        <v>403</v>
      </c>
      <c r="K268" t="s">
        <v>19</v>
      </c>
      <c r="L268" t="s">
        <v>20</v>
      </c>
      <c r="M268" s="9">
        <v>8481802</v>
      </c>
      <c r="N268" t="s">
        <v>3477</v>
      </c>
      <c r="O268">
        <v>18</v>
      </c>
      <c r="P268" t="s">
        <v>3477</v>
      </c>
      <c r="Q268">
        <v>18</v>
      </c>
      <c r="R268" s="13">
        <v>115000</v>
      </c>
      <c r="S268" s="13">
        <v>69000</v>
      </c>
    </row>
    <row r="269" spans="1:19">
      <c r="A269" s="9" t="s">
        <v>23</v>
      </c>
      <c r="B269" s="9" t="s">
        <v>26</v>
      </c>
      <c r="C269" s="9" t="s">
        <v>111</v>
      </c>
      <c r="D269" t="s">
        <v>204</v>
      </c>
      <c r="F269" s="12" t="s">
        <v>1773</v>
      </c>
      <c r="G269" s="10" t="s">
        <v>404</v>
      </c>
      <c r="H269" s="10" t="s">
        <v>404</v>
      </c>
      <c r="K269" t="s">
        <v>19</v>
      </c>
      <c r="L269" t="s">
        <v>20</v>
      </c>
      <c r="M269" s="9">
        <v>69101</v>
      </c>
      <c r="N269" t="s">
        <v>3477</v>
      </c>
      <c r="O269">
        <v>18</v>
      </c>
      <c r="P269" t="s">
        <v>3477</v>
      </c>
      <c r="Q269">
        <v>18</v>
      </c>
      <c r="R269" s="13">
        <v>40000</v>
      </c>
      <c r="S269" s="13">
        <v>24000</v>
      </c>
    </row>
    <row r="270" spans="1:19">
      <c r="A270" s="9" t="s">
        <v>23</v>
      </c>
      <c r="B270" s="9" t="s">
        <v>26</v>
      </c>
      <c r="C270" s="9" t="s">
        <v>80</v>
      </c>
      <c r="D270" t="s">
        <v>204</v>
      </c>
      <c r="F270" s="12" t="s">
        <v>1774</v>
      </c>
      <c r="G270" s="10" t="s">
        <v>405</v>
      </c>
      <c r="H270" s="10" t="s">
        <v>405</v>
      </c>
      <c r="K270" t="s">
        <v>19</v>
      </c>
      <c r="L270" t="s">
        <v>20</v>
      </c>
      <c r="M270" s="9">
        <v>69101</v>
      </c>
      <c r="N270" t="s">
        <v>3477</v>
      </c>
      <c r="O270">
        <v>18</v>
      </c>
      <c r="P270" t="s">
        <v>3477</v>
      </c>
      <c r="Q270">
        <v>18</v>
      </c>
      <c r="R270" s="13">
        <v>75000</v>
      </c>
      <c r="S270" s="13">
        <v>45000</v>
      </c>
    </row>
    <row r="271" spans="1:19">
      <c r="A271" s="9" t="s">
        <v>23</v>
      </c>
      <c r="B271" s="9" t="s">
        <v>26</v>
      </c>
      <c r="C271" s="9" t="s">
        <v>80</v>
      </c>
      <c r="D271" t="s">
        <v>204</v>
      </c>
      <c r="F271" s="12" t="s">
        <v>1775</v>
      </c>
      <c r="G271" s="10" t="s">
        <v>406</v>
      </c>
      <c r="H271" s="10" t="s">
        <v>406</v>
      </c>
      <c r="K271" t="s">
        <v>19</v>
      </c>
      <c r="L271" t="s">
        <v>20</v>
      </c>
      <c r="M271" s="9">
        <v>69101</v>
      </c>
      <c r="N271" t="s">
        <v>3477</v>
      </c>
      <c r="O271">
        <v>18</v>
      </c>
      <c r="P271" t="s">
        <v>3477</v>
      </c>
      <c r="Q271">
        <v>18</v>
      </c>
      <c r="R271" s="13">
        <v>45000</v>
      </c>
      <c r="S271" s="13">
        <v>27000</v>
      </c>
    </row>
    <row r="272" spans="1:19">
      <c r="A272" s="9" t="s">
        <v>23</v>
      </c>
      <c r="B272" s="9" t="s">
        <v>26</v>
      </c>
      <c r="C272" s="9" t="s">
        <v>80</v>
      </c>
      <c r="D272" t="s">
        <v>204</v>
      </c>
      <c r="F272" s="12" t="s">
        <v>1776</v>
      </c>
      <c r="G272" s="10" t="s">
        <v>407</v>
      </c>
      <c r="H272" s="10" t="s">
        <v>407</v>
      </c>
      <c r="K272" t="s">
        <v>19</v>
      </c>
      <c r="L272" t="s">
        <v>20</v>
      </c>
      <c r="M272" s="9">
        <v>69101</v>
      </c>
      <c r="N272" t="s">
        <v>3477</v>
      </c>
      <c r="O272">
        <v>18</v>
      </c>
      <c r="P272" t="s">
        <v>3477</v>
      </c>
      <c r="Q272">
        <v>18</v>
      </c>
      <c r="R272" s="13">
        <v>82000</v>
      </c>
      <c r="S272" s="13">
        <v>49200</v>
      </c>
    </row>
    <row r="273" spans="1:19">
      <c r="A273" s="9" t="s">
        <v>22</v>
      </c>
      <c r="B273" s="9" t="s">
        <v>26</v>
      </c>
      <c r="C273" s="9" t="s">
        <v>96</v>
      </c>
      <c r="D273" t="s">
        <v>204</v>
      </c>
      <c r="F273" s="12" t="s">
        <v>1777</v>
      </c>
      <c r="G273" s="10" t="s">
        <v>408</v>
      </c>
      <c r="H273" s="10" t="s">
        <v>408</v>
      </c>
      <c r="K273" t="s">
        <v>19</v>
      </c>
      <c r="L273" t="s">
        <v>20</v>
      </c>
      <c r="M273" s="9">
        <v>69101</v>
      </c>
      <c r="N273" t="s">
        <v>3477</v>
      </c>
      <c r="O273">
        <v>18</v>
      </c>
      <c r="P273" t="s">
        <v>3477</v>
      </c>
      <c r="Q273">
        <v>18</v>
      </c>
      <c r="R273" s="13">
        <v>21000</v>
      </c>
      <c r="S273" s="13">
        <v>14699.999999999998</v>
      </c>
    </row>
    <row r="274" spans="1:19">
      <c r="A274" s="9" t="s">
        <v>22</v>
      </c>
      <c r="B274" s="9" t="s">
        <v>26</v>
      </c>
      <c r="C274" s="9" t="s">
        <v>96</v>
      </c>
      <c r="D274" t="s">
        <v>204</v>
      </c>
      <c r="F274" s="12" t="s">
        <v>1778</v>
      </c>
      <c r="G274" s="10" t="s">
        <v>409</v>
      </c>
      <c r="H274" s="10" t="s">
        <v>409</v>
      </c>
      <c r="K274" t="s">
        <v>19</v>
      </c>
      <c r="L274" t="s">
        <v>20</v>
      </c>
      <c r="M274" s="9">
        <v>39229</v>
      </c>
      <c r="N274" t="s">
        <v>3477</v>
      </c>
      <c r="O274">
        <v>18</v>
      </c>
      <c r="P274" t="s">
        <v>3477</v>
      </c>
      <c r="Q274">
        <v>18</v>
      </c>
      <c r="R274" s="13">
        <v>26250</v>
      </c>
      <c r="S274" s="13">
        <v>18375</v>
      </c>
    </row>
    <row r="275" spans="1:19">
      <c r="A275" s="9" t="s">
        <v>22</v>
      </c>
      <c r="B275" s="9" t="s">
        <v>27</v>
      </c>
      <c r="C275" s="9" t="s">
        <v>63</v>
      </c>
      <c r="D275" t="s">
        <v>204</v>
      </c>
      <c r="F275" s="12" t="s">
        <v>1779</v>
      </c>
      <c r="G275" s="10" t="s">
        <v>410</v>
      </c>
      <c r="H275" s="10" t="s">
        <v>410</v>
      </c>
      <c r="K275" t="s">
        <v>19</v>
      </c>
      <c r="L275" t="s">
        <v>20</v>
      </c>
      <c r="M275" s="9">
        <v>8481802</v>
      </c>
      <c r="N275" t="s">
        <v>3477</v>
      </c>
      <c r="O275">
        <v>18</v>
      </c>
      <c r="P275" t="s">
        <v>3477</v>
      </c>
      <c r="Q275">
        <v>18</v>
      </c>
      <c r="R275" s="13">
        <v>14000</v>
      </c>
      <c r="S275" s="13">
        <v>9800</v>
      </c>
    </row>
    <row r="276" spans="1:19">
      <c r="A276" s="9" t="s">
        <v>22</v>
      </c>
      <c r="B276" s="9" t="s">
        <v>27</v>
      </c>
      <c r="C276" s="9" t="s">
        <v>95</v>
      </c>
      <c r="D276" t="s">
        <v>204</v>
      </c>
      <c r="F276" s="12" t="s">
        <v>1780</v>
      </c>
      <c r="G276" s="10" t="s">
        <v>410</v>
      </c>
      <c r="H276" s="10" t="s">
        <v>410</v>
      </c>
      <c r="K276" t="s">
        <v>19</v>
      </c>
      <c r="L276" t="s">
        <v>20</v>
      </c>
      <c r="M276" s="9">
        <v>8481802</v>
      </c>
      <c r="N276" t="s">
        <v>3477</v>
      </c>
      <c r="O276">
        <v>18</v>
      </c>
      <c r="P276" t="s">
        <v>3477</v>
      </c>
      <c r="Q276">
        <v>18</v>
      </c>
      <c r="R276" s="13">
        <v>10000</v>
      </c>
      <c r="S276" s="13">
        <v>7000</v>
      </c>
    </row>
    <row r="277" spans="1:19">
      <c r="A277" s="9" t="s">
        <v>22</v>
      </c>
      <c r="B277" s="9" t="s">
        <v>27</v>
      </c>
      <c r="C277" s="9" t="s">
        <v>95</v>
      </c>
      <c r="D277" t="s">
        <v>204</v>
      </c>
      <c r="F277" s="12" t="s">
        <v>1781</v>
      </c>
      <c r="G277" s="10" t="s">
        <v>411</v>
      </c>
      <c r="H277" s="10" t="s">
        <v>411</v>
      </c>
      <c r="K277" t="s">
        <v>19</v>
      </c>
      <c r="L277" t="s">
        <v>20</v>
      </c>
      <c r="M277" s="9">
        <v>8481802</v>
      </c>
      <c r="N277" t="s">
        <v>3477</v>
      </c>
      <c r="O277">
        <v>18</v>
      </c>
      <c r="P277" t="s">
        <v>3477</v>
      </c>
      <c r="Q277">
        <v>18</v>
      </c>
      <c r="R277" s="13">
        <v>16700</v>
      </c>
      <c r="S277" s="13">
        <v>11690</v>
      </c>
    </row>
    <row r="278" spans="1:19">
      <c r="A278" s="9" t="s">
        <v>22</v>
      </c>
      <c r="B278" s="9" t="s">
        <v>27</v>
      </c>
      <c r="C278" s="9" t="s">
        <v>95</v>
      </c>
      <c r="D278" t="s">
        <v>204</v>
      </c>
      <c r="F278" s="12" t="s">
        <v>1782</v>
      </c>
      <c r="G278" s="10" t="s">
        <v>411</v>
      </c>
      <c r="H278" s="10" t="s">
        <v>411</v>
      </c>
      <c r="K278" t="s">
        <v>19</v>
      </c>
      <c r="L278" t="s">
        <v>20</v>
      </c>
      <c r="M278" s="9">
        <v>8481802</v>
      </c>
      <c r="N278" t="s">
        <v>3477</v>
      </c>
      <c r="O278">
        <v>18</v>
      </c>
      <c r="P278" t="s">
        <v>3477</v>
      </c>
      <c r="Q278">
        <v>18</v>
      </c>
      <c r="R278" s="13">
        <v>14500</v>
      </c>
      <c r="S278" s="13">
        <v>10150</v>
      </c>
    </row>
    <row r="279" spans="1:19">
      <c r="A279" s="9" t="s">
        <v>22</v>
      </c>
      <c r="B279" s="9" t="s">
        <v>27</v>
      </c>
      <c r="C279" s="9" t="s">
        <v>95</v>
      </c>
      <c r="D279" t="s">
        <v>204</v>
      </c>
      <c r="F279" s="12" t="s">
        <v>1783</v>
      </c>
      <c r="G279" s="10" t="s">
        <v>411</v>
      </c>
      <c r="H279" s="10" t="s">
        <v>411</v>
      </c>
      <c r="K279" t="s">
        <v>19</v>
      </c>
      <c r="L279" t="s">
        <v>20</v>
      </c>
      <c r="M279" s="9">
        <v>8481802</v>
      </c>
      <c r="N279" t="s">
        <v>3477</v>
      </c>
      <c r="O279">
        <v>18</v>
      </c>
      <c r="P279" t="s">
        <v>3477</v>
      </c>
      <c r="Q279">
        <v>18</v>
      </c>
      <c r="R279" s="13">
        <v>16300</v>
      </c>
      <c r="S279" s="13">
        <v>11410</v>
      </c>
    </row>
    <row r="280" spans="1:19">
      <c r="A280" s="9" t="s">
        <v>22</v>
      </c>
      <c r="B280" s="9" t="s">
        <v>27</v>
      </c>
      <c r="C280" s="9" t="s">
        <v>95</v>
      </c>
      <c r="D280" t="s">
        <v>204</v>
      </c>
      <c r="F280" s="12" t="s">
        <v>1784</v>
      </c>
      <c r="G280" s="10" t="s">
        <v>411</v>
      </c>
      <c r="H280" s="10" t="s">
        <v>411</v>
      </c>
      <c r="K280" t="s">
        <v>19</v>
      </c>
      <c r="L280" t="s">
        <v>20</v>
      </c>
      <c r="M280" s="9">
        <v>8481802</v>
      </c>
      <c r="N280" t="s">
        <v>3477</v>
      </c>
      <c r="O280">
        <v>18</v>
      </c>
      <c r="P280" t="s">
        <v>3477</v>
      </c>
      <c r="Q280">
        <v>18</v>
      </c>
      <c r="R280" s="13">
        <v>17500</v>
      </c>
      <c r="S280" s="13">
        <v>12250</v>
      </c>
    </row>
    <row r="281" spans="1:19">
      <c r="A281" s="9" t="s">
        <v>22</v>
      </c>
      <c r="B281" s="9" t="s">
        <v>27</v>
      </c>
      <c r="C281" s="9" t="s">
        <v>95</v>
      </c>
      <c r="D281" t="s">
        <v>204</v>
      </c>
      <c r="F281" s="12" t="s">
        <v>1785</v>
      </c>
      <c r="G281" s="10" t="s">
        <v>411</v>
      </c>
      <c r="H281" s="10" t="s">
        <v>411</v>
      </c>
      <c r="K281" t="s">
        <v>19</v>
      </c>
      <c r="L281" t="s">
        <v>20</v>
      </c>
      <c r="M281" s="9">
        <v>8481802</v>
      </c>
      <c r="N281" t="s">
        <v>3477</v>
      </c>
      <c r="O281">
        <v>18</v>
      </c>
      <c r="P281" t="s">
        <v>3477</v>
      </c>
      <c r="Q281">
        <v>18</v>
      </c>
      <c r="R281" s="13">
        <v>17500</v>
      </c>
      <c r="S281" s="13">
        <v>12250</v>
      </c>
    </row>
    <row r="282" spans="1:19">
      <c r="A282" s="9" t="s">
        <v>22</v>
      </c>
      <c r="B282" s="9" t="s">
        <v>27</v>
      </c>
      <c r="C282" s="9" t="s">
        <v>95</v>
      </c>
      <c r="D282" t="s">
        <v>204</v>
      </c>
      <c r="F282" s="12" t="s">
        <v>1786</v>
      </c>
      <c r="G282" s="10" t="s">
        <v>411</v>
      </c>
      <c r="H282" s="10" t="s">
        <v>411</v>
      </c>
      <c r="K282" t="s">
        <v>19</v>
      </c>
      <c r="L282" t="s">
        <v>20</v>
      </c>
      <c r="M282" s="9">
        <v>8481802</v>
      </c>
      <c r="N282" t="s">
        <v>3477</v>
      </c>
      <c r="O282">
        <v>18</v>
      </c>
      <c r="P282" t="s">
        <v>3477</v>
      </c>
      <c r="Q282">
        <v>18</v>
      </c>
      <c r="R282" s="13">
        <v>11600</v>
      </c>
      <c r="S282" s="13">
        <v>8119.9999999999991</v>
      </c>
    </row>
    <row r="283" spans="1:19">
      <c r="A283" s="9" t="s">
        <v>22</v>
      </c>
      <c r="B283" s="9" t="s">
        <v>27</v>
      </c>
      <c r="C283" s="9" t="s">
        <v>95</v>
      </c>
      <c r="D283" t="s">
        <v>204</v>
      </c>
      <c r="F283" s="12" t="s">
        <v>1787</v>
      </c>
      <c r="G283" s="10" t="s">
        <v>412</v>
      </c>
      <c r="H283" s="10" t="s">
        <v>412</v>
      </c>
      <c r="K283" t="s">
        <v>19</v>
      </c>
      <c r="L283" t="s">
        <v>20</v>
      </c>
      <c r="M283" s="9">
        <v>8481802</v>
      </c>
      <c r="N283" t="s">
        <v>3477</v>
      </c>
      <c r="O283">
        <v>18</v>
      </c>
      <c r="P283" t="s">
        <v>3477</v>
      </c>
      <c r="Q283">
        <v>18</v>
      </c>
      <c r="R283" s="13">
        <v>16300</v>
      </c>
      <c r="S283" s="13">
        <v>11410</v>
      </c>
    </row>
    <row r="284" spans="1:19">
      <c r="A284" s="9" t="s">
        <v>24</v>
      </c>
      <c r="B284" s="9" t="s">
        <v>27</v>
      </c>
      <c r="C284" s="9" t="s">
        <v>112</v>
      </c>
      <c r="D284" t="s">
        <v>204</v>
      </c>
      <c r="F284" s="12" t="s">
        <v>1788</v>
      </c>
      <c r="G284" s="10" t="s">
        <v>413</v>
      </c>
      <c r="H284" s="10" t="s">
        <v>413</v>
      </c>
      <c r="K284" t="s">
        <v>19</v>
      </c>
      <c r="L284" t="s">
        <v>20</v>
      </c>
      <c r="M284" s="9">
        <v>7418202</v>
      </c>
      <c r="N284" t="s">
        <v>3477</v>
      </c>
      <c r="O284">
        <v>18</v>
      </c>
      <c r="P284" t="s">
        <v>3477</v>
      </c>
      <c r="Q284">
        <v>18</v>
      </c>
      <c r="R284" s="13">
        <v>900</v>
      </c>
      <c r="S284" s="13">
        <v>675</v>
      </c>
    </row>
    <row r="285" spans="1:19">
      <c r="A285" s="9" t="s">
        <v>24</v>
      </c>
      <c r="B285" s="9" t="s">
        <v>27</v>
      </c>
      <c r="C285" s="9" t="s">
        <v>112</v>
      </c>
      <c r="D285" t="s">
        <v>204</v>
      </c>
      <c r="F285" s="12" t="s">
        <v>1789</v>
      </c>
      <c r="G285" s="10" t="s">
        <v>413</v>
      </c>
      <c r="H285" s="10" t="s">
        <v>413</v>
      </c>
      <c r="K285" t="s">
        <v>19</v>
      </c>
      <c r="L285" t="s">
        <v>20</v>
      </c>
      <c r="M285" s="9">
        <v>7418202</v>
      </c>
      <c r="N285" t="s">
        <v>3477</v>
      </c>
      <c r="O285">
        <v>18</v>
      </c>
      <c r="P285" t="s">
        <v>3477</v>
      </c>
      <c r="Q285">
        <v>18</v>
      </c>
      <c r="R285" s="13">
        <v>700</v>
      </c>
      <c r="S285" s="13">
        <v>525</v>
      </c>
    </row>
    <row r="286" spans="1:19">
      <c r="A286" s="9" t="s">
        <v>24</v>
      </c>
      <c r="B286" s="9" t="s">
        <v>27</v>
      </c>
      <c r="C286" s="9" t="s">
        <v>112</v>
      </c>
      <c r="D286" t="s">
        <v>204</v>
      </c>
      <c r="F286" s="12" t="s">
        <v>1790</v>
      </c>
      <c r="G286" s="10" t="s">
        <v>414</v>
      </c>
      <c r="H286" s="10" t="s">
        <v>414</v>
      </c>
      <c r="K286" t="s">
        <v>19</v>
      </c>
      <c r="L286" t="s">
        <v>20</v>
      </c>
      <c r="M286" s="9">
        <v>7418202</v>
      </c>
      <c r="N286" t="s">
        <v>3477</v>
      </c>
      <c r="O286">
        <v>18</v>
      </c>
      <c r="P286" t="s">
        <v>3477</v>
      </c>
      <c r="Q286">
        <v>18</v>
      </c>
      <c r="R286" s="13">
        <v>1100</v>
      </c>
      <c r="S286" s="13">
        <v>825</v>
      </c>
    </row>
    <row r="287" spans="1:19">
      <c r="A287" s="9" t="s">
        <v>22</v>
      </c>
      <c r="B287" s="9" t="s">
        <v>27</v>
      </c>
      <c r="C287" s="9" t="s">
        <v>113</v>
      </c>
      <c r="D287" t="s">
        <v>204</v>
      </c>
      <c r="F287" s="12" t="s">
        <v>1791</v>
      </c>
      <c r="G287" s="10" t="s">
        <v>415</v>
      </c>
      <c r="H287" s="10" t="s">
        <v>415</v>
      </c>
      <c r="K287" t="s">
        <v>19</v>
      </c>
      <c r="L287" t="s">
        <v>20</v>
      </c>
      <c r="M287" s="9">
        <v>8302419</v>
      </c>
      <c r="N287" t="s">
        <v>3477</v>
      </c>
      <c r="O287">
        <v>18</v>
      </c>
      <c r="P287" t="s">
        <v>3477</v>
      </c>
      <c r="Q287">
        <v>18</v>
      </c>
      <c r="R287" s="13">
        <v>49380</v>
      </c>
      <c r="S287" s="13">
        <v>34566</v>
      </c>
    </row>
    <row r="288" spans="1:19">
      <c r="A288" s="9" t="s">
        <v>23</v>
      </c>
      <c r="B288" s="9" t="s">
        <v>26</v>
      </c>
      <c r="C288" s="9" t="s">
        <v>80</v>
      </c>
      <c r="D288" t="s">
        <v>204</v>
      </c>
      <c r="F288" s="12" t="s">
        <v>1792</v>
      </c>
      <c r="G288" s="10" t="s">
        <v>415</v>
      </c>
      <c r="H288" s="10" t="s">
        <v>415</v>
      </c>
      <c r="K288" t="s">
        <v>19</v>
      </c>
      <c r="L288" t="s">
        <v>20</v>
      </c>
      <c r="M288" s="9">
        <v>69101</v>
      </c>
      <c r="N288" t="s">
        <v>3477</v>
      </c>
      <c r="O288">
        <v>18</v>
      </c>
      <c r="P288" t="s">
        <v>3477</v>
      </c>
      <c r="Q288">
        <v>18</v>
      </c>
      <c r="R288" s="13">
        <v>25000</v>
      </c>
      <c r="S288" s="13">
        <v>15000</v>
      </c>
    </row>
    <row r="289" spans="1:19">
      <c r="A289" s="9" t="s">
        <v>23</v>
      </c>
      <c r="B289" s="9" t="s">
        <v>26</v>
      </c>
      <c r="C289" s="9" t="s">
        <v>80</v>
      </c>
      <c r="D289" t="s">
        <v>204</v>
      </c>
      <c r="F289" s="12" t="s">
        <v>1793</v>
      </c>
      <c r="G289" s="10" t="s">
        <v>416</v>
      </c>
      <c r="H289" s="10" t="s">
        <v>416</v>
      </c>
      <c r="K289" t="s">
        <v>19</v>
      </c>
      <c r="L289" t="s">
        <v>20</v>
      </c>
      <c r="M289" s="9">
        <v>69101</v>
      </c>
      <c r="N289" t="s">
        <v>3477</v>
      </c>
      <c r="O289">
        <v>18</v>
      </c>
      <c r="P289" t="s">
        <v>3477</v>
      </c>
      <c r="Q289">
        <v>18</v>
      </c>
      <c r="R289" s="13">
        <v>37000</v>
      </c>
      <c r="S289" s="13">
        <v>22200</v>
      </c>
    </row>
    <row r="290" spans="1:19">
      <c r="A290" s="9" t="s">
        <v>23</v>
      </c>
      <c r="B290" s="9" t="s">
        <v>29</v>
      </c>
      <c r="C290" s="9" t="s">
        <v>68</v>
      </c>
      <c r="D290" t="s">
        <v>204</v>
      </c>
      <c r="F290" s="12" t="s">
        <v>1794</v>
      </c>
      <c r="G290" s="10" t="s">
        <v>417</v>
      </c>
      <c r="H290" s="10" t="s">
        <v>417</v>
      </c>
      <c r="K290" t="s">
        <v>19</v>
      </c>
      <c r="L290" t="s">
        <v>20</v>
      </c>
      <c r="M290" s="9">
        <v>39221</v>
      </c>
      <c r="N290" t="s">
        <v>3477</v>
      </c>
      <c r="O290">
        <v>18</v>
      </c>
      <c r="P290" t="s">
        <v>3477</v>
      </c>
      <c r="Q290">
        <v>18</v>
      </c>
      <c r="R290" s="13">
        <v>506000</v>
      </c>
      <c r="S290" s="13">
        <v>303600</v>
      </c>
    </row>
    <row r="291" spans="1:19">
      <c r="A291" s="9" t="s">
        <v>23</v>
      </c>
      <c r="B291" s="9" t="s">
        <v>27</v>
      </c>
      <c r="C291" s="9" t="s">
        <v>114</v>
      </c>
      <c r="D291" t="s">
        <v>204</v>
      </c>
      <c r="F291" s="12" t="s">
        <v>1795</v>
      </c>
      <c r="G291" s="10" t="s">
        <v>418</v>
      </c>
      <c r="H291" s="10" t="s">
        <v>418</v>
      </c>
      <c r="K291" t="s">
        <v>19</v>
      </c>
      <c r="L291" t="s">
        <v>20</v>
      </c>
      <c r="M291" s="9">
        <v>8481802</v>
      </c>
      <c r="N291" t="s">
        <v>3477</v>
      </c>
      <c r="O291">
        <v>18</v>
      </c>
      <c r="P291" t="s">
        <v>3477</v>
      </c>
      <c r="Q291">
        <v>18</v>
      </c>
      <c r="R291" s="13">
        <v>35050</v>
      </c>
      <c r="S291" s="13">
        <v>21030</v>
      </c>
    </row>
    <row r="292" spans="1:19">
      <c r="A292" s="9" t="s">
        <v>23</v>
      </c>
      <c r="B292" s="9" t="s">
        <v>26</v>
      </c>
      <c r="C292" s="9" t="s">
        <v>76</v>
      </c>
      <c r="D292" t="s">
        <v>204</v>
      </c>
      <c r="F292" s="12" t="s">
        <v>1796</v>
      </c>
      <c r="G292" s="10" t="s">
        <v>418</v>
      </c>
      <c r="H292" s="10" t="s">
        <v>418</v>
      </c>
      <c r="K292" t="s">
        <v>19</v>
      </c>
      <c r="L292" t="s">
        <v>20</v>
      </c>
      <c r="M292" s="9">
        <v>39222</v>
      </c>
      <c r="N292" t="s">
        <v>3477</v>
      </c>
      <c r="O292">
        <v>18</v>
      </c>
      <c r="P292" t="s">
        <v>3477</v>
      </c>
      <c r="Q292">
        <v>18</v>
      </c>
      <c r="R292" s="13">
        <v>7000</v>
      </c>
      <c r="S292" s="13">
        <v>4200</v>
      </c>
    </row>
    <row r="293" spans="1:19">
      <c r="A293" s="9" t="s">
        <v>23</v>
      </c>
      <c r="B293" s="9" t="s">
        <v>26</v>
      </c>
      <c r="C293" s="9" t="s">
        <v>76</v>
      </c>
      <c r="D293" t="s">
        <v>204</v>
      </c>
      <c r="F293" s="12" t="s">
        <v>1797</v>
      </c>
      <c r="G293" s="10" t="s">
        <v>419</v>
      </c>
      <c r="H293" s="10" t="s">
        <v>419</v>
      </c>
      <c r="K293" t="s">
        <v>19</v>
      </c>
      <c r="L293" t="s">
        <v>20</v>
      </c>
      <c r="M293" s="9">
        <v>39222</v>
      </c>
      <c r="N293" t="s">
        <v>3477</v>
      </c>
      <c r="O293">
        <v>18</v>
      </c>
      <c r="P293" t="s">
        <v>3477</v>
      </c>
      <c r="Q293">
        <v>18</v>
      </c>
      <c r="R293" s="13">
        <v>10000</v>
      </c>
      <c r="S293" s="13">
        <v>6000</v>
      </c>
    </row>
    <row r="294" spans="1:19">
      <c r="A294" s="9" t="s">
        <v>23</v>
      </c>
      <c r="B294" s="9" t="s">
        <v>26</v>
      </c>
      <c r="C294" s="9" t="s">
        <v>80</v>
      </c>
      <c r="D294" t="s">
        <v>204</v>
      </c>
      <c r="F294" s="12" t="s">
        <v>1798</v>
      </c>
      <c r="G294" s="10" t="s">
        <v>420</v>
      </c>
      <c r="H294" s="10" t="s">
        <v>420</v>
      </c>
      <c r="K294" t="s">
        <v>19</v>
      </c>
      <c r="L294" t="s">
        <v>20</v>
      </c>
      <c r="M294" s="9">
        <v>69101</v>
      </c>
      <c r="N294" t="s">
        <v>3477</v>
      </c>
      <c r="O294">
        <v>18</v>
      </c>
      <c r="P294" t="s">
        <v>3477</v>
      </c>
      <c r="Q294">
        <v>18</v>
      </c>
      <c r="R294" s="13">
        <v>40000</v>
      </c>
      <c r="S294" s="13">
        <v>24000</v>
      </c>
    </row>
    <row r="295" spans="1:19">
      <c r="A295" s="9" t="s">
        <v>23</v>
      </c>
      <c r="B295" s="9" t="s">
        <v>26</v>
      </c>
      <c r="C295" s="9" t="s">
        <v>80</v>
      </c>
      <c r="D295" t="s">
        <v>204</v>
      </c>
      <c r="F295" s="12" t="s">
        <v>1799</v>
      </c>
      <c r="G295" s="10" t="s">
        <v>419</v>
      </c>
      <c r="H295" s="10" t="s">
        <v>419</v>
      </c>
      <c r="K295" t="s">
        <v>19</v>
      </c>
      <c r="L295" t="s">
        <v>20</v>
      </c>
      <c r="M295" s="9">
        <v>69101</v>
      </c>
      <c r="N295" t="s">
        <v>3477</v>
      </c>
      <c r="O295">
        <v>18</v>
      </c>
      <c r="P295" t="s">
        <v>3477</v>
      </c>
      <c r="Q295">
        <v>18</v>
      </c>
      <c r="R295" s="13">
        <v>37500</v>
      </c>
      <c r="S295" s="13">
        <v>22500</v>
      </c>
    </row>
    <row r="296" spans="1:19">
      <c r="A296" s="9" t="s">
        <v>23</v>
      </c>
      <c r="B296" s="9" t="s">
        <v>26</v>
      </c>
      <c r="C296" s="9" t="s">
        <v>80</v>
      </c>
      <c r="D296" t="s">
        <v>204</v>
      </c>
      <c r="F296" s="12" t="s">
        <v>1800</v>
      </c>
      <c r="G296" s="10" t="s">
        <v>421</v>
      </c>
      <c r="H296" s="10" t="s">
        <v>421</v>
      </c>
      <c r="K296" t="s">
        <v>19</v>
      </c>
      <c r="L296" t="s">
        <v>20</v>
      </c>
      <c r="M296" s="9">
        <v>69101</v>
      </c>
      <c r="N296" t="s">
        <v>3477</v>
      </c>
      <c r="O296">
        <v>18</v>
      </c>
      <c r="P296" t="s">
        <v>3477</v>
      </c>
      <c r="Q296">
        <v>18</v>
      </c>
      <c r="R296" s="13">
        <v>40000</v>
      </c>
      <c r="S296" s="13">
        <v>24000</v>
      </c>
    </row>
    <row r="297" spans="1:19">
      <c r="A297" s="9" t="s">
        <v>23</v>
      </c>
      <c r="B297" s="9" t="s">
        <v>26</v>
      </c>
      <c r="C297" s="9" t="s">
        <v>80</v>
      </c>
      <c r="D297" t="s">
        <v>204</v>
      </c>
      <c r="F297" s="12" t="s">
        <v>1801</v>
      </c>
      <c r="G297" s="10" t="s">
        <v>419</v>
      </c>
      <c r="H297" s="10" t="s">
        <v>419</v>
      </c>
      <c r="K297" t="s">
        <v>19</v>
      </c>
      <c r="L297" t="s">
        <v>20</v>
      </c>
      <c r="M297" s="9">
        <v>69101</v>
      </c>
      <c r="N297" t="s">
        <v>3477</v>
      </c>
      <c r="O297">
        <v>18</v>
      </c>
      <c r="P297" t="s">
        <v>3477</v>
      </c>
      <c r="Q297">
        <v>18</v>
      </c>
      <c r="R297" s="13">
        <v>37500</v>
      </c>
      <c r="S297" s="13">
        <v>22500</v>
      </c>
    </row>
    <row r="298" spans="1:19">
      <c r="A298" s="9" t="s">
        <v>23</v>
      </c>
      <c r="B298" s="9" t="s">
        <v>26</v>
      </c>
      <c r="C298" s="9" t="s">
        <v>80</v>
      </c>
      <c r="D298" t="s">
        <v>204</v>
      </c>
      <c r="F298" s="12" t="s">
        <v>1802</v>
      </c>
      <c r="G298" s="10" t="s">
        <v>422</v>
      </c>
      <c r="H298" s="10" t="s">
        <v>422</v>
      </c>
      <c r="K298" t="s">
        <v>19</v>
      </c>
      <c r="L298" t="s">
        <v>20</v>
      </c>
      <c r="M298" s="9">
        <v>69101</v>
      </c>
      <c r="N298" t="s">
        <v>3477</v>
      </c>
      <c r="O298">
        <v>18</v>
      </c>
      <c r="P298" t="s">
        <v>3477</v>
      </c>
      <c r="Q298">
        <v>18</v>
      </c>
      <c r="R298" s="13">
        <v>30000</v>
      </c>
      <c r="S298" s="13">
        <v>18000</v>
      </c>
    </row>
    <row r="299" spans="1:19">
      <c r="A299" s="9" t="s">
        <v>23</v>
      </c>
      <c r="B299" s="9" t="s">
        <v>26</v>
      </c>
      <c r="C299" s="9" t="s">
        <v>80</v>
      </c>
      <c r="D299" t="s">
        <v>204</v>
      </c>
      <c r="F299" s="12" t="s">
        <v>1803</v>
      </c>
      <c r="G299" s="10" t="s">
        <v>422</v>
      </c>
      <c r="H299" s="10" t="s">
        <v>422</v>
      </c>
      <c r="K299" t="s">
        <v>19</v>
      </c>
      <c r="L299" t="s">
        <v>20</v>
      </c>
      <c r="M299" s="9">
        <v>39222</v>
      </c>
      <c r="N299" t="s">
        <v>3477</v>
      </c>
      <c r="O299">
        <v>18</v>
      </c>
      <c r="P299" t="s">
        <v>3477</v>
      </c>
      <c r="Q299">
        <v>18</v>
      </c>
      <c r="R299" s="13">
        <v>68000</v>
      </c>
      <c r="S299" s="13">
        <v>40800</v>
      </c>
    </row>
    <row r="300" spans="1:19">
      <c r="A300" s="9" t="s">
        <v>23</v>
      </c>
      <c r="B300" s="9" t="s">
        <v>26</v>
      </c>
      <c r="C300" s="9" t="s">
        <v>80</v>
      </c>
      <c r="D300" t="s">
        <v>204</v>
      </c>
      <c r="F300" s="12" t="s">
        <v>1804</v>
      </c>
      <c r="G300" s="10" t="s">
        <v>423</v>
      </c>
      <c r="H300" s="10" t="s">
        <v>423</v>
      </c>
      <c r="K300" t="s">
        <v>19</v>
      </c>
      <c r="L300" t="s">
        <v>20</v>
      </c>
      <c r="M300" s="9">
        <v>39222</v>
      </c>
      <c r="N300" t="s">
        <v>3477</v>
      </c>
      <c r="O300">
        <v>18</v>
      </c>
      <c r="P300" t="s">
        <v>3477</v>
      </c>
      <c r="Q300">
        <v>18</v>
      </c>
      <c r="R300" s="13">
        <v>64000</v>
      </c>
      <c r="S300" s="13">
        <v>38400</v>
      </c>
    </row>
    <row r="301" spans="1:19">
      <c r="A301" s="9" t="s">
        <v>22</v>
      </c>
      <c r="B301" s="9" t="s">
        <v>26</v>
      </c>
      <c r="C301" s="9" t="s">
        <v>115</v>
      </c>
      <c r="D301" t="s">
        <v>204</v>
      </c>
      <c r="F301" s="12" t="s">
        <v>1805</v>
      </c>
      <c r="G301" s="10" t="s">
        <v>424</v>
      </c>
      <c r="H301" s="10" t="s">
        <v>424</v>
      </c>
      <c r="K301" t="s">
        <v>19</v>
      </c>
      <c r="L301" t="s">
        <v>20</v>
      </c>
      <c r="M301" s="9">
        <v>69101</v>
      </c>
      <c r="N301" t="s">
        <v>3477</v>
      </c>
      <c r="O301">
        <v>18</v>
      </c>
      <c r="P301" t="s">
        <v>3477</v>
      </c>
      <c r="Q301">
        <v>18</v>
      </c>
      <c r="R301" s="13">
        <v>36719</v>
      </c>
      <c r="S301" s="13">
        <v>25703.3</v>
      </c>
    </row>
    <row r="302" spans="1:19">
      <c r="A302" s="9" t="s">
        <v>22</v>
      </c>
      <c r="B302" s="9" t="s">
        <v>26</v>
      </c>
      <c r="C302" s="9" t="s">
        <v>115</v>
      </c>
      <c r="D302" t="s">
        <v>204</v>
      </c>
      <c r="F302" s="12" t="s">
        <v>1806</v>
      </c>
      <c r="G302" s="10" t="s">
        <v>425</v>
      </c>
      <c r="H302" s="10" t="s">
        <v>425</v>
      </c>
      <c r="K302" t="s">
        <v>19</v>
      </c>
      <c r="L302" t="s">
        <v>20</v>
      </c>
      <c r="M302" s="9">
        <v>69101</v>
      </c>
      <c r="N302" t="s">
        <v>3477</v>
      </c>
      <c r="O302">
        <v>18</v>
      </c>
      <c r="P302" t="s">
        <v>3477</v>
      </c>
      <c r="Q302">
        <v>18</v>
      </c>
      <c r="R302" s="13">
        <v>34530</v>
      </c>
      <c r="S302" s="13">
        <v>24171</v>
      </c>
    </row>
    <row r="303" spans="1:19">
      <c r="A303" s="9" t="s">
        <v>22</v>
      </c>
      <c r="B303" s="9" t="s">
        <v>26</v>
      </c>
      <c r="C303" s="9" t="s">
        <v>115</v>
      </c>
      <c r="D303" t="s">
        <v>204</v>
      </c>
      <c r="F303" s="12" t="s">
        <v>1807</v>
      </c>
      <c r="G303" s="10" t="s">
        <v>426</v>
      </c>
      <c r="H303" s="10" t="s">
        <v>426</v>
      </c>
      <c r="K303" t="s">
        <v>19</v>
      </c>
      <c r="L303" t="s">
        <v>20</v>
      </c>
      <c r="M303" s="9">
        <v>69101</v>
      </c>
      <c r="N303" t="s">
        <v>3477</v>
      </c>
      <c r="O303">
        <v>18</v>
      </c>
      <c r="P303" t="s">
        <v>3477</v>
      </c>
      <c r="Q303">
        <v>18</v>
      </c>
      <c r="R303" s="13">
        <v>29850</v>
      </c>
      <c r="S303" s="13">
        <v>20895</v>
      </c>
    </row>
    <row r="304" spans="1:19">
      <c r="A304" s="9" t="s">
        <v>22</v>
      </c>
      <c r="B304" s="9" t="s">
        <v>26</v>
      </c>
      <c r="C304" s="9" t="s">
        <v>115</v>
      </c>
      <c r="D304" t="s">
        <v>204</v>
      </c>
      <c r="F304" s="12" t="s">
        <v>1808</v>
      </c>
      <c r="G304" s="10" t="s">
        <v>427</v>
      </c>
      <c r="H304" s="10" t="s">
        <v>427</v>
      </c>
      <c r="K304" t="s">
        <v>19</v>
      </c>
      <c r="L304" t="s">
        <v>20</v>
      </c>
      <c r="M304" s="9">
        <v>69101</v>
      </c>
      <c r="N304" t="s">
        <v>3477</v>
      </c>
      <c r="O304">
        <v>18</v>
      </c>
      <c r="P304" t="s">
        <v>3477</v>
      </c>
      <c r="Q304">
        <v>18</v>
      </c>
      <c r="R304" s="13">
        <v>21300</v>
      </c>
      <c r="S304" s="13">
        <v>14909.999999999998</v>
      </c>
    </row>
    <row r="305" spans="1:19">
      <c r="A305" s="9" t="s">
        <v>22</v>
      </c>
      <c r="B305" s="9" t="s">
        <v>26</v>
      </c>
      <c r="C305" s="9" t="s">
        <v>115</v>
      </c>
      <c r="D305" t="s">
        <v>204</v>
      </c>
      <c r="F305" s="12" t="s">
        <v>1809</v>
      </c>
      <c r="G305" s="10" t="s">
        <v>428</v>
      </c>
      <c r="H305" s="10" t="s">
        <v>428</v>
      </c>
      <c r="K305" t="s">
        <v>19</v>
      </c>
      <c r="L305" t="s">
        <v>20</v>
      </c>
      <c r="M305" s="9">
        <v>69101</v>
      </c>
      <c r="N305" t="s">
        <v>3477</v>
      </c>
      <c r="O305">
        <v>18</v>
      </c>
      <c r="P305" t="s">
        <v>3477</v>
      </c>
      <c r="Q305">
        <v>18</v>
      </c>
      <c r="R305" s="13">
        <v>21890</v>
      </c>
      <c r="S305" s="13">
        <v>15322.999999999998</v>
      </c>
    </row>
    <row r="306" spans="1:19">
      <c r="A306" s="9" t="s">
        <v>22</v>
      </c>
      <c r="B306" s="9" t="s">
        <v>26</v>
      </c>
      <c r="C306" s="9" t="s">
        <v>115</v>
      </c>
      <c r="D306" t="s">
        <v>204</v>
      </c>
      <c r="F306" s="12" t="s">
        <v>1810</v>
      </c>
      <c r="G306" s="10" t="s">
        <v>429</v>
      </c>
      <c r="H306" s="10" t="s">
        <v>429</v>
      </c>
      <c r="K306" t="s">
        <v>19</v>
      </c>
      <c r="L306" t="s">
        <v>20</v>
      </c>
      <c r="M306" s="9">
        <v>69101</v>
      </c>
      <c r="N306" t="s">
        <v>3477</v>
      </c>
      <c r="O306">
        <v>18</v>
      </c>
      <c r="P306" t="s">
        <v>3477</v>
      </c>
      <c r="Q306">
        <v>18</v>
      </c>
      <c r="R306" s="13">
        <v>17910</v>
      </c>
      <c r="S306" s="13">
        <v>12537</v>
      </c>
    </row>
    <row r="307" spans="1:19">
      <c r="A307" s="9" t="s">
        <v>22</v>
      </c>
      <c r="B307" s="9" t="s">
        <v>26</v>
      </c>
      <c r="C307" s="9" t="s">
        <v>115</v>
      </c>
      <c r="D307" t="s">
        <v>204</v>
      </c>
      <c r="F307" s="12" t="s">
        <v>1811</v>
      </c>
      <c r="G307" s="10" t="s">
        <v>430</v>
      </c>
      <c r="H307" s="10" t="s">
        <v>430</v>
      </c>
      <c r="K307" t="s">
        <v>19</v>
      </c>
      <c r="L307" t="s">
        <v>20</v>
      </c>
      <c r="M307" s="9">
        <v>69101</v>
      </c>
      <c r="N307" t="s">
        <v>3477</v>
      </c>
      <c r="O307">
        <v>18</v>
      </c>
      <c r="P307" t="s">
        <v>3477</v>
      </c>
      <c r="Q307">
        <v>18</v>
      </c>
      <c r="R307" s="13">
        <v>25180</v>
      </c>
      <c r="S307" s="13">
        <v>17626</v>
      </c>
    </row>
    <row r="308" spans="1:19">
      <c r="A308" s="9" t="s">
        <v>22</v>
      </c>
      <c r="B308" s="9" t="s">
        <v>26</v>
      </c>
      <c r="C308" s="9" t="s">
        <v>115</v>
      </c>
      <c r="D308" t="s">
        <v>204</v>
      </c>
      <c r="F308" s="12" t="s">
        <v>1812</v>
      </c>
      <c r="G308" s="10" t="s">
        <v>431</v>
      </c>
      <c r="H308" s="10" t="s">
        <v>431</v>
      </c>
      <c r="K308" t="s">
        <v>19</v>
      </c>
      <c r="L308" t="s">
        <v>20</v>
      </c>
      <c r="M308" s="9">
        <v>69101</v>
      </c>
      <c r="N308" t="s">
        <v>3477</v>
      </c>
      <c r="O308">
        <v>18</v>
      </c>
      <c r="P308" t="s">
        <v>3477</v>
      </c>
      <c r="Q308">
        <v>18</v>
      </c>
      <c r="R308" s="13">
        <v>26380</v>
      </c>
      <c r="S308" s="13">
        <v>18466</v>
      </c>
    </row>
    <row r="309" spans="1:19">
      <c r="A309" s="9" t="s">
        <v>22</v>
      </c>
      <c r="B309" s="9" t="s">
        <v>26</v>
      </c>
      <c r="C309" s="9" t="s">
        <v>115</v>
      </c>
      <c r="D309" t="s">
        <v>204</v>
      </c>
      <c r="F309" s="12" t="s">
        <v>1813</v>
      </c>
      <c r="G309" s="10" t="s">
        <v>432</v>
      </c>
      <c r="H309" s="10" t="s">
        <v>432</v>
      </c>
      <c r="K309" t="s">
        <v>19</v>
      </c>
      <c r="L309" t="s">
        <v>20</v>
      </c>
      <c r="M309" s="9">
        <v>69101</v>
      </c>
      <c r="N309" t="s">
        <v>3477</v>
      </c>
      <c r="O309">
        <v>18</v>
      </c>
      <c r="P309" t="s">
        <v>3477</v>
      </c>
      <c r="Q309">
        <v>18</v>
      </c>
      <c r="R309" s="13">
        <v>13990</v>
      </c>
      <c r="S309" s="13">
        <v>9793</v>
      </c>
    </row>
    <row r="310" spans="1:19">
      <c r="A310" s="9" t="s">
        <v>22</v>
      </c>
      <c r="B310" s="9" t="s">
        <v>27</v>
      </c>
      <c r="C310" s="9" t="s">
        <v>50</v>
      </c>
      <c r="D310" t="s">
        <v>204</v>
      </c>
      <c r="F310" s="12" t="s">
        <v>1814</v>
      </c>
      <c r="G310" s="10" t="s">
        <v>432</v>
      </c>
      <c r="H310" s="10" t="s">
        <v>432</v>
      </c>
      <c r="K310" t="s">
        <v>19</v>
      </c>
      <c r="L310" t="s">
        <v>20</v>
      </c>
      <c r="M310" s="9">
        <v>9404211</v>
      </c>
      <c r="N310" t="s">
        <v>3477</v>
      </c>
      <c r="O310">
        <v>18</v>
      </c>
      <c r="P310" t="s">
        <v>3477</v>
      </c>
      <c r="Q310">
        <v>18</v>
      </c>
      <c r="R310" s="13">
        <v>2486</v>
      </c>
      <c r="S310" s="13">
        <v>1740.1999999999998</v>
      </c>
    </row>
    <row r="311" spans="1:19">
      <c r="A311" s="9" t="s">
        <v>22</v>
      </c>
      <c r="B311" s="9" t="s">
        <v>27</v>
      </c>
      <c r="C311" s="9" t="s">
        <v>50</v>
      </c>
      <c r="D311" t="s">
        <v>204</v>
      </c>
      <c r="F311" s="12" t="s">
        <v>1815</v>
      </c>
      <c r="G311" s="10" t="s">
        <v>433</v>
      </c>
      <c r="H311" s="10" t="s">
        <v>433</v>
      </c>
      <c r="K311" t="s">
        <v>19</v>
      </c>
      <c r="L311" t="s">
        <v>20</v>
      </c>
      <c r="M311" s="9">
        <v>7418202</v>
      </c>
      <c r="N311" t="s">
        <v>3477</v>
      </c>
      <c r="O311">
        <v>18</v>
      </c>
      <c r="P311" t="s">
        <v>3477</v>
      </c>
      <c r="Q311">
        <v>18</v>
      </c>
      <c r="R311" s="13">
        <v>2692</v>
      </c>
      <c r="S311" s="13">
        <v>1884.3999999999999</v>
      </c>
    </row>
    <row r="312" spans="1:19">
      <c r="A312" s="9" t="s">
        <v>22</v>
      </c>
      <c r="B312" s="9" t="s">
        <v>27</v>
      </c>
      <c r="C312" s="9" t="s">
        <v>65</v>
      </c>
      <c r="D312" t="s">
        <v>204</v>
      </c>
      <c r="F312" s="12" t="s">
        <v>1816</v>
      </c>
      <c r="G312" s="10" t="s">
        <v>433</v>
      </c>
      <c r="H312" s="10" t="s">
        <v>433</v>
      </c>
      <c r="K312" t="s">
        <v>19</v>
      </c>
      <c r="L312" t="s">
        <v>20</v>
      </c>
      <c r="M312" s="9">
        <v>39229</v>
      </c>
      <c r="N312" t="s">
        <v>3477</v>
      </c>
      <c r="O312">
        <v>18</v>
      </c>
      <c r="P312" t="s">
        <v>3477</v>
      </c>
      <c r="Q312">
        <v>18</v>
      </c>
      <c r="R312" s="13">
        <v>6700</v>
      </c>
      <c r="S312" s="13">
        <v>4690</v>
      </c>
    </row>
    <row r="313" spans="1:19">
      <c r="A313" s="9" t="s">
        <v>22</v>
      </c>
      <c r="B313" s="9" t="s">
        <v>27</v>
      </c>
      <c r="C313" s="9" t="s">
        <v>65</v>
      </c>
      <c r="D313" t="s">
        <v>204</v>
      </c>
      <c r="F313" s="12" t="s">
        <v>1817</v>
      </c>
      <c r="G313" s="10" t="s">
        <v>433</v>
      </c>
      <c r="H313" s="10" t="s">
        <v>433</v>
      </c>
      <c r="K313" t="s">
        <v>19</v>
      </c>
      <c r="L313" t="s">
        <v>20</v>
      </c>
      <c r="M313" s="9">
        <v>39229</v>
      </c>
      <c r="N313" t="s">
        <v>3477</v>
      </c>
      <c r="O313">
        <v>18</v>
      </c>
      <c r="P313" t="s">
        <v>3477</v>
      </c>
      <c r="Q313">
        <v>18</v>
      </c>
      <c r="R313" s="13">
        <v>5500</v>
      </c>
      <c r="S313" s="13">
        <v>3849.9999999999995</v>
      </c>
    </row>
    <row r="314" spans="1:19">
      <c r="A314" s="9" t="s">
        <v>22</v>
      </c>
      <c r="B314" s="9" t="s">
        <v>27</v>
      </c>
      <c r="C314" s="9" t="s">
        <v>65</v>
      </c>
      <c r="D314" t="s">
        <v>204</v>
      </c>
      <c r="F314" s="12" t="s">
        <v>1818</v>
      </c>
      <c r="G314" s="10" t="s">
        <v>434</v>
      </c>
      <c r="H314" s="10" t="s">
        <v>434</v>
      </c>
      <c r="K314" t="s">
        <v>19</v>
      </c>
      <c r="L314" t="s">
        <v>20</v>
      </c>
      <c r="M314" s="9">
        <v>39229</v>
      </c>
      <c r="N314" t="s">
        <v>3477</v>
      </c>
      <c r="O314">
        <v>18</v>
      </c>
      <c r="P314" t="s">
        <v>3477</v>
      </c>
      <c r="Q314">
        <v>18</v>
      </c>
      <c r="R314" s="13">
        <v>5590</v>
      </c>
      <c r="S314" s="13">
        <v>3912.9999999999995</v>
      </c>
    </row>
    <row r="315" spans="1:19">
      <c r="A315" s="9" t="s">
        <v>22</v>
      </c>
      <c r="B315" s="9" t="s">
        <v>27</v>
      </c>
      <c r="C315" s="9" t="s">
        <v>65</v>
      </c>
      <c r="D315" t="s">
        <v>204</v>
      </c>
      <c r="F315" s="12" t="s">
        <v>1819</v>
      </c>
      <c r="G315" s="10" t="s">
        <v>435</v>
      </c>
      <c r="H315" s="10" t="s">
        <v>435</v>
      </c>
      <c r="K315" t="s">
        <v>19</v>
      </c>
      <c r="L315" t="s">
        <v>20</v>
      </c>
      <c r="M315" s="9">
        <v>39229</v>
      </c>
      <c r="N315" t="s">
        <v>3477</v>
      </c>
      <c r="O315">
        <v>18</v>
      </c>
      <c r="P315" t="s">
        <v>3477</v>
      </c>
      <c r="Q315">
        <v>18</v>
      </c>
      <c r="R315" s="13">
        <v>7500</v>
      </c>
      <c r="S315" s="13">
        <v>5250</v>
      </c>
    </row>
    <row r="316" spans="1:19">
      <c r="A316" s="9" t="s">
        <v>22</v>
      </c>
      <c r="B316" s="9" t="s">
        <v>27</v>
      </c>
      <c r="C316" s="9" t="s">
        <v>65</v>
      </c>
      <c r="D316" t="s">
        <v>204</v>
      </c>
      <c r="F316" s="12" t="s">
        <v>1820</v>
      </c>
      <c r="G316" s="10" t="s">
        <v>435</v>
      </c>
      <c r="H316" s="10" t="s">
        <v>435</v>
      </c>
      <c r="K316" t="s">
        <v>19</v>
      </c>
      <c r="L316" t="s">
        <v>20</v>
      </c>
      <c r="M316" s="9">
        <v>39229</v>
      </c>
      <c r="N316" t="s">
        <v>3477</v>
      </c>
      <c r="O316">
        <v>18</v>
      </c>
      <c r="P316" t="s">
        <v>3477</v>
      </c>
      <c r="Q316">
        <v>18</v>
      </c>
      <c r="R316" s="13">
        <v>5480</v>
      </c>
      <c r="S316" s="13">
        <v>3835.9999999999995</v>
      </c>
    </row>
    <row r="317" spans="1:19">
      <c r="A317" s="9" t="s">
        <v>22</v>
      </c>
      <c r="B317" s="9" t="s">
        <v>27</v>
      </c>
      <c r="C317" s="9" t="s">
        <v>65</v>
      </c>
      <c r="D317" t="s">
        <v>204</v>
      </c>
      <c r="F317" s="12" t="s">
        <v>1821</v>
      </c>
      <c r="G317" s="10" t="s">
        <v>436</v>
      </c>
      <c r="H317" s="10" t="s">
        <v>436</v>
      </c>
      <c r="K317" t="s">
        <v>19</v>
      </c>
      <c r="L317" t="s">
        <v>20</v>
      </c>
      <c r="M317" s="9">
        <v>39229</v>
      </c>
      <c r="N317" t="s">
        <v>3477</v>
      </c>
      <c r="O317">
        <v>18</v>
      </c>
      <c r="P317" t="s">
        <v>3477</v>
      </c>
      <c r="Q317">
        <v>18</v>
      </c>
      <c r="R317" s="13">
        <v>6280</v>
      </c>
      <c r="S317" s="13">
        <v>4396</v>
      </c>
    </row>
    <row r="318" spans="1:19">
      <c r="A318" s="9" t="s">
        <v>23</v>
      </c>
      <c r="B318" s="9" t="s">
        <v>27</v>
      </c>
      <c r="C318" s="9" t="s">
        <v>65</v>
      </c>
      <c r="D318" t="s">
        <v>204</v>
      </c>
      <c r="F318" s="12" t="s">
        <v>1822</v>
      </c>
      <c r="G318" s="10" t="s">
        <v>437</v>
      </c>
      <c r="H318" s="10" t="s">
        <v>437</v>
      </c>
      <c r="K318" t="s">
        <v>19</v>
      </c>
      <c r="L318" t="s">
        <v>20</v>
      </c>
      <c r="M318" s="9">
        <v>8481802</v>
      </c>
      <c r="N318" t="s">
        <v>3477</v>
      </c>
      <c r="O318">
        <v>18</v>
      </c>
      <c r="P318" t="s">
        <v>3477</v>
      </c>
      <c r="Q318">
        <v>18</v>
      </c>
      <c r="R318" s="13">
        <v>19600</v>
      </c>
      <c r="S318" s="13">
        <v>11760</v>
      </c>
    </row>
    <row r="319" spans="1:19">
      <c r="A319" s="9" t="s">
        <v>23</v>
      </c>
      <c r="B319" s="9" t="s">
        <v>29</v>
      </c>
      <c r="C319" s="9" t="s">
        <v>88</v>
      </c>
      <c r="D319" t="s">
        <v>204</v>
      </c>
      <c r="F319" s="12" t="s">
        <v>1823</v>
      </c>
      <c r="G319" s="10" t="s">
        <v>438</v>
      </c>
      <c r="H319" s="10" t="s">
        <v>438</v>
      </c>
      <c r="K319" t="s">
        <v>19</v>
      </c>
      <c r="L319" t="s">
        <v>20</v>
      </c>
      <c r="M319" s="9">
        <v>39221</v>
      </c>
      <c r="N319" t="s">
        <v>3477</v>
      </c>
      <c r="O319">
        <v>18</v>
      </c>
      <c r="P319" t="s">
        <v>3477</v>
      </c>
      <c r="Q319">
        <v>18</v>
      </c>
      <c r="R319" s="13">
        <v>2500000</v>
      </c>
      <c r="S319" s="13">
        <v>1500000</v>
      </c>
    </row>
    <row r="320" spans="1:19">
      <c r="A320" s="9" t="s">
        <v>23</v>
      </c>
      <c r="B320" s="9" t="s">
        <v>29</v>
      </c>
      <c r="C320" s="9" t="s">
        <v>88</v>
      </c>
      <c r="D320" t="s">
        <v>204</v>
      </c>
      <c r="F320" s="12" t="s">
        <v>1824</v>
      </c>
      <c r="G320" s="10" t="s">
        <v>439</v>
      </c>
      <c r="H320" s="10" t="s">
        <v>439</v>
      </c>
      <c r="K320" t="s">
        <v>19</v>
      </c>
      <c r="L320" t="s">
        <v>20</v>
      </c>
      <c r="M320" s="9">
        <v>39221</v>
      </c>
      <c r="N320" t="s">
        <v>3477</v>
      </c>
      <c r="O320">
        <v>18</v>
      </c>
      <c r="P320" t="s">
        <v>3477</v>
      </c>
      <c r="Q320">
        <v>18</v>
      </c>
      <c r="R320" s="13">
        <v>2500000</v>
      </c>
      <c r="S320" s="13">
        <v>1500000</v>
      </c>
    </row>
    <row r="321" spans="1:19">
      <c r="A321" s="9" t="s">
        <v>22</v>
      </c>
      <c r="B321" s="9" t="s">
        <v>26</v>
      </c>
      <c r="C321" s="9" t="s">
        <v>50</v>
      </c>
      <c r="D321" t="s">
        <v>204</v>
      </c>
      <c r="F321" s="12" t="s">
        <v>1825</v>
      </c>
      <c r="G321" s="10" t="s">
        <v>440</v>
      </c>
      <c r="H321" s="10" t="s">
        <v>440</v>
      </c>
      <c r="K321" t="s">
        <v>19</v>
      </c>
      <c r="L321" t="s">
        <v>20</v>
      </c>
      <c r="M321" s="9">
        <v>39222</v>
      </c>
      <c r="N321" t="s">
        <v>3477</v>
      </c>
      <c r="O321">
        <v>18</v>
      </c>
      <c r="P321" t="s">
        <v>3477</v>
      </c>
      <c r="Q321">
        <v>18</v>
      </c>
      <c r="R321" s="13">
        <v>2280</v>
      </c>
      <c r="S321" s="13">
        <v>1596</v>
      </c>
    </row>
    <row r="322" spans="1:19">
      <c r="A322" s="9" t="s">
        <v>23</v>
      </c>
      <c r="B322" s="9" t="s">
        <v>26</v>
      </c>
      <c r="C322" s="9" t="s">
        <v>103</v>
      </c>
      <c r="D322" t="s">
        <v>204</v>
      </c>
      <c r="F322" s="12" t="s">
        <v>1826</v>
      </c>
      <c r="G322" s="10" t="s">
        <v>441</v>
      </c>
      <c r="H322" s="10" t="s">
        <v>441</v>
      </c>
      <c r="K322" t="s">
        <v>19</v>
      </c>
      <c r="L322" t="s">
        <v>20</v>
      </c>
      <c r="M322" s="9">
        <v>69101</v>
      </c>
      <c r="N322" t="s">
        <v>3477</v>
      </c>
      <c r="O322">
        <v>18</v>
      </c>
      <c r="P322" t="s">
        <v>3477</v>
      </c>
      <c r="Q322">
        <v>18</v>
      </c>
      <c r="R322" s="13">
        <v>33000</v>
      </c>
      <c r="S322" s="13">
        <v>19800</v>
      </c>
    </row>
    <row r="323" spans="1:19">
      <c r="A323" s="9" t="s">
        <v>23</v>
      </c>
      <c r="B323" s="9" t="s">
        <v>26</v>
      </c>
      <c r="C323" s="9" t="s">
        <v>103</v>
      </c>
      <c r="D323" t="s">
        <v>204</v>
      </c>
      <c r="F323" s="12" t="s">
        <v>1827</v>
      </c>
      <c r="G323" s="10" t="s">
        <v>442</v>
      </c>
      <c r="H323" s="10" t="s">
        <v>442</v>
      </c>
      <c r="K323" t="s">
        <v>19</v>
      </c>
      <c r="L323" t="s">
        <v>20</v>
      </c>
      <c r="M323" s="9">
        <v>69101</v>
      </c>
      <c r="N323" t="s">
        <v>3477</v>
      </c>
      <c r="O323">
        <v>18</v>
      </c>
      <c r="P323" t="s">
        <v>3477</v>
      </c>
      <c r="Q323">
        <v>18</v>
      </c>
      <c r="R323" s="13">
        <v>26000</v>
      </c>
      <c r="S323" s="13">
        <v>15600</v>
      </c>
    </row>
    <row r="324" spans="1:19">
      <c r="A324" s="9" t="s">
        <v>22</v>
      </c>
      <c r="B324" s="9" t="s">
        <v>26</v>
      </c>
      <c r="C324" s="9" t="s">
        <v>70</v>
      </c>
      <c r="D324" t="s">
        <v>204</v>
      </c>
      <c r="F324" s="12" t="s">
        <v>1828</v>
      </c>
      <c r="G324" s="10" t="s">
        <v>443</v>
      </c>
      <c r="H324" s="10" t="s">
        <v>443</v>
      </c>
      <c r="K324" t="s">
        <v>19</v>
      </c>
      <c r="L324" t="s">
        <v>20</v>
      </c>
      <c r="M324" s="9">
        <v>69101</v>
      </c>
      <c r="N324" t="s">
        <v>3477</v>
      </c>
      <c r="O324">
        <v>18</v>
      </c>
      <c r="P324" t="s">
        <v>3477</v>
      </c>
      <c r="Q324">
        <v>18</v>
      </c>
      <c r="R324" s="13">
        <v>8010</v>
      </c>
      <c r="S324" s="13">
        <v>5607</v>
      </c>
    </row>
    <row r="325" spans="1:19">
      <c r="A325" s="9" t="s">
        <v>23</v>
      </c>
      <c r="B325" s="9" t="s">
        <v>26</v>
      </c>
      <c r="C325" s="9" t="s">
        <v>96</v>
      </c>
      <c r="D325" t="s">
        <v>204</v>
      </c>
      <c r="F325" s="12" t="s">
        <v>1829</v>
      </c>
      <c r="G325" s="10" t="s">
        <v>444</v>
      </c>
      <c r="H325" s="10" t="s">
        <v>444</v>
      </c>
      <c r="K325" t="s">
        <v>19</v>
      </c>
      <c r="L325" t="s">
        <v>20</v>
      </c>
      <c r="M325" s="9">
        <v>69101</v>
      </c>
      <c r="N325" t="s">
        <v>3477</v>
      </c>
      <c r="O325">
        <v>18</v>
      </c>
      <c r="P325" t="s">
        <v>3477</v>
      </c>
      <c r="Q325">
        <v>18</v>
      </c>
      <c r="R325" s="13">
        <v>45000</v>
      </c>
      <c r="S325" s="13">
        <v>27000</v>
      </c>
    </row>
    <row r="326" spans="1:19">
      <c r="A326" s="9" t="s">
        <v>22</v>
      </c>
      <c r="B326" s="9" t="s">
        <v>26</v>
      </c>
      <c r="C326" s="9" t="s">
        <v>82</v>
      </c>
      <c r="D326" t="s">
        <v>204</v>
      </c>
      <c r="F326" s="12" t="s">
        <v>1830</v>
      </c>
      <c r="G326" s="10" t="s">
        <v>445</v>
      </c>
      <c r="H326" s="10" t="s">
        <v>445</v>
      </c>
      <c r="K326" t="s">
        <v>19</v>
      </c>
      <c r="L326" t="s">
        <v>20</v>
      </c>
      <c r="M326" s="9">
        <v>69101</v>
      </c>
      <c r="N326" t="s">
        <v>3477</v>
      </c>
      <c r="O326">
        <v>18</v>
      </c>
      <c r="P326" t="s">
        <v>3477</v>
      </c>
      <c r="Q326">
        <v>18</v>
      </c>
      <c r="R326" s="13">
        <v>16290</v>
      </c>
      <c r="S326" s="13">
        <v>11403</v>
      </c>
    </row>
    <row r="327" spans="1:19">
      <c r="A327" s="9" t="s">
        <v>22</v>
      </c>
      <c r="B327" s="9" t="s">
        <v>26</v>
      </c>
      <c r="C327" s="9" t="s">
        <v>116</v>
      </c>
      <c r="D327" t="s">
        <v>204</v>
      </c>
      <c r="F327" s="12" t="s">
        <v>1831</v>
      </c>
      <c r="G327" s="10" t="s">
        <v>446</v>
      </c>
      <c r="H327" s="10" t="s">
        <v>446</v>
      </c>
      <c r="K327" t="s">
        <v>19</v>
      </c>
      <c r="L327" t="s">
        <v>20</v>
      </c>
      <c r="M327" s="9">
        <v>3924901</v>
      </c>
      <c r="N327" t="s">
        <v>3477</v>
      </c>
      <c r="O327">
        <v>18</v>
      </c>
      <c r="P327" t="s">
        <v>3477</v>
      </c>
      <c r="Q327">
        <v>18</v>
      </c>
      <c r="R327" s="13">
        <v>5000</v>
      </c>
      <c r="S327" s="13">
        <v>3500</v>
      </c>
    </row>
    <row r="328" spans="1:19">
      <c r="A328" s="9" t="s">
        <v>22</v>
      </c>
      <c r="B328" s="9" t="s">
        <v>27</v>
      </c>
      <c r="C328" s="9" t="s">
        <v>117</v>
      </c>
      <c r="D328" t="s">
        <v>204</v>
      </c>
      <c r="F328" s="12" t="s">
        <v>1832</v>
      </c>
      <c r="G328" s="10" t="s">
        <v>446</v>
      </c>
      <c r="H328" s="10" t="s">
        <v>446</v>
      </c>
      <c r="K328" t="s">
        <v>19</v>
      </c>
      <c r="L328" t="s">
        <v>20</v>
      </c>
      <c r="M328" s="9">
        <v>8481802</v>
      </c>
      <c r="N328" t="s">
        <v>3477</v>
      </c>
      <c r="O328">
        <v>18</v>
      </c>
      <c r="P328" t="s">
        <v>3477</v>
      </c>
      <c r="Q328">
        <v>18</v>
      </c>
      <c r="R328" s="13">
        <v>24380</v>
      </c>
      <c r="S328" s="13">
        <v>17066</v>
      </c>
    </row>
    <row r="329" spans="1:19">
      <c r="A329" s="9" t="s">
        <v>22</v>
      </c>
      <c r="B329" s="9" t="s">
        <v>27</v>
      </c>
      <c r="C329" s="9" t="s">
        <v>117</v>
      </c>
      <c r="D329" t="s">
        <v>204</v>
      </c>
      <c r="F329" s="12" t="s">
        <v>1833</v>
      </c>
      <c r="G329" s="10" t="s">
        <v>446</v>
      </c>
      <c r="H329" s="10" t="s">
        <v>446</v>
      </c>
      <c r="K329" t="s">
        <v>19</v>
      </c>
      <c r="L329" t="s">
        <v>20</v>
      </c>
      <c r="M329" s="9">
        <v>8481802</v>
      </c>
      <c r="N329" t="s">
        <v>3477</v>
      </c>
      <c r="O329">
        <v>18</v>
      </c>
      <c r="P329" t="s">
        <v>3477</v>
      </c>
      <c r="Q329">
        <v>18</v>
      </c>
      <c r="R329" s="13">
        <v>24380</v>
      </c>
      <c r="S329" s="13">
        <v>17066</v>
      </c>
    </row>
    <row r="330" spans="1:19">
      <c r="A330" s="9" t="s">
        <v>22</v>
      </c>
      <c r="B330" s="9" t="s">
        <v>27</v>
      </c>
      <c r="C330" s="9" t="s">
        <v>117</v>
      </c>
      <c r="D330" t="s">
        <v>204</v>
      </c>
      <c r="F330" s="12" t="s">
        <v>1834</v>
      </c>
      <c r="G330" s="10" t="s">
        <v>447</v>
      </c>
      <c r="H330" s="10" t="s">
        <v>447</v>
      </c>
      <c r="K330" t="s">
        <v>19</v>
      </c>
      <c r="L330" t="s">
        <v>20</v>
      </c>
      <c r="M330" s="9">
        <v>8481802</v>
      </c>
      <c r="N330" t="s">
        <v>3477</v>
      </c>
      <c r="O330">
        <v>18</v>
      </c>
      <c r="P330" t="s">
        <v>3477</v>
      </c>
      <c r="Q330">
        <v>18</v>
      </c>
      <c r="R330" s="13">
        <v>22750</v>
      </c>
      <c r="S330" s="13">
        <v>15924.999999999998</v>
      </c>
    </row>
    <row r="331" spans="1:19">
      <c r="A331" s="9" t="s">
        <v>22</v>
      </c>
      <c r="B331" s="9" t="s">
        <v>27</v>
      </c>
      <c r="C331" s="9" t="s">
        <v>117</v>
      </c>
      <c r="D331" t="s">
        <v>204</v>
      </c>
      <c r="F331" s="12" t="s">
        <v>1835</v>
      </c>
      <c r="G331" s="10" t="s">
        <v>447</v>
      </c>
      <c r="H331" s="10" t="s">
        <v>447</v>
      </c>
      <c r="K331" t="s">
        <v>19</v>
      </c>
      <c r="L331" t="s">
        <v>20</v>
      </c>
      <c r="M331" s="9">
        <v>8481802</v>
      </c>
      <c r="N331" t="s">
        <v>3477</v>
      </c>
      <c r="O331">
        <v>18</v>
      </c>
      <c r="P331" t="s">
        <v>3477</v>
      </c>
      <c r="Q331">
        <v>18</v>
      </c>
      <c r="R331" s="13">
        <v>27200</v>
      </c>
      <c r="S331" s="13">
        <v>19040</v>
      </c>
    </row>
    <row r="332" spans="1:19">
      <c r="A332" s="9" t="s">
        <v>22</v>
      </c>
      <c r="B332" s="9" t="s">
        <v>27</v>
      </c>
      <c r="C332" s="9" t="s">
        <v>117</v>
      </c>
      <c r="D332" t="s">
        <v>204</v>
      </c>
      <c r="F332" s="12" t="s">
        <v>1836</v>
      </c>
      <c r="G332" s="10" t="s">
        <v>447</v>
      </c>
      <c r="H332" s="10" t="s">
        <v>447</v>
      </c>
      <c r="K332" t="s">
        <v>19</v>
      </c>
      <c r="L332" t="s">
        <v>20</v>
      </c>
      <c r="M332" s="9">
        <v>8481802</v>
      </c>
      <c r="N332" t="s">
        <v>3477</v>
      </c>
      <c r="O332">
        <v>18</v>
      </c>
      <c r="P332" t="s">
        <v>3477</v>
      </c>
      <c r="Q332">
        <v>18</v>
      </c>
      <c r="R332" s="13">
        <v>27200</v>
      </c>
      <c r="S332" s="13">
        <v>19040</v>
      </c>
    </row>
    <row r="333" spans="1:19">
      <c r="A333" s="9" t="s">
        <v>22</v>
      </c>
      <c r="B333" s="9" t="s">
        <v>27</v>
      </c>
      <c r="C333" s="9" t="s">
        <v>117</v>
      </c>
      <c r="D333" t="s">
        <v>204</v>
      </c>
      <c r="F333" s="12" t="s">
        <v>1837</v>
      </c>
      <c r="G333" s="10" t="s">
        <v>448</v>
      </c>
      <c r="H333" s="10" t="s">
        <v>448</v>
      </c>
      <c r="K333" t="s">
        <v>19</v>
      </c>
      <c r="L333" t="s">
        <v>20</v>
      </c>
      <c r="M333" s="9">
        <v>8481802</v>
      </c>
      <c r="N333" t="s">
        <v>3477</v>
      </c>
      <c r="O333">
        <v>18</v>
      </c>
      <c r="P333" t="s">
        <v>3477</v>
      </c>
      <c r="Q333">
        <v>18</v>
      </c>
      <c r="R333" s="13">
        <v>25380</v>
      </c>
      <c r="S333" s="13">
        <v>17766</v>
      </c>
    </row>
    <row r="334" spans="1:19">
      <c r="A334" s="9" t="s">
        <v>24</v>
      </c>
      <c r="B334" s="9" t="s">
        <v>26</v>
      </c>
      <c r="C334" s="9" t="s">
        <v>80</v>
      </c>
      <c r="D334" t="s">
        <v>204</v>
      </c>
      <c r="F334" s="12" t="s">
        <v>1838</v>
      </c>
      <c r="G334" s="10" t="s">
        <v>449</v>
      </c>
      <c r="H334" s="10" t="s">
        <v>449</v>
      </c>
      <c r="K334" t="s">
        <v>19</v>
      </c>
      <c r="L334" t="s">
        <v>20</v>
      </c>
      <c r="M334" s="9">
        <v>69101</v>
      </c>
      <c r="N334" t="s">
        <v>3477</v>
      </c>
      <c r="O334">
        <v>18</v>
      </c>
      <c r="P334" t="s">
        <v>3477</v>
      </c>
      <c r="Q334">
        <v>18</v>
      </c>
      <c r="R334" s="13">
        <v>8000</v>
      </c>
      <c r="S334" s="13">
        <v>6000</v>
      </c>
    </row>
    <row r="335" spans="1:19">
      <c r="A335" s="9" t="s">
        <v>22</v>
      </c>
      <c r="B335" s="9" t="s">
        <v>26</v>
      </c>
      <c r="C335" s="9" t="s">
        <v>80</v>
      </c>
      <c r="D335" t="s">
        <v>204</v>
      </c>
      <c r="F335" s="12" t="s">
        <v>1839</v>
      </c>
      <c r="G335" s="10" t="s">
        <v>450</v>
      </c>
      <c r="H335" s="10" t="s">
        <v>450</v>
      </c>
      <c r="K335" t="s">
        <v>19</v>
      </c>
      <c r="L335" t="s">
        <v>20</v>
      </c>
      <c r="M335" s="9">
        <v>69101</v>
      </c>
      <c r="N335" t="s">
        <v>3477</v>
      </c>
      <c r="O335">
        <v>18</v>
      </c>
      <c r="P335" t="s">
        <v>3477</v>
      </c>
      <c r="Q335">
        <v>18</v>
      </c>
      <c r="R335" s="13">
        <v>9200</v>
      </c>
      <c r="S335" s="13">
        <v>6440</v>
      </c>
    </row>
    <row r="336" spans="1:19">
      <c r="A336" s="9" t="s">
        <v>22</v>
      </c>
      <c r="B336" s="9" t="s">
        <v>26</v>
      </c>
      <c r="C336" s="9" t="s">
        <v>80</v>
      </c>
      <c r="D336" t="s">
        <v>204</v>
      </c>
      <c r="F336" s="12" t="s">
        <v>1840</v>
      </c>
      <c r="G336" s="10" t="s">
        <v>451</v>
      </c>
      <c r="H336" s="10" t="s">
        <v>451</v>
      </c>
      <c r="K336" t="s">
        <v>19</v>
      </c>
      <c r="L336" t="s">
        <v>20</v>
      </c>
      <c r="M336" s="9">
        <v>69101</v>
      </c>
      <c r="N336" t="s">
        <v>3477</v>
      </c>
      <c r="O336">
        <v>18</v>
      </c>
      <c r="P336" t="s">
        <v>3477</v>
      </c>
      <c r="Q336">
        <v>18</v>
      </c>
      <c r="R336" s="13">
        <v>9200</v>
      </c>
      <c r="S336" s="13">
        <v>6440</v>
      </c>
    </row>
    <row r="337" spans="1:19">
      <c r="A337" s="9" t="s">
        <v>22</v>
      </c>
      <c r="B337" s="9" t="s">
        <v>26</v>
      </c>
      <c r="C337" s="9" t="s">
        <v>80</v>
      </c>
      <c r="D337" t="s">
        <v>204</v>
      </c>
      <c r="F337" s="12" t="s">
        <v>1841</v>
      </c>
      <c r="G337" s="10" t="s">
        <v>451</v>
      </c>
      <c r="H337" s="10" t="s">
        <v>451</v>
      </c>
      <c r="K337" t="s">
        <v>19</v>
      </c>
      <c r="L337" t="s">
        <v>20</v>
      </c>
      <c r="M337" s="9">
        <v>69101</v>
      </c>
      <c r="N337" t="s">
        <v>3477</v>
      </c>
      <c r="O337">
        <v>18</v>
      </c>
      <c r="P337" t="s">
        <v>3477</v>
      </c>
      <c r="Q337">
        <v>18</v>
      </c>
      <c r="R337" s="13">
        <v>8750</v>
      </c>
      <c r="S337" s="13">
        <v>6125</v>
      </c>
    </row>
    <row r="338" spans="1:19">
      <c r="A338" s="9" t="s">
        <v>22</v>
      </c>
      <c r="B338" s="9" t="s">
        <v>26</v>
      </c>
      <c r="C338" s="9" t="s">
        <v>80</v>
      </c>
      <c r="D338" t="s">
        <v>204</v>
      </c>
      <c r="F338" s="12" t="s">
        <v>1842</v>
      </c>
      <c r="G338" s="10" t="s">
        <v>452</v>
      </c>
      <c r="H338" s="10" t="s">
        <v>452</v>
      </c>
      <c r="K338" t="s">
        <v>19</v>
      </c>
      <c r="L338" t="s">
        <v>20</v>
      </c>
      <c r="M338" s="9">
        <v>69101</v>
      </c>
      <c r="N338" t="s">
        <v>3477</v>
      </c>
      <c r="O338">
        <v>18</v>
      </c>
      <c r="P338" t="s">
        <v>3477</v>
      </c>
      <c r="Q338">
        <v>18</v>
      </c>
      <c r="R338" s="13">
        <v>9200</v>
      </c>
      <c r="S338" s="13">
        <v>6440</v>
      </c>
    </row>
    <row r="339" spans="1:19">
      <c r="A339" s="9" t="s">
        <v>24</v>
      </c>
      <c r="B339" s="9" t="s">
        <v>26</v>
      </c>
      <c r="C339" s="9" t="s">
        <v>81</v>
      </c>
      <c r="D339" t="s">
        <v>204</v>
      </c>
      <c r="F339" s="12" t="s">
        <v>1843</v>
      </c>
      <c r="G339" s="10" t="s">
        <v>453</v>
      </c>
      <c r="H339" s="10" t="s">
        <v>453</v>
      </c>
      <c r="K339" t="s">
        <v>19</v>
      </c>
      <c r="L339" t="s">
        <v>20</v>
      </c>
      <c r="M339" s="9">
        <v>69101</v>
      </c>
      <c r="N339" t="s">
        <v>3477</v>
      </c>
      <c r="O339">
        <v>18</v>
      </c>
      <c r="P339" t="s">
        <v>3477</v>
      </c>
      <c r="Q339">
        <v>18</v>
      </c>
      <c r="R339" s="13">
        <v>3500</v>
      </c>
      <c r="S339" s="13">
        <v>2625</v>
      </c>
    </row>
    <row r="340" spans="1:19">
      <c r="A340" s="9" t="s">
        <v>24</v>
      </c>
      <c r="B340" s="9" t="s">
        <v>26</v>
      </c>
      <c r="C340" s="9" t="s">
        <v>81</v>
      </c>
      <c r="D340" t="s">
        <v>204</v>
      </c>
      <c r="F340" s="12" t="s">
        <v>1844</v>
      </c>
      <c r="G340" s="10" t="s">
        <v>454</v>
      </c>
      <c r="H340" s="10" t="s">
        <v>454</v>
      </c>
      <c r="K340" t="s">
        <v>19</v>
      </c>
      <c r="L340" t="s">
        <v>20</v>
      </c>
      <c r="M340" s="9">
        <v>69101</v>
      </c>
      <c r="N340" t="s">
        <v>3477</v>
      </c>
      <c r="O340">
        <v>18</v>
      </c>
      <c r="P340" t="s">
        <v>3477</v>
      </c>
      <c r="Q340">
        <v>18</v>
      </c>
      <c r="R340" s="13">
        <v>4500</v>
      </c>
      <c r="S340" s="13">
        <v>3375</v>
      </c>
    </row>
    <row r="341" spans="1:19">
      <c r="A341" s="9" t="s">
        <v>22</v>
      </c>
      <c r="B341" s="9" t="s">
        <v>27</v>
      </c>
      <c r="C341" s="9" t="s">
        <v>30</v>
      </c>
      <c r="D341" t="s">
        <v>204</v>
      </c>
      <c r="F341" s="12" t="s">
        <v>1845</v>
      </c>
      <c r="G341" s="10" t="s">
        <v>455</v>
      </c>
      <c r="H341" s="10" t="s">
        <v>455</v>
      </c>
      <c r="K341" t="s">
        <v>19</v>
      </c>
      <c r="L341" t="s">
        <v>20</v>
      </c>
      <c r="M341" s="9">
        <v>8481802</v>
      </c>
      <c r="N341" t="s">
        <v>3477</v>
      </c>
      <c r="O341">
        <v>18</v>
      </c>
      <c r="P341" t="s">
        <v>3477</v>
      </c>
      <c r="Q341">
        <v>18</v>
      </c>
      <c r="R341" s="13">
        <v>64510</v>
      </c>
      <c r="S341" s="13">
        <v>45157</v>
      </c>
    </row>
    <row r="342" spans="1:19">
      <c r="A342" s="9" t="s">
        <v>22</v>
      </c>
      <c r="B342" s="9" t="s">
        <v>27</v>
      </c>
      <c r="C342" s="9" t="s">
        <v>30</v>
      </c>
      <c r="D342" t="s">
        <v>204</v>
      </c>
      <c r="F342" s="12" t="s">
        <v>1846</v>
      </c>
      <c r="G342" s="10" t="s">
        <v>456</v>
      </c>
      <c r="H342" s="10" t="s">
        <v>456</v>
      </c>
      <c r="K342" t="s">
        <v>19</v>
      </c>
      <c r="L342" t="s">
        <v>20</v>
      </c>
      <c r="M342" s="9">
        <v>8481802</v>
      </c>
      <c r="N342" t="s">
        <v>3477</v>
      </c>
      <c r="O342">
        <v>18</v>
      </c>
      <c r="P342" t="s">
        <v>3477</v>
      </c>
      <c r="Q342">
        <v>18</v>
      </c>
      <c r="R342" s="13">
        <v>61500</v>
      </c>
      <c r="S342" s="13">
        <v>43050</v>
      </c>
    </row>
    <row r="343" spans="1:19">
      <c r="A343" s="9" t="s">
        <v>22</v>
      </c>
      <c r="B343" s="9" t="s">
        <v>27</v>
      </c>
      <c r="C343" s="9" t="s">
        <v>30</v>
      </c>
      <c r="D343" t="s">
        <v>204</v>
      </c>
      <c r="F343" s="12" t="s">
        <v>1847</v>
      </c>
      <c r="G343" s="10" t="s">
        <v>457</v>
      </c>
      <c r="H343" s="10" t="s">
        <v>457</v>
      </c>
      <c r="K343" t="s">
        <v>19</v>
      </c>
      <c r="L343" t="s">
        <v>20</v>
      </c>
      <c r="M343" s="9">
        <v>8481802</v>
      </c>
      <c r="N343" t="s">
        <v>3477</v>
      </c>
      <c r="O343">
        <v>18</v>
      </c>
      <c r="P343" t="s">
        <v>3477</v>
      </c>
      <c r="Q343">
        <v>18</v>
      </c>
      <c r="R343" s="13">
        <v>77500</v>
      </c>
      <c r="S343" s="13">
        <v>54250</v>
      </c>
    </row>
    <row r="344" spans="1:19">
      <c r="A344" s="9" t="s">
        <v>22</v>
      </c>
      <c r="B344" s="9" t="s">
        <v>27</v>
      </c>
      <c r="C344" s="9" t="s">
        <v>30</v>
      </c>
      <c r="D344" t="s">
        <v>204</v>
      </c>
      <c r="F344" s="12" t="s">
        <v>1848</v>
      </c>
      <c r="G344" s="10" t="s">
        <v>458</v>
      </c>
      <c r="H344" s="10" t="s">
        <v>458</v>
      </c>
      <c r="K344" t="s">
        <v>19</v>
      </c>
      <c r="L344" t="s">
        <v>20</v>
      </c>
      <c r="M344" s="9">
        <v>8481802</v>
      </c>
      <c r="N344" t="s">
        <v>3477</v>
      </c>
      <c r="O344">
        <v>18</v>
      </c>
      <c r="P344" t="s">
        <v>3477</v>
      </c>
      <c r="Q344">
        <v>18</v>
      </c>
      <c r="R344" s="13">
        <v>58350</v>
      </c>
      <c r="S344" s="13">
        <v>40845</v>
      </c>
    </row>
    <row r="345" spans="1:19">
      <c r="A345" s="9" t="s">
        <v>22</v>
      </c>
      <c r="B345" s="9" t="s">
        <v>27</v>
      </c>
      <c r="C345" s="9" t="s">
        <v>30</v>
      </c>
      <c r="D345" t="s">
        <v>204</v>
      </c>
      <c r="F345" s="12" t="s">
        <v>1849</v>
      </c>
      <c r="G345" s="10" t="s">
        <v>459</v>
      </c>
      <c r="H345" s="10" t="s">
        <v>459</v>
      </c>
      <c r="K345" t="s">
        <v>19</v>
      </c>
      <c r="L345" t="s">
        <v>20</v>
      </c>
      <c r="M345" s="9">
        <v>8481802</v>
      </c>
      <c r="N345" t="s">
        <v>3477</v>
      </c>
      <c r="O345">
        <v>18</v>
      </c>
      <c r="P345" t="s">
        <v>3477</v>
      </c>
      <c r="Q345">
        <v>18</v>
      </c>
      <c r="R345" s="13">
        <v>42630</v>
      </c>
      <c r="S345" s="13">
        <v>29840.999999999996</v>
      </c>
    </row>
    <row r="346" spans="1:19">
      <c r="A346" s="9" t="s">
        <v>22</v>
      </c>
      <c r="B346" s="9" t="s">
        <v>27</v>
      </c>
      <c r="C346" s="9" t="s">
        <v>30</v>
      </c>
      <c r="D346" t="s">
        <v>204</v>
      </c>
      <c r="F346" s="12" t="s">
        <v>1850</v>
      </c>
      <c r="G346" s="10" t="s">
        <v>460</v>
      </c>
      <c r="H346" s="10" t="s">
        <v>460</v>
      </c>
      <c r="K346" t="s">
        <v>19</v>
      </c>
      <c r="L346" t="s">
        <v>20</v>
      </c>
      <c r="M346" s="9">
        <v>8481802</v>
      </c>
      <c r="N346" t="s">
        <v>3477</v>
      </c>
      <c r="O346">
        <v>18</v>
      </c>
      <c r="P346" t="s">
        <v>3477</v>
      </c>
      <c r="Q346">
        <v>18</v>
      </c>
      <c r="R346" s="13">
        <v>41050</v>
      </c>
      <c r="S346" s="13">
        <v>28734.999999999996</v>
      </c>
    </row>
    <row r="347" spans="1:19">
      <c r="A347" s="9" t="s">
        <v>22</v>
      </c>
      <c r="B347" s="9" t="s">
        <v>26</v>
      </c>
      <c r="C347" s="9" t="s">
        <v>81</v>
      </c>
      <c r="D347" t="s">
        <v>204</v>
      </c>
      <c r="F347" s="12" t="s">
        <v>1851</v>
      </c>
      <c r="G347" s="10" t="s">
        <v>461</v>
      </c>
      <c r="H347" s="10" t="s">
        <v>461</v>
      </c>
      <c r="K347" t="s">
        <v>19</v>
      </c>
      <c r="L347" t="s">
        <v>20</v>
      </c>
      <c r="M347" s="9">
        <v>69101</v>
      </c>
      <c r="N347" t="s">
        <v>3477</v>
      </c>
      <c r="O347">
        <v>18</v>
      </c>
      <c r="P347" t="s">
        <v>3477</v>
      </c>
      <c r="Q347">
        <v>18</v>
      </c>
      <c r="R347" s="13">
        <v>9000</v>
      </c>
      <c r="S347" s="13">
        <v>6300</v>
      </c>
    </row>
    <row r="348" spans="1:19">
      <c r="A348" s="9" t="s">
        <v>22</v>
      </c>
      <c r="B348" s="9" t="s">
        <v>26</v>
      </c>
      <c r="C348" s="9" t="s">
        <v>81</v>
      </c>
      <c r="D348" t="s">
        <v>204</v>
      </c>
      <c r="F348" s="12" t="s">
        <v>1852</v>
      </c>
      <c r="G348" s="10" t="s">
        <v>462</v>
      </c>
      <c r="H348" s="10" t="s">
        <v>462</v>
      </c>
      <c r="K348" t="s">
        <v>19</v>
      </c>
      <c r="L348" t="s">
        <v>20</v>
      </c>
      <c r="M348" s="9">
        <v>69101</v>
      </c>
      <c r="N348" t="s">
        <v>3477</v>
      </c>
      <c r="O348">
        <v>18</v>
      </c>
      <c r="P348" t="s">
        <v>3477</v>
      </c>
      <c r="Q348">
        <v>18</v>
      </c>
      <c r="R348" s="13">
        <v>9500</v>
      </c>
      <c r="S348" s="13">
        <v>6650</v>
      </c>
    </row>
    <row r="349" spans="1:19">
      <c r="A349" s="9" t="s">
        <v>22</v>
      </c>
      <c r="B349" s="9" t="s">
        <v>26</v>
      </c>
      <c r="C349" s="9" t="s">
        <v>81</v>
      </c>
      <c r="D349" t="s">
        <v>204</v>
      </c>
      <c r="F349" s="12" t="s">
        <v>1853</v>
      </c>
      <c r="G349" s="10" t="s">
        <v>463</v>
      </c>
      <c r="H349" s="10" t="s">
        <v>463</v>
      </c>
      <c r="K349" t="s">
        <v>19</v>
      </c>
      <c r="L349" t="s">
        <v>20</v>
      </c>
      <c r="M349" s="9">
        <v>69101</v>
      </c>
      <c r="N349" t="s">
        <v>3477</v>
      </c>
      <c r="O349">
        <v>18</v>
      </c>
      <c r="P349" t="s">
        <v>3477</v>
      </c>
      <c r="Q349">
        <v>18</v>
      </c>
      <c r="R349" s="13">
        <v>9500</v>
      </c>
      <c r="S349" s="13">
        <v>6650</v>
      </c>
    </row>
    <row r="350" spans="1:19">
      <c r="A350" s="9" t="s">
        <v>22</v>
      </c>
      <c r="B350" s="9" t="s">
        <v>26</v>
      </c>
      <c r="C350" s="9" t="s">
        <v>81</v>
      </c>
      <c r="D350" t="s">
        <v>204</v>
      </c>
      <c r="F350" s="12" t="s">
        <v>1854</v>
      </c>
      <c r="G350" s="10" t="s">
        <v>464</v>
      </c>
      <c r="H350" s="10" t="s">
        <v>464</v>
      </c>
      <c r="K350" t="s">
        <v>19</v>
      </c>
      <c r="L350" t="s">
        <v>20</v>
      </c>
      <c r="M350" s="9">
        <v>69101</v>
      </c>
      <c r="N350" t="s">
        <v>3477</v>
      </c>
      <c r="O350">
        <v>18</v>
      </c>
      <c r="P350" t="s">
        <v>3477</v>
      </c>
      <c r="Q350">
        <v>18</v>
      </c>
      <c r="R350" s="13">
        <v>11000</v>
      </c>
      <c r="S350" s="13">
        <v>7699.9999999999991</v>
      </c>
    </row>
    <row r="351" spans="1:19">
      <c r="A351" s="9" t="s">
        <v>23</v>
      </c>
      <c r="B351" s="9" t="s">
        <v>27</v>
      </c>
      <c r="C351" s="9" t="s">
        <v>65</v>
      </c>
      <c r="D351" t="s">
        <v>204</v>
      </c>
      <c r="F351" s="12" t="s">
        <v>1855</v>
      </c>
      <c r="G351" s="10" t="s">
        <v>464</v>
      </c>
      <c r="H351" s="10" t="s">
        <v>464</v>
      </c>
      <c r="K351" t="s">
        <v>19</v>
      </c>
      <c r="L351" t="s">
        <v>20</v>
      </c>
      <c r="M351" s="9">
        <v>39229</v>
      </c>
      <c r="N351" t="s">
        <v>3477</v>
      </c>
      <c r="O351">
        <v>18</v>
      </c>
      <c r="P351" t="s">
        <v>3477</v>
      </c>
      <c r="Q351">
        <v>18</v>
      </c>
      <c r="R351" s="13">
        <v>22400</v>
      </c>
      <c r="S351" s="13">
        <v>13440</v>
      </c>
    </row>
    <row r="352" spans="1:19">
      <c r="A352" s="9" t="s">
        <v>23</v>
      </c>
      <c r="B352" s="9" t="s">
        <v>27</v>
      </c>
      <c r="C352" s="9" t="s">
        <v>65</v>
      </c>
      <c r="D352" t="s">
        <v>204</v>
      </c>
      <c r="F352" s="12" t="s">
        <v>1856</v>
      </c>
      <c r="G352" s="10" t="s">
        <v>465</v>
      </c>
      <c r="H352" s="10" t="s">
        <v>465</v>
      </c>
      <c r="K352" t="s">
        <v>19</v>
      </c>
      <c r="L352" t="s">
        <v>20</v>
      </c>
      <c r="M352" s="9">
        <v>39229</v>
      </c>
      <c r="N352" t="s">
        <v>3477</v>
      </c>
      <c r="O352">
        <v>18</v>
      </c>
      <c r="P352" t="s">
        <v>3477</v>
      </c>
      <c r="Q352">
        <v>18</v>
      </c>
      <c r="R352" s="13">
        <v>19300</v>
      </c>
      <c r="S352" s="13">
        <v>11580</v>
      </c>
    </row>
    <row r="353" spans="1:19">
      <c r="A353" s="9" t="s">
        <v>23</v>
      </c>
      <c r="B353" s="9" t="s">
        <v>27</v>
      </c>
      <c r="C353" s="9" t="s">
        <v>65</v>
      </c>
      <c r="D353" t="s">
        <v>204</v>
      </c>
      <c r="F353" s="12" t="s">
        <v>1857</v>
      </c>
      <c r="G353" s="10" t="s">
        <v>465</v>
      </c>
      <c r="H353" s="10" t="s">
        <v>465</v>
      </c>
      <c r="K353" t="s">
        <v>19</v>
      </c>
      <c r="L353" t="s">
        <v>20</v>
      </c>
      <c r="M353" s="9">
        <v>39229</v>
      </c>
      <c r="N353" t="s">
        <v>3477</v>
      </c>
      <c r="O353">
        <v>18</v>
      </c>
      <c r="P353" t="s">
        <v>3477</v>
      </c>
      <c r="Q353">
        <v>18</v>
      </c>
      <c r="R353" s="13">
        <v>22400</v>
      </c>
      <c r="S353" s="13">
        <v>13440</v>
      </c>
    </row>
    <row r="354" spans="1:19">
      <c r="A354" s="9" t="s">
        <v>23</v>
      </c>
      <c r="B354" s="9" t="s">
        <v>27</v>
      </c>
      <c r="C354" s="9" t="s">
        <v>65</v>
      </c>
      <c r="D354" t="s">
        <v>204</v>
      </c>
      <c r="F354" s="12" t="s">
        <v>1858</v>
      </c>
      <c r="G354" s="10" t="s">
        <v>466</v>
      </c>
      <c r="H354" s="10" t="s">
        <v>466</v>
      </c>
      <c r="K354" t="s">
        <v>19</v>
      </c>
      <c r="L354" t="s">
        <v>20</v>
      </c>
      <c r="M354" s="9">
        <v>39229</v>
      </c>
      <c r="N354" t="s">
        <v>3477</v>
      </c>
      <c r="O354">
        <v>18</v>
      </c>
      <c r="P354" t="s">
        <v>3477</v>
      </c>
      <c r="Q354">
        <v>18</v>
      </c>
      <c r="R354" s="13">
        <v>16000</v>
      </c>
      <c r="S354" s="13">
        <v>9600</v>
      </c>
    </row>
    <row r="355" spans="1:19">
      <c r="A355" s="9" t="s">
        <v>23</v>
      </c>
      <c r="B355" s="9" t="s">
        <v>27</v>
      </c>
      <c r="C355" s="9" t="s">
        <v>65</v>
      </c>
      <c r="D355" t="s">
        <v>204</v>
      </c>
      <c r="F355" s="12" t="s">
        <v>1859</v>
      </c>
      <c r="G355" s="10" t="s">
        <v>467</v>
      </c>
      <c r="H355" s="10" t="s">
        <v>467</v>
      </c>
      <c r="K355" t="s">
        <v>19</v>
      </c>
      <c r="L355" t="s">
        <v>20</v>
      </c>
      <c r="M355" s="9">
        <v>39229</v>
      </c>
      <c r="N355" t="s">
        <v>3477</v>
      </c>
      <c r="O355">
        <v>18</v>
      </c>
      <c r="P355" t="s">
        <v>3477</v>
      </c>
      <c r="Q355">
        <v>18</v>
      </c>
      <c r="R355" s="13">
        <v>15450</v>
      </c>
      <c r="S355" s="13">
        <v>9270</v>
      </c>
    </row>
    <row r="356" spans="1:19">
      <c r="A356" s="9" t="s">
        <v>22</v>
      </c>
      <c r="B356" s="9" t="s">
        <v>27</v>
      </c>
      <c r="C356" s="9" t="s">
        <v>58</v>
      </c>
      <c r="D356" t="s">
        <v>204</v>
      </c>
      <c r="F356" s="12" t="s">
        <v>1860</v>
      </c>
      <c r="G356" s="10" t="s">
        <v>468</v>
      </c>
      <c r="H356" s="10" t="s">
        <v>468</v>
      </c>
      <c r="K356" t="s">
        <v>19</v>
      </c>
      <c r="L356" t="s">
        <v>20</v>
      </c>
      <c r="M356" s="9">
        <v>8481802</v>
      </c>
      <c r="N356" t="s">
        <v>3477</v>
      </c>
      <c r="O356">
        <v>18</v>
      </c>
      <c r="P356" t="s">
        <v>3477</v>
      </c>
      <c r="Q356">
        <v>18</v>
      </c>
      <c r="R356" s="13">
        <v>18500</v>
      </c>
      <c r="S356" s="13">
        <v>12950</v>
      </c>
    </row>
    <row r="357" spans="1:19">
      <c r="A357" s="9" t="s">
        <v>22</v>
      </c>
      <c r="B357" s="9" t="s">
        <v>27</v>
      </c>
      <c r="C357" s="9" t="s">
        <v>58</v>
      </c>
      <c r="D357" t="s">
        <v>204</v>
      </c>
      <c r="F357" s="12" t="s">
        <v>1861</v>
      </c>
      <c r="G357" s="10" t="s">
        <v>469</v>
      </c>
      <c r="H357" s="10" t="s">
        <v>469</v>
      </c>
      <c r="K357" t="s">
        <v>19</v>
      </c>
      <c r="L357" t="s">
        <v>20</v>
      </c>
      <c r="M357" s="9">
        <v>7418202</v>
      </c>
      <c r="N357" t="s">
        <v>3477</v>
      </c>
      <c r="O357">
        <v>18</v>
      </c>
      <c r="P357" t="s">
        <v>3477</v>
      </c>
      <c r="Q357">
        <v>18</v>
      </c>
      <c r="R357" s="13">
        <v>13000</v>
      </c>
      <c r="S357" s="13">
        <v>9100</v>
      </c>
    </row>
    <row r="358" spans="1:19">
      <c r="A358" s="9" t="s">
        <v>22</v>
      </c>
      <c r="B358" s="9" t="s">
        <v>27</v>
      </c>
      <c r="C358" s="9" t="s">
        <v>58</v>
      </c>
      <c r="D358" t="s">
        <v>204</v>
      </c>
      <c r="F358" s="12" t="s">
        <v>1862</v>
      </c>
      <c r="G358" s="10" t="s">
        <v>470</v>
      </c>
      <c r="H358" s="10" t="s">
        <v>470</v>
      </c>
      <c r="K358" t="s">
        <v>19</v>
      </c>
      <c r="L358" t="s">
        <v>20</v>
      </c>
      <c r="M358" s="9">
        <v>7418202</v>
      </c>
      <c r="N358" t="s">
        <v>3477</v>
      </c>
      <c r="O358">
        <v>18</v>
      </c>
      <c r="P358" t="s">
        <v>3477</v>
      </c>
      <c r="Q358">
        <v>18</v>
      </c>
      <c r="R358" s="13">
        <v>18500</v>
      </c>
      <c r="S358" s="13">
        <v>12950</v>
      </c>
    </row>
    <row r="359" spans="1:19">
      <c r="A359" s="9" t="s">
        <v>22</v>
      </c>
      <c r="B359" s="9" t="s">
        <v>30</v>
      </c>
      <c r="C359" s="9" t="s">
        <v>73</v>
      </c>
      <c r="D359" t="s">
        <v>204</v>
      </c>
      <c r="F359" s="12" t="s">
        <v>1863</v>
      </c>
      <c r="G359" s="10" t="s">
        <v>471</v>
      </c>
      <c r="H359" s="10" t="s">
        <v>471</v>
      </c>
      <c r="K359" t="s">
        <v>19</v>
      </c>
      <c r="L359" t="s">
        <v>20</v>
      </c>
      <c r="M359" s="9">
        <v>8481802</v>
      </c>
      <c r="N359" t="s">
        <v>3477</v>
      </c>
      <c r="O359">
        <v>18</v>
      </c>
      <c r="P359" t="s">
        <v>3477</v>
      </c>
      <c r="Q359">
        <v>18</v>
      </c>
      <c r="R359" s="13">
        <v>73</v>
      </c>
      <c r="S359" s="13">
        <v>51.099999999999994</v>
      </c>
    </row>
    <row r="360" spans="1:19">
      <c r="A360" s="9" t="s">
        <v>22</v>
      </c>
      <c r="B360" s="9" t="s">
        <v>26</v>
      </c>
      <c r="C360" s="9" t="s">
        <v>110</v>
      </c>
      <c r="D360" t="s">
        <v>204</v>
      </c>
      <c r="F360" s="12" t="s">
        <v>1864</v>
      </c>
      <c r="G360" s="10" t="s">
        <v>472</v>
      </c>
      <c r="H360" s="10" t="s">
        <v>472</v>
      </c>
      <c r="K360" t="s">
        <v>19</v>
      </c>
      <c r="L360" t="s">
        <v>20</v>
      </c>
      <c r="M360" s="9">
        <v>69101</v>
      </c>
      <c r="N360" t="s">
        <v>3477</v>
      </c>
      <c r="O360">
        <v>18</v>
      </c>
      <c r="P360" t="s">
        <v>3477</v>
      </c>
      <c r="Q360">
        <v>18</v>
      </c>
      <c r="R360" s="13">
        <v>30770</v>
      </c>
      <c r="S360" s="13">
        <v>21539</v>
      </c>
    </row>
    <row r="361" spans="1:19">
      <c r="A361" s="9" t="s">
        <v>23</v>
      </c>
      <c r="B361" s="9" t="s">
        <v>26</v>
      </c>
      <c r="C361" s="9" t="s">
        <v>70</v>
      </c>
      <c r="D361" t="s">
        <v>204</v>
      </c>
      <c r="F361" s="12" t="s">
        <v>1865</v>
      </c>
      <c r="G361" s="10" t="s">
        <v>473</v>
      </c>
      <c r="H361" s="10" t="s">
        <v>473</v>
      </c>
      <c r="K361" t="s">
        <v>19</v>
      </c>
      <c r="L361" t="s">
        <v>20</v>
      </c>
      <c r="M361" s="9">
        <v>69101</v>
      </c>
      <c r="N361" t="s">
        <v>3477</v>
      </c>
      <c r="O361">
        <v>18</v>
      </c>
      <c r="P361" t="s">
        <v>3477</v>
      </c>
      <c r="Q361">
        <v>18</v>
      </c>
      <c r="R361" s="13">
        <v>20340</v>
      </c>
      <c r="S361" s="13">
        <v>12204</v>
      </c>
    </row>
    <row r="362" spans="1:19">
      <c r="A362" s="9" t="s">
        <v>22</v>
      </c>
      <c r="B362" s="9" t="s">
        <v>26</v>
      </c>
      <c r="C362" s="9" t="s">
        <v>81</v>
      </c>
      <c r="D362" t="s">
        <v>204</v>
      </c>
      <c r="F362" s="12" t="s">
        <v>1866</v>
      </c>
      <c r="G362" s="10" t="s">
        <v>474</v>
      </c>
      <c r="H362" s="10" t="s">
        <v>474</v>
      </c>
      <c r="K362" t="s">
        <v>19</v>
      </c>
      <c r="L362" t="s">
        <v>20</v>
      </c>
      <c r="M362" s="9">
        <v>39221</v>
      </c>
      <c r="N362" t="s">
        <v>3477</v>
      </c>
      <c r="O362">
        <v>18</v>
      </c>
      <c r="P362" t="s">
        <v>3477</v>
      </c>
      <c r="Q362">
        <v>18</v>
      </c>
      <c r="R362" s="13">
        <v>53220</v>
      </c>
      <c r="S362" s="13">
        <v>37254</v>
      </c>
    </row>
    <row r="363" spans="1:19">
      <c r="A363" s="9" t="s">
        <v>22</v>
      </c>
      <c r="B363" s="9" t="s">
        <v>26</v>
      </c>
      <c r="C363" s="9" t="s">
        <v>82</v>
      </c>
      <c r="D363" t="s">
        <v>204</v>
      </c>
      <c r="F363" s="12" t="s">
        <v>1867</v>
      </c>
      <c r="G363" s="10" t="s">
        <v>475</v>
      </c>
      <c r="H363" s="10" t="s">
        <v>475</v>
      </c>
      <c r="K363" t="s">
        <v>19</v>
      </c>
      <c r="L363" t="s">
        <v>20</v>
      </c>
      <c r="M363" s="9">
        <v>69101</v>
      </c>
      <c r="N363" t="s">
        <v>3477</v>
      </c>
      <c r="O363">
        <v>18</v>
      </c>
      <c r="P363" t="s">
        <v>3477</v>
      </c>
      <c r="Q363">
        <v>18</v>
      </c>
      <c r="R363" s="13">
        <v>14000</v>
      </c>
      <c r="S363" s="13">
        <v>9800</v>
      </c>
    </row>
    <row r="364" spans="1:19">
      <c r="A364" s="9" t="s">
        <v>22</v>
      </c>
      <c r="B364" s="9" t="s">
        <v>27</v>
      </c>
      <c r="C364" s="9" t="s">
        <v>58</v>
      </c>
      <c r="D364" t="s">
        <v>204</v>
      </c>
      <c r="F364" s="12" t="s">
        <v>1868</v>
      </c>
      <c r="G364" s="10" t="s">
        <v>476</v>
      </c>
      <c r="H364" s="10" t="s">
        <v>476</v>
      </c>
      <c r="K364" t="s">
        <v>19</v>
      </c>
      <c r="L364" t="s">
        <v>20</v>
      </c>
      <c r="M364" s="9">
        <v>7418202</v>
      </c>
      <c r="N364" t="s">
        <v>3477</v>
      </c>
      <c r="O364">
        <v>18</v>
      </c>
      <c r="P364" t="s">
        <v>3477</v>
      </c>
      <c r="Q364">
        <v>18</v>
      </c>
      <c r="R364" s="13">
        <v>8400</v>
      </c>
      <c r="S364" s="13">
        <v>5880</v>
      </c>
    </row>
    <row r="365" spans="1:19">
      <c r="A365" s="9" t="s">
        <v>22</v>
      </c>
      <c r="B365" s="9" t="s">
        <v>27</v>
      </c>
      <c r="C365" s="9" t="s">
        <v>58</v>
      </c>
      <c r="D365" t="s">
        <v>204</v>
      </c>
      <c r="F365" s="12" t="s">
        <v>1869</v>
      </c>
      <c r="G365" s="10" t="s">
        <v>477</v>
      </c>
      <c r="H365" s="10" t="s">
        <v>477</v>
      </c>
      <c r="K365" t="s">
        <v>19</v>
      </c>
      <c r="L365" t="s">
        <v>20</v>
      </c>
      <c r="M365" s="9">
        <v>7418202</v>
      </c>
      <c r="N365" t="s">
        <v>3477</v>
      </c>
      <c r="O365">
        <v>18</v>
      </c>
      <c r="P365" t="s">
        <v>3477</v>
      </c>
      <c r="Q365">
        <v>18</v>
      </c>
      <c r="R365" s="13">
        <v>8400</v>
      </c>
      <c r="S365" s="13">
        <v>5880</v>
      </c>
    </row>
    <row r="366" spans="1:19">
      <c r="A366" s="9" t="s">
        <v>22</v>
      </c>
      <c r="B366" s="9" t="s">
        <v>27</v>
      </c>
      <c r="C366" s="9" t="s">
        <v>66</v>
      </c>
      <c r="D366" t="s">
        <v>204</v>
      </c>
      <c r="F366" s="12" t="s">
        <v>1870</v>
      </c>
      <c r="G366" s="10" t="s">
        <v>478</v>
      </c>
      <c r="H366" s="10" t="s">
        <v>478</v>
      </c>
      <c r="K366" t="s">
        <v>19</v>
      </c>
      <c r="L366" t="s">
        <v>20</v>
      </c>
      <c r="M366" s="9">
        <v>7418202</v>
      </c>
      <c r="N366" t="s">
        <v>3477</v>
      </c>
      <c r="O366">
        <v>18</v>
      </c>
      <c r="P366" t="s">
        <v>3477</v>
      </c>
      <c r="Q366">
        <v>18</v>
      </c>
      <c r="R366" s="13">
        <v>6000</v>
      </c>
      <c r="S366" s="13">
        <v>4200</v>
      </c>
    </row>
    <row r="367" spans="1:19">
      <c r="A367" s="9" t="s">
        <v>22</v>
      </c>
      <c r="B367" s="9" t="s">
        <v>27</v>
      </c>
      <c r="C367" s="9" t="s">
        <v>48</v>
      </c>
      <c r="D367" t="s">
        <v>204</v>
      </c>
      <c r="F367" s="12" t="s">
        <v>1871</v>
      </c>
      <c r="G367" s="10" t="s">
        <v>478</v>
      </c>
      <c r="H367" s="10" t="s">
        <v>478</v>
      </c>
      <c r="K367" t="s">
        <v>19</v>
      </c>
      <c r="L367" t="s">
        <v>20</v>
      </c>
      <c r="M367" s="9">
        <v>8481802</v>
      </c>
      <c r="N367" t="s">
        <v>3477</v>
      </c>
      <c r="O367">
        <v>18</v>
      </c>
      <c r="P367" t="s">
        <v>3477</v>
      </c>
      <c r="Q367">
        <v>18</v>
      </c>
      <c r="R367" s="13">
        <v>11880</v>
      </c>
      <c r="S367" s="13">
        <v>8316</v>
      </c>
    </row>
    <row r="368" spans="1:19">
      <c r="A368" s="9" t="s">
        <v>22</v>
      </c>
      <c r="B368" s="9" t="s">
        <v>27</v>
      </c>
      <c r="C368" s="9" t="s">
        <v>48</v>
      </c>
      <c r="D368" t="s">
        <v>204</v>
      </c>
      <c r="F368" s="12" t="s">
        <v>1872</v>
      </c>
      <c r="G368" s="10" t="s">
        <v>478</v>
      </c>
      <c r="H368" s="10" t="s">
        <v>478</v>
      </c>
      <c r="K368" t="s">
        <v>19</v>
      </c>
      <c r="L368" t="s">
        <v>20</v>
      </c>
      <c r="M368" s="9">
        <v>8481802</v>
      </c>
      <c r="N368" t="s">
        <v>3477</v>
      </c>
      <c r="O368">
        <v>18</v>
      </c>
      <c r="P368" t="s">
        <v>3477</v>
      </c>
      <c r="Q368">
        <v>18</v>
      </c>
      <c r="R368" s="13">
        <v>9500</v>
      </c>
      <c r="S368" s="13">
        <v>6650</v>
      </c>
    </row>
    <row r="369" spans="1:19">
      <c r="A369" s="9" t="s">
        <v>22</v>
      </c>
      <c r="B369" s="9" t="s">
        <v>27</v>
      </c>
      <c r="C369" s="9" t="s">
        <v>48</v>
      </c>
      <c r="D369" t="s">
        <v>204</v>
      </c>
      <c r="F369" s="12" t="s">
        <v>1873</v>
      </c>
      <c r="G369" s="10" t="s">
        <v>478</v>
      </c>
      <c r="H369" s="10" t="s">
        <v>478</v>
      </c>
      <c r="K369" t="s">
        <v>19</v>
      </c>
      <c r="L369" t="s">
        <v>20</v>
      </c>
      <c r="M369" s="9">
        <v>8481802</v>
      </c>
      <c r="N369" t="s">
        <v>3477</v>
      </c>
      <c r="O369">
        <v>18</v>
      </c>
      <c r="P369" t="s">
        <v>3477</v>
      </c>
      <c r="Q369">
        <v>18</v>
      </c>
      <c r="R369" s="13">
        <v>11880</v>
      </c>
      <c r="S369" s="13">
        <v>8316</v>
      </c>
    </row>
    <row r="370" spans="1:19">
      <c r="A370" s="9" t="s">
        <v>22</v>
      </c>
      <c r="B370" s="9" t="s">
        <v>27</v>
      </c>
      <c r="C370" s="9" t="s">
        <v>48</v>
      </c>
      <c r="D370" t="s">
        <v>204</v>
      </c>
      <c r="F370" s="12" t="s">
        <v>1874</v>
      </c>
      <c r="G370" s="10" t="s">
        <v>478</v>
      </c>
      <c r="H370" s="10" t="s">
        <v>478</v>
      </c>
      <c r="K370" t="s">
        <v>19</v>
      </c>
      <c r="L370" t="s">
        <v>20</v>
      </c>
      <c r="M370" s="9">
        <v>8481802</v>
      </c>
      <c r="N370" t="s">
        <v>3477</v>
      </c>
      <c r="O370">
        <v>18</v>
      </c>
      <c r="P370" t="s">
        <v>3477</v>
      </c>
      <c r="Q370">
        <v>18</v>
      </c>
      <c r="R370" s="13">
        <v>9000</v>
      </c>
      <c r="S370" s="13">
        <v>6300</v>
      </c>
    </row>
    <row r="371" spans="1:19">
      <c r="A371" s="9" t="s">
        <v>22</v>
      </c>
      <c r="B371" s="9" t="s">
        <v>27</v>
      </c>
      <c r="C371" s="9" t="s">
        <v>48</v>
      </c>
      <c r="D371" t="s">
        <v>204</v>
      </c>
      <c r="F371" s="12" t="s">
        <v>1875</v>
      </c>
      <c r="G371" s="10" t="s">
        <v>479</v>
      </c>
      <c r="H371" s="10" t="s">
        <v>479</v>
      </c>
      <c r="K371" t="s">
        <v>19</v>
      </c>
      <c r="L371" t="s">
        <v>20</v>
      </c>
      <c r="M371" s="9">
        <v>8481802</v>
      </c>
      <c r="N371" t="s">
        <v>3477</v>
      </c>
      <c r="O371">
        <v>18</v>
      </c>
      <c r="P371" t="s">
        <v>3477</v>
      </c>
      <c r="Q371">
        <v>18</v>
      </c>
      <c r="R371" s="13">
        <v>9500</v>
      </c>
      <c r="S371" s="13">
        <v>6650</v>
      </c>
    </row>
    <row r="372" spans="1:19">
      <c r="A372" s="9" t="s">
        <v>22</v>
      </c>
      <c r="B372" s="9" t="s">
        <v>27</v>
      </c>
      <c r="C372" s="9" t="s">
        <v>49</v>
      </c>
      <c r="D372" t="s">
        <v>204</v>
      </c>
      <c r="F372" s="12" t="s">
        <v>1876</v>
      </c>
      <c r="G372" s="10" t="s">
        <v>479</v>
      </c>
      <c r="H372" s="10" t="s">
        <v>479</v>
      </c>
      <c r="K372" t="s">
        <v>19</v>
      </c>
      <c r="L372" t="s">
        <v>20</v>
      </c>
      <c r="M372" s="9">
        <v>8481802</v>
      </c>
      <c r="N372" t="s">
        <v>3477</v>
      </c>
      <c r="O372">
        <v>18</v>
      </c>
      <c r="P372" t="s">
        <v>3477</v>
      </c>
      <c r="Q372">
        <v>18</v>
      </c>
      <c r="R372" s="13">
        <v>14850</v>
      </c>
      <c r="S372" s="13">
        <v>10395</v>
      </c>
    </row>
    <row r="373" spans="1:19">
      <c r="A373" s="9" t="s">
        <v>22</v>
      </c>
      <c r="B373" s="9" t="s">
        <v>27</v>
      </c>
      <c r="C373" s="9" t="s">
        <v>49</v>
      </c>
      <c r="D373" t="s">
        <v>204</v>
      </c>
      <c r="F373" s="12" t="s">
        <v>1877</v>
      </c>
      <c r="G373" s="10" t="s">
        <v>479</v>
      </c>
      <c r="H373" s="10" t="s">
        <v>479</v>
      </c>
      <c r="K373" t="s">
        <v>19</v>
      </c>
      <c r="L373" t="s">
        <v>20</v>
      </c>
      <c r="M373" s="9">
        <v>8481802</v>
      </c>
      <c r="N373" t="s">
        <v>3477</v>
      </c>
      <c r="O373">
        <v>18</v>
      </c>
      <c r="P373" t="s">
        <v>3477</v>
      </c>
      <c r="Q373">
        <v>18</v>
      </c>
      <c r="R373" s="13">
        <v>11880</v>
      </c>
      <c r="S373" s="13">
        <v>8316</v>
      </c>
    </row>
    <row r="374" spans="1:19">
      <c r="A374" s="9" t="s">
        <v>22</v>
      </c>
      <c r="B374" s="9" t="s">
        <v>27</v>
      </c>
      <c r="C374" s="9" t="s">
        <v>49</v>
      </c>
      <c r="D374" t="s">
        <v>204</v>
      </c>
      <c r="F374" s="12" t="s">
        <v>1878</v>
      </c>
      <c r="G374" s="10" t="s">
        <v>479</v>
      </c>
      <c r="H374" s="10" t="s">
        <v>479</v>
      </c>
      <c r="K374" t="s">
        <v>19</v>
      </c>
      <c r="L374" t="s">
        <v>20</v>
      </c>
      <c r="M374" s="9">
        <v>8481802</v>
      </c>
      <c r="N374" t="s">
        <v>3477</v>
      </c>
      <c r="O374">
        <v>18</v>
      </c>
      <c r="P374" t="s">
        <v>3477</v>
      </c>
      <c r="Q374">
        <v>18</v>
      </c>
      <c r="R374" s="13">
        <v>14850</v>
      </c>
      <c r="S374" s="13">
        <v>10395</v>
      </c>
    </row>
    <row r="375" spans="1:19">
      <c r="A375" s="9" t="s">
        <v>22</v>
      </c>
      <c r="B375" s="9" t="s">
        <v>27</v>
      </c>
      <c r="C375" s="9" t="s">
        <v>49</v>
      </c>
      <c r="D375" t="s">
        <v>204</v>
      </c>
      <c r="F375" s="12" t="s">
        <v>1879</v>
      </c>
      <c r="G375" s="10" t="s">
        <v>479</v>
      </c>
      <c r="H375" s="10" t="s">
        <v>479</v>
      </c>
      <c r="K375" t="s">
        <v>19</v>
      </c>
      <c r="L375" t="s">
        <v>20</v>
      </c>
      <c r="M375" s="9">
        <v>8481802</v>
      </c>
      <c r="N375" t="s">
        <v>3477</v>
      </c>
      <c r="O375">
        <v>18</v>
      </c>
      <c r="P375" t="s">
        <v>3477</v>
      </c>
      <c r="Q375">
        <v>18</v>
      </c>
      <c r="R375" s="13">
        <v>11250</v>
      </c>
      <c r="S375" s="13">
        <v>7874.9999999999991</v>
      </c>
    </row>
    <row r="376" spans="1:19">
      <c r="A376" s="9" t="s">
        <v>22</v>
      </c>
      <c r="B376" s="9" t="s">
        <v>27</v>
      </c>
      <c r="C376" s="9" t="s">
        <v>49</v>
      </c>
      <c r="D376" t="s">
        <v>204</v>
      </c>
      <c r="F376" s="12" t="s">
        <v>1880</v>
      </c>
      <c r="G376" s="10" t="s">
        <v>480</v>
      </c>
      <c r="H376" s="10" t="s">
        <v>480</v>
      </c>
      <c r="K376" t="s">
        <v>19</v>
      </c>
      <c r="L376" t="s">
        <v>20</v>
      </c>
      <c r="M376" s="9">
        <v>8481802</v>
      </c>
      <c r="N376" t="s">
        <v>3477</v>
      </c>
      <c r="O376">
        <v>18</v>
      </c>
      <c r="P376" t="s">
        <v>3477</v>
      </c>
      <c r="Q376">
        <v>18</v>
      </c>
      <c r="R376" s="13">
        <v>11880</v>
      </c>
      <c r="S376" s="13">
        <v>8316</v>
      </c>
    </row>
    <row r="377" spans="1:19">
      <c r="A377" s="9" t="s">
        <v>22</v>
      </c>
      <c r="B377" s="9" t="s">
        <v>27</v>
      </c>
      <c r="C377" s="9" t="s">
        <v>118</v>
      </c>
      <c r="D377" t="s">
        <v>204</v>
      </c>
      <c r="F377" s="12" t="s">
        <v>1881</v>
      </c>
      <c r="G377" s="10" t="s">
        <v>480</v>
      </c>
      <c r="H377" s="10" t="s">
        <v>480</v>
      </c>
      <c r="K377" t="s">
        <v>19</v>
      </c>
      <c r="L377" t="s">
        <v>20</v>
      </c>
      <c r="M377" s="9">
        <v>8481802</v>
      </c>
      <c r="N377" t="s">
        <v>3477</v>
      </c>
      <c r="O377">
        <v>18</v>
      </c>
      <c r="P377" t="s">
        <v>3477</v>
      </c>
      <c r="Q377">
        <v>18</v>
      </c>
      <c r="R377" s="13">
        <v>5810</v>
      </c>
      <c r="S377" s="13">
        <v>4066.9999999999995</v>
      </c>
    </row>
    <row r="378" spans="1:19">
      <c r="A378" s="9" t="s">
        <v>22</v>
      </c>
      <c r="B378" s="9" t="s">
        <v>27</v>
      </c>
      <c r="C378" s="9" t="s">
        <v>118</v>
      </c>
      <c r="D378" t="s">
        <v>204</v>
      </c>
      <c r="F378" s="12" t="s">
        <v>1882</v>
      </c>
      <c r="G378" s="10" t="s">
        <v>480</v>
      </c>
      <c r="H378" s="10" t="s">
        <v>480</v>
      </c>
      <c r="K378" t="s">
        <v>19</v>
      </c>
      <c r="L378" t="s">
        <v>20</v>
      </c>
      <c r="M378" s="9">
        <v>8481802</v>
      </c>
      <c r="N378" t="s">
        <v>3477</v>
      </c>
      <c r="O378">
        <v>18</v>
      </c>
      <c r="P378" t="s">
        <v>3477</v>
      </c>
      <c r="Q378">
        <v>18</v>
      </c>
      <c r="R378" s="13">
        <v>4650</v>
      </c>
      <c r="S378" s="13">
        <v>3255</v>
      </c>
    </row>
    <row r="379" spans="1:19">
      <c r="A379" s="9" t="s">
        <v>22</v>
      </c>
      <c r="B379" s="9" t="s">
        <v>27</v>
      </c>
      <c r="C379" s="9" t="s">
        <v>118</v>
      </c>
      <c r="D379" t="s">
        <v>204</v>
      </c>
      <c r="F379" s="12" t="s">
        <v>1883</v>
      </c>
      <c r="G379" s="10" t="s">
        <v>480</v>
      </c>
      <c r="H379" s="10" t="s">
        <v>480</v>
      </c>
      <c r="K379" t="s">
        <v>19</v>
      </c>
      <c r="L379" t="s">
        <v>20</v>
      </c>
      <c r="M379" s="9">
        <v>8481802</v>
      </c>
      <c r="N379" t="s">
        <v>3477</v>
      </c>
      <c r="O379">
        <v>18</v>
      </c>
      <c r="P379" t="s">
        <v>3477</v>
      </c>
      <c r="Q379">
        <v>18</v>
      </c>
      <c r="R379" s="13">
        <v>5810</v>
      </c>
      <c r="S379" s="13">
        <v>4066.9999999999995</v>
      </c>
    </row>
    <row r="380" spans="1:19">
      <c r="A380" s="9" t="s">
        <v>22</v>
      </c>
      <c r="B380" s="9" t="s">
        <v>27</v>
      </c>
      <c r="C380" s="9" t="s">
        <v>118</v>
      </c>
      <c r="D380" t="s">
        <v>204</v>
      </c>
      <c r="F380" s="12" t="s">
        <v>1884</v>
      </c>
      <c r="G380" s="10" t="s">
        <v>481</v>
      </c>
      <c r="H380" s="10" t="s">
        <v>481</v>
      </c>
      <c r="K380" t="s">
        <v>19</v>
      </c>
      <c r="L380" t="s">
        <v>20</v>
      </c>
      <c r="M380" s="9">
        <v>8481802</v>
      </c>
      <c r="N380" t="s">
        <v>3477</v>
      </c>
      <c r="O380">
        <v>18</v>
      </c>
      <c r="P380" t="s">
        <v>3477</v>
      </c>
      <c r="Q380">
        <v>18</v>
      </c>
      <c r="R380" s="13">
        <v>4650</v>
      </c>
      <c r="S380" s="13">
        <v>3255</v>
      </c>
    </row>
    <row r="381" spans="1:19">
      <c r="A381" s="9" t="s">
        <v>22</v>
      </c>
      <c r="B381" s="9" t="s">
        <v>27</v>
      </c>
      <c r="C381" s="9" t="s">
        <v>104</v>
      </c>
      <c r="D381" t="s">
        <v>204</v>
      </c>
      <c r="F381" s="12" t="s">
        <v>1885</v>
      </c>
      <c r="G381" s="10" t="s">
        <v>481</v>
      </c>
      <c r="H381" s="10" t="s">
        <v>481</v>
      </c>
      <c r="K381" t="s">
        <v>19</v>
      </c>
      <c r="L381" t="s">
        <v>20</v>
      </c>
      <c r="M381" s="9">
        <v>8481802</v>
      </c>
      <c r="N381" t="s">
        <v>3477</v>
      </c>
      <c r="O381">
        <v>18</v>
      </c>
      <c r="P381" t="s">
        <v>3477</v>
      </c>
      <c r="Q381">
        <v>18</v>
      </c>
      <c r="R381" s="13">
        <v>7260</v>
      </c>
      <c r="S381" s="13">
        <v>5082</v>
      </c>
    </row>
    <row r="382" spans="1:19">
      <c r="A382" s="9" t="s">
        <v>22</v>
      </c>
      <c r="B382" s="9" t="s">
        <v>27</v>
      </c>
      <c r="C382" s="9" t="s">
        <v>104</v>
      </c>
      <c r="D382" t="s">
        <v>204</v>
      </c>
      <c r="F382" s="12" t="s">
        <v>1886</v>
      </c>
      <c r="G382" s="10" t="s">
        <v>481</v>
      </c>
      <c r="H382" s="10" t="s">
        <v>481</v>
      </c>
      <c r="K382" t="s">
        <v>19</v>
      </c>
      <c r="L382" t="s">
        <v>20</v>
      </c>
      <c r="M382" s="9">
        <v>8481802</v>
      </c>
      <c r="N382" t="s">
        <v>3477</v>
      </c>
      <c r="O382">
        <v>18</v>
      </c>
      <c r="P382" t="s">
        <v>3477</v>
      </c>
      <c r="Q382">
        <v>18</v>
      </c>
      <c r="R382" s="13">
        <v>5810</v>
      </c>
      <c r="S382" s="13">
        <v>4066.9999999999995</v>
      </c>
    </row>
    <row r="383" spans="1:19">
      <c r="A383" s="9" t="s">
        <v>22</v>
      </c>
      <c r="B383" s="9" t="s">
        <v>27</v>
      </c>
      <c r="C383" s="9" t="s">
        <v>104</v>
      </c>
      <c r="D383" t="s">
        <v>204</v>
      </c>
      <c r="F383" s="12" t="s">
        <v>1887</v>
      </c>
      <c r="G383" s="10" t="s">
        <v>481</v>
      </c>
      <c r="H383" s="10" t="s">
        <v>481</v>
      </c>
      <c r="K383" t="s">
        <v>19</v>
      </c>
      <c r="L383" t="s">
        <v>20</v>
      </c>
      <c r="M383" s="9">
        <v>8481802</v>
      </c>
      <c r="N383" t="s">
        <v>3477</v>
      </c>
      <c r="O383">
        <v>18</v>
      </c>
      <c r="P383" t="s">
        <v>3477</v>
      </c>
      <c r="Q383">
        <v>18</v>
      </c>
      <c r="R383" s="13">
        <v>7260</v>
      </c>
      <c r="S383" s="13">
        <v>5082</v>
      </c>
    </row>
    <row r="384" spans="1:19">
      <c r="A384" s="9" t="s">
        <v>22</v>
      </c>
      <c r="B384" s="9" t="s">
        <v>27</v>
      </c>
      <c r="C384" s="9" t="s">
        <v>104</v>
      </c>
      <c r="D384" t="s">
        <v>204</v>
      </c>
      <c r="F384" s="12" t="s">
        <v>1888</v>
      </c>
      <c r="G384" s="10" t="s">
        <v>482</v>
      </c>
      <c r="H384" s="10" t="s">
        <v>482</v>
      </c>
      <c r="K384" t="s">
        <v>19</v>
      </c>
      <c r="L384" t="s">
        <v>20</v>
      </c>
      <c r="M384" s="9">
        <v>8481802</v>
      </c>
      <c r="N384" t="s">
        <v>3477</v>
      </c>
      <c r="O384">
        <v>18</v>
      </c>
      <c r="P384" t="s">
        <v>3477</v>
      </c>
      <c r="Q384">
        <v>18</v>
      </c>
      <c r="R384" s="13">
        <v>5810</v>
      </c>
      <c r="S384" s="13">
        <v>4066.9999999999995</v>
      </c>
    </row>
    <row r="385" spans="1:19">
      <c r="A385" s="9" t="s">
        <v>22</v>
      </c>
      <c r="B385" s="9" t="s">
        <v>27</v>
      </c>
      <c r="C385" s="9" t="s">
        <v>114</v>
      </c>
      <c r="D385" t="s">
        <v>204</v>
      </c>
      <c r="F385" s="12" t="s">
        <v>1889</v>
      </c>
      <c r="G385" s="10" t="s">
        <v>482</v>
      </c>
      <c r="H385" s="10" t="s">
        <v>482</v>
      </c>
      <c r="K385" t="s">
        <v>19</v>
      </c>
      <c r="L385" t="s">
        <v>20</v>
      </c>
      <c r="M385" s="9">
        <v>8481802</v>
      </c>
      <c r="N385" t="s">
        <v>3477</v>
      </c>
      <c r="O385">
        <v>18</v>
      </c>
      <c r="P385" t="s">
        <v>3477</v>
      </c>
      <c r="Q385">
        <v>18</v>
      </c>
      <c r="R385" s="13">
        <v>9100</v>
      </c>
      <c r="S385" s="13">
        <v>6370</v>
      </c>
    </row>
    <row r="386" spans="1:19">
      <c r="A386" s="9" t="s">
        <v>22</v>
      </c>
      <c r="B386" s="9" t="s">
        <v>27</v>
      </c>
      <c r="C386" s="9" t="s">
        <v>114</v>
      </c>
      <c r="D386" t="s">
        <v>204</v>
      </c>
      <c r="F386" s="12" t="s">
        <v>1890</v>
      </c>
      <c r="G386" s="10" t="s">
        <v>483</v>
      </c>
      <c r="H386" s="10" t="s">
        <v>483</v>
      </c>
      <c r="K386" t="s">
        <v>19</v>
      </c>
      <c r="L386" t="s">
        <v>20</v>
      </c>
      <c r="M386" s="9">
        <v>8481802</v>
      </c>
      <c r="N386" t="s">
        <v>3477</v>
      </c>
      <c r="O386">
        <v>18</v>
      </c>
      <c r="P386" t="s">
        <v>3477</v>
      </c>
      <c r="Q386">
        <v>18</v>
      </c>
      <c r="R386" s="13">
        <v>7280</v>
      </c>
      <c r="S386" s="13">
        <v>5096</v>
      </c>
    </row>
    <row r="387" spans="1:19">
      <c r="A387" s="9" t="s">
        <v>22</v>
      </c>
      <c r="B387" s="9" t="s">
        <v>27</v>
      </c>
      <c r="C387" s="9" t="s">
        <v>114</v>
      </c>
      <c r="D387" t="s">
        <v>204</v>
      </c>
      <c r="F387" s="12" t="s">
        <v>1891</v>
      </c>
      <c r="G387" s="10" t="s">
        <v>483</v>
      </c>
      <c r="H387" s="10" t="s">
        <v>483</v>
      </c>
      <c r="K387" t="s">
        <v>19</v>
      </c>
      <c r="L387" t="s">
        <v>20</v>
      </c>
      <c r="M387" s="9">
        <v>8481802</v>
      </c>
      <c r="N387" t="s">
        <v>3477</v>
      </c>
      <c r="O387">
        <v>18</v>
      </c>
      <c r="P387" t="s">
        <v>3477</v>
      </c>
      <c r="Q387">
        <v>18</v>
      </c>
      <c r="R387" s="13">
        <v>9100</v>
      </c>
      <c r="S387" s="13">
        <v>6370</v>
      </c>
    </row>
    <row r="388" spans="1:19">
      <c r="A388" s="9" t="s">
        <v>22</v>
      </c>
      <c r="B388" s="9" t="s">
        <v>27</v>
      </c>
      <c r="C388" s="9" t="s">
        <v>114</v>
      </c>
      <c r="D388" t="s">
        <v>204</v>
      </c>
      <c r="F388" s="12" t="s">
        <v>1892</v>
      </c>
      <c r="G388" s="10" t="s">
        <v>484</v>
      </c>
      <c r="H388" s="10" t="s">
        <v>484</v>
      </c>
      <c r="K388" t="s">
        <v>19</v>
      </c>
      <c r="L388" t="s">
        <v>20</v>
      </c>
      <c r="M388" s="9">
        <v>8481802</v>
      </c>
      <c r="N388" t="s">
        <v>3477</v>
      </c>
      <c r="O388">
        <v>18</v>
      </c>
      <c r="P388" t="s">
        <v>3477</v>
      </c>
      <c r="Q388">
        <v>18</v>
      </c>
      <c r="R388" s="13">
        <v>7280</v>
      </c>
      <c r="S388" s="13">
        <v>5096</v>
      </c>
    </row>
    <row r="389" spans="1:19">
      <c r="A389" s="9" t="s">
        <v>22</v>
      </c>
      <c r="B389" s="9" t="s">
        <v>27</v>
      </c>
      <c r="C389" s="9" t="s">
        <v>95</v>
      </c>
      <c r="D389" t="s">
        <v>204</v>
      </c>
      <c r="F389" s="12" t="s">
        <v>1893</v>
      </c>
      <c r="G389" s="10" t="s">
        <v>484</v>
      </c>
      <c r="H389" s="10" t="s">
        <v>484</v>
      </c>
      <c r="K389" t="s">
        <v>19</v>
      </c>
      <c r="L389" t="s">
        <v>20</v>
      </c>
      <c r="M389" s="9">
        <v>8481909</v>
      </c>
      <c r="N389" t="s">
        <v>3477</v>
      </c>
      <c r="O389">
        <v>18</v>
      </c>
      <c r="P389" t="s">
        <v>3477</v>
      </c>
      <c r="Q389">
        <v>18</v>
      </c>
      <c r="R389" s="13">
        <v>6600</v>
      </c>
      <c r="S389" s="13">
        <v>4620</v>
      </c>
    </row>
    <row r="390" spans="1:19">
      <c r="A390" s="9" t="s">
        <v>22</v>
      </c>
      <c r="B390" s="9" t="s">
        <v>27</v>
      </c>
      <c r="C390" s="9" t="s">
        <v>95</v>
      </c>
      <c r="D390" t="s">
        <v>204</v>
      </c>
      <c r="F390" s="12" t="s">
        <v>1894</v>
      </c>
      <c r="G390" s="10" t="s">
        <v>484</v>
      </c>
      <c r="H390" s="10" t="s">
        <v>484</v>
      </c>
      <c r="K390" t="s">
        <v>19</v>
      </c>
      <c r="L390" t="s">
        <v>20</v>
      </c>
      <c r="M390" s="9">
        <v>8481909</v>
      </c>
      <c r="N390" t="s">
        <v>3477</v>
      </c>
      <c r="O390">
        <v>18</v>
      </c>
      <c r="P390" t="s">
        <v>3477</v>
      </c>
      <c r="Q390">
        <v>18</v>
      </c>
      <c r="R390" s="13">
        <v>4750</v>
      </c>
      <c r="S390" s="13">
        <v>3325</v>
      </c>
    </row>
    <row r="391" spans="1:19">
      <c r="A391" s="9" t="s">
        <v>22</v>
      </c>
      <c r="B391" s="9" t="s">
        <v>27</v>
      </c>
      <c r="C391" s="9" t="s">
        <v>95</v>
      </c>
      <c r="D391" t="s">
        <v>204</v>
      </c>
      <c r="F391" s="12" t="s">
        <v>1895</v>
      </c>
      <c r="G391" s="10" t="s">
        <v>485</v>
      </c>
      <c r="H391" s="10" t="s">
        <v>485</v>
      </c>
      <c r="K391" t="s">
        <v>19</v>
      </c>
      <c r="L391" t="s">
        <v>20</v>
      </c>
      <c r="M391" s="9">
        <v>8481909</v>
      </c>
      <c r="N391" t="s">
        <v>3477</v>
      </c>
      <c r="O391">
        <v>18</v>
      </c>
      <c r="P391" t="s">
        <v>3477</v>
      </c>
      <c r="Q391">
        <v>18</v>
      </c>
      <c r="R391" s="13">
        <v>5390</v>
      </c>
      <c r="S391" s="13">
        <v>3772.9999999999995</v>
      </c>
    </row>
    <row r="392" spans="1:19">
      <c r="A392" s="9" t="s">
        <v>22</v>
      </c>
      <c r="B392" s="9" t="s">
        <v>27</v>
      </c>
      <c r="C392" s="9" t="s">
        <v>95</v>
      </c>
      <c r="D392" t="s">
        <v>204</v>
      </c>
      <c r="F392" s="12" t="s">
        <v>1896</v>
      </c>
      <c r="G392" s="10" t="s">
        <v>486</v>
      </c>
      <c r="H392" s="10" t="s">
        <v>486</v>
      </c>
      <c r="K392" t="s">
        <v>19</v>
      </c>
      <c r="L392" t="s">
        <v>20</v>
      </c>
      <c r="M392" s="9">
        <v>8481909</v>
      </c>
      <c r="N392" t="s">
        <v>3477</v>
      </c>
      <c r="O392">
        <v>18</v>
      </c>
      <c r="P392" t="s">
        <v>3477</v>
      </c>
      <c r="Q392">
        <v>18</v>
      </c>
      <c r="R392" s="13">
        <v>8000</v>
      </c>
      <c r="S392" s="13">
        <v>5600</v>
      </c>
    </row>
    <row r="393" spans="1:19">
      <c r="A393" s="9" t="s">
        <v>22</v>
      </c>
      <c r="B393" s="9" t="s">
        <v>27</v>
      </c>
      <c r="C393" s="9" t="s">
        <v>95</v>
      </c>
      <c r="D393" t="s">
        <v>204</v>
      </c>
      <c r="F393" s="12" t="s">
        <v>1897</v>
      </c>
      <c r="G393" s="10" t="s">
        <v>487</v>
      </c>
      <c r="H393" s="10" t="s">
        <v>487</v>
      </c>
      <c r="K393" t="s">
        <v>19</v>
      </c>
      <c r="L393" t="s">
        <v>20</v>
      </c>
      <c r="M393" s="9">
        <v>8481909</v>
      </c>
      <c r="N393" t="s">
        <v>3477</v>
      </c>
      <c r="O393">
        <v>18</v>
      </c>
      <c r="P393" t="s">
        <v>3477</v>
      </c>
      <c r="Q393">
        <v>18</v>
      </c>
      <c r="R393" s="13">
        <v>3600</v>
      </c>
      <c r="S393" s="13">
        <v>2520</v>
      </c>
    </row>
    <row r="394" spans="1:19">
      <c r="A394" s="9" t="s">
        <v>22</v>
      </c>
      <c r="B394" s="9" t="s">
        <v>27</v>
      </c>
      <c r="C394" s="9" t="s">
        <v>51</v>
      </c>
      <c r="D394" t="s">
        <v>204</v>
      </c>
      <c r="F394" s="12" t="s">
        <v>1898</v>
      </c>
      <c r="G394" s="10" t="s">
        <v>487</v>
      </c>
      <c r="H394" s="10" t="s">
        <v>487</v>
      </c>
      <c r="K394" t="s">
        <v>19</v>
      </c>
      <c r="L394" t="s">
        <v>20</v>
      </c>
      <c r="M394" s="9">
        <v>8481909</v>
      </c>
      <c r="N394" t="s">
        <v>3477</v>
      </c>
      <c r="O394">
        <v>18</v>
      </c>
      <c r="P394" t="s">
        <v>3477</v>
      </c>
      <c r="Q394">
        <v>18</v>
      </c>
      <c r="R394" s="13">
        <v>5380</v>
      </c>
      <c r="S394" s="13">
        <v>3765.9999999999995</v>
      </c>
    </row>
    <row r="395" spans="1:19">
      <c r="A395" s="9" t="s">
        <v>22</v>
      </c>
      <c r="B395" s="9" t="s">
        <v>27</v>
      </c>
      <c r="C395" s="9" t="s">
        <v>51</v>
      </c>
      <c r="D395" t="s">
        <v>204</v>
      </c>
      <c r="F395" s="12" t="s">
        <v>1899</v>
      </c>
      <c r="G395" s="10" t="s">
        <v>487</v>
      </c>
      <c r="H395" s="10" t="s">
        <v>487</v>
      </c>
      <c r="K395" t="s">
        <v>19</v>
      </c>
      <c r="L395" t="s">
        <v>20</v>
      </c>
      <c r="M395" s="9">
        <v>8481909</v>
      </c>
      <c r="N395" t="s">
        <v>3477</v>
      </c>
      <c r="O395">
        <v>18</v>
      </c>
      <c r="P395" t="s">
        <v>3477</v>
      </c>
      <c r="Q395">
        <v>18</v>
      </c>
      <c r="R395" s="13">
        <v>4300</v>
      </c>
      <c r="S395" s="13">
        <v>3010</v>
      </c>
    </row>
    <row r="396" spans="1:19">
      <c r="A396" s="9" t="s">
        <v>22</v>
      </c>
      <c r="B396" s="9" t="s">
        <v>27</v>
      </c>
      <c r="C396" s="9" t="s">
        <v>51</v>
      </c>
      <c r="D396" t="s">
        <v>204</v>
      </c>
      <c r="F396" s="12" t="s">
        <v>1900</v>
      </c>
      <c r="G396" s="10" t="s">
        <v>487</v>
      </c>
      <c r="H396" s="10" t="s">
        <v>487</v>
      </c>
      <c r="K396" t="s">
        <v>19</v>
      </c>
      <c r="L396" t="s">
        <v>20</v>
      </c>
      <c r="M396" s="9">
        <v>8481909</v>
      </c>
      <c r="N396" t="s">
        <v>3477</v>
      </c>
      <c r="O396">
        <v>18</v>
      </c>
      <c r="P396" t="s">
        <v>3477</v>
      </c>
      <c r="Q396">
        <v>18</v>
      </c>
      <c r="R396" s="13">
        <v>5380</v>
      </c>
      <c r="S396" s="13">
        <v>3765.9999999999995</v>
      </c>
    </row>
    <row r="397" spans="1:19">
      <c r="A397" s="9" t="s">
        <v>22</v>
      </c>
      <c r="B397" s="9" t="s">
        <v>27</v>
      </c>
      <c r="C397" s="9" t="s">
        <v>51</v>
      </c>
      <c r="D397" t="s">
        <v>204</v>
      </c>
      <c r="F397" s="12" t="s">
        <v>1901</v>
      </c>
      <c r="G397" s="10" t="s">
        <v>488</v>
      </c>
      <c r="H397" s="10" t="s">
        <v>488</v>
      </c>
      <c r="K397" t="s">
        <v>19</v>
      </c>
      <c r="L397" t="s">
        <v>20</v>
      </c>
      <c r="M397" s="9">
        <v>8481909</v>
      </c>
      <c r="N397" t="s">
        <v>3477</v>
      </c>
      <c r="O397">
        <v>18</v>
      </c>
      <c r="P397" t="s">
        <v>3477</v>
      </c>
      <c r="Q397">
        <v>18</v>
      </c>
      <c r="R397" s="13">
        <v>4300</v>
      </c>
      <c r="S397" s="13">
        <v>3010</v>
      </c>
    </row>
    <row r="398" spans="1:19">
      <c r="A398" s="9" t="s">
        <v>22</v>
      </c>
      <c r="B398" s="9" t="s">
        <v>27</v>
      </c>
      <c r="C398" s="9" t="s">
        <v>51</v>
      </c>
      <c r="D398" t="s">
        <v>204</v>
      </c>
      <c r="F398" s="12" t="s">
        <v>1902</v>
      </c>
      <c r="G398" s="10" t="s">
        <v>489</v>
      </c>
      <c r="H398" s="10" t="s">
        <v>489</v>
      </c>
      <c r="K398" t="s">
        <v>19</v>
      </c>
      <c r="L398" t="s">
        <v>20</v>
      </c>
      <c r="M398" s="9">
        <v>8481909</v>
      </c>
      <c r="N398" t="s">
        <v>3477</v>
      </c>
      <c r="O398">
        <v>18</v>
      </c>
      <c r="P398" t="s">
        <v>3477</v>
      </c>
      <c r="Q398">
        <v>18</v>
      </c>
      <c r="R398" s="13">
        <v>6450</v>
      </c>
      <c r="S398" s="13">
        <v>4515</v>
      </c>
    </row>
    <row r="399" spans="1:19">
      <c r="A399" s="9" t="s">
        <v>22</v>
      </c>
      <c r="B399" s="9" t="s">
        <v>27</v>
      </c>
      <c r="C399" s="9" t="s">
        <v>51</v>
      </c>
      <c r="D399" t="s">
        <v>204</v>
      </c>
      <c r="F399" s="12" t="s">
        <v>1903</v>
      </c>
      <c r="G399" s="10" t="s">
        <v>489</v>
      </c>
      <c r="H399" s="10" t="s">
        <v>489</v>
      </c>
      <c r="K399" t="s">
        <v>19</v>
      </c>
      <c r="L399" t="s">
        <v>20</v>
      </c>
      <c r="M399" s="9">
        <v>8481909</v>
      </c>
      <c r="N399" t="s">
        <v>3477</v>
      </c>
      <c r="O399">
        <v>18</v>
      </c>
      <c r="P399" t="s">
        <v>3477</v>
      </c>
      <c r="Q399">
        <v>18</v>
      </c>
      <c r="R399" s="13">
        <v>5160</v>
      </c>
      <c r="S399" s="13">
        <v>3611.9999999999995</v>
      </c>
    </row>
    <row r="400" spans="1:19">
      <c r="A400" s="9" t="s">
        <v>22</v>
      </c>
      <c r="B400" s="9" t="s">
        <v>27</v>
      </c>
      <c r="C400" s="9" t="s">
        <v>51</v>
      </c>
      <c r="D400" t="s">
        <v>204</v>
      </c>
      <c r="F400" s="12" t="s">
        <v>1904</v>
      </c>
      <c r="G400" s="10" t="s">
        <v>489</v>
      </c>
      <c r="H400" s="10" t="s">
        <v>489</v>
      </c>
      <c r="K400" t="s">
        <v>19</v>
      </c>
      <c r="L400" t="s">
        <v>20</v>
      </c>
      <c r="M400" s="9">
        <v>8481909</v>
      </c>
      <c r="N400" t="s">
        <v>3477</v>
      </c>
      <c r="O400">
        <v>18</v>
      </c>
      <c r="P400" t="s">
        <v>3477</v>
      </c>
      <c r="Q400">
        <v>18</v>
      </c>
      <c r="R400" s="13">
        <v>6450</v>
      </c>
      <c r="S400" s="13">
        <v>4515</v>
      </c>
    </row>
    <row r="401" spans="1:19">
      <c r="A401" s="9" t="s">
        <v>22</v>
      </c>
      <c r="B401" s="9" t="s">
        <v>27</v>
      </c>
      <c r="C401" s="9" t="s">
        <v>51</v>
      </c>
      <c r="D401" t="s">
        <v>204</v>
      </c>
      <c r="F401" s="12" t="s">
        <v>1905</v>
      </c>
      <c r="G401" s="10" t="s">
        <v>490</v>
      </c>
      <c r="H401" s="10" t="s">
        <v>490</v>
      </c>
      <c r="K401" t="s">
        <v>19</v>
      </c>
      <c r="L401" t="s">
        <v>20</v>
      </c>
      <c r="M401" s="9">
        <v>8481909</v>
      </c>
      <c r="N401" t="s">
        <v>3477</v>
      </c>
      <c r="O401">
        <v>18</v>
      </c>
      <c r="P401" t="s">
        <v>3477</v>
      </c>
      <c r="Q401">
        <v>18</v>
      </c>
      <c r="R401" s="13">
        <v>5160</v>
      </c>
      <c r="S401" s="13">
        <v>3611.9999999999995</v>
      </c>
    </row>
    <row r="402" spans="1:19">
      <c r="A402" s="9" t="s">
        <v>22</v>
      </c>
      <c r="B402" s="9" t="s">
        <v>26</v>
      </c>
      <c r="C402" s="9" t="s">
        <v>76</v>
      </c>
      <c r="D402" t="s">
        <v>204</v>
      </c>
      <c r="F402" s="12" t="s">
        <v>1906</v>
      </c>
      <c r="G402" s="10" t="s">
        <v>491</v>
      </c>
      <c r="H402" s="10" t="s">
        <v>491</v>
      </c>
      <c r="K402" t="s">
        <v>19</v>
      </c>
      <c r="L402" t="s">
        <v>20</v>
      </c>
      <c r="M402" s="9">
        <v>39222</v>
      </c>
      <c r="N402" t="s">
        <v>3477</v>
      </c>
      <c r="O402">
        <v>18</v>
      </c>
      <c r="P402" t="s">
        <v>3477</v>
      </c>
      <c r="Q402">
        <v>18</v>
      </c>
      <c r="R402" s="13">
        <v>5000</v>
      </c>
      <c r="S402" s="13">
        <v>3500</v>
      </c>
    </row>
    <row r="403" spans="1:19">
      <c r="A403" s="9" t="s">
        <v>22</v>
      </c>
      <c r="B403" s="9" t="s">
        <v>27</v>
      </c>
      <c r="C403" s="9" t="s">
        <v>50</v>
      </c>
      <c r="D403" t="s">
        <v>204</v>
      </c>
      <c r="F403" s="12" t="s">
        <v>1907</v>
      </c>
      <c r="G403" s="10" t="s">
        <v>492</v>
      </c>
      <c r="H403" s="10" t="s">
        <v>492</v>
      </c>
      <c r="K403" t="s">
        <v>19</v>
      </c>
      <c r="L403" t="s">
        <v>20</v>
      </c>
      <c r="M403" s="9">
        <v>732421</v>
      </c>
      <c r="N403" t="s">
        <v>3477</v>
      </c>
      <c r="O403">
        <v>18</v>
      </c>
      <c r="P403" t="s">
        <v>3477</v>
      </c>
      <c r="Q403">
        <v>18</v>
      </c>
      <c r="R403" s="13">
        <v>4847</v>
      </c>
      <c r="S403" s="13">
        <v>3392.8999999999996</v>
      </c>
    </row>
    <row r="404" spans="1:19">
      <c r="A404" s="9" t="s">
        <v>22</v>
      </c>
      <c r="B404" s="9" t="s">
        <v>27</v>
      </c>
      <c r="C404" s="9" t="s">
        <v>64</v>
      </c>
      <c r="D404" t="s">
        <v>204</v>
      </c>
      <c r="F404" s="12" t="s">
        <v>1908</v>
      </c>
      <c r="G404" s="10" t="s">
        <v>492</v>
      </c>
      <c r="H404" s="10" t="s">
        <v>492</v>
      </c>
      <c r="K404" t="s">
        <v>19</v>
      </c>
      <c r="L404" t="s">
        <v>20</v>
      </c>
      <c r="M404" s="9">
        <v>39229</v>
      </c>
      <c r="N404" t="s">
        <v>3477</v>
      </c>
      <c r="O404">
        <v>18</v>
      </c>
      <c r="P404" t="s">
        <v>3477</v>
      </c>
      <c r="Q404">
        <v>18</v>
      </c>
      <c r="R404" s="13">
        <v>5000</v>
      </c>
      <c r="S404" s="13">
        <v>3500</v>
      </c>
    </row>
    <row r="405" spans="1:19">
      <c r="A405" s="9" t="s">
        <v>22</v>
      </c>
      <c r="B405" s="9" t="s">
        <v>27</v>
      </c>
      <c r="C405" s="9" t="s">
        <v>64</v>
      </c>
      <c r="D405" t="s">
        <v>204</v>
      </c>
      <c r="F405" s="12" t="s">
        <v>1909</v>
      </c>
      <c r="G405" s="10" t="s">
        <v>493</v>
      </c>
      <c r="H405" s="10" t="s">
        <v>493</v>
      </c>
      <c r="K405" t="s">
        <v>19</v>
      </c>
      <c r="L405" t="s">
        <v>20</v>
      </c>
      <c r="M405" s="9">
        <v>39229</v>
      </c>
      <c r="N405" t="s">
        <v>3477</v>
      </c>
      <c r="O405">
        <v>18</v>
      </c>
      <c r="P405" t="s">
        <v>3477</v>
      </c>
      <c r="Q405">
        <v>18</v>
      </c>
      <c r="R405" s="13">
        <v>4000</v>
      </c>
      <c r="S405" s="13">
        <v>2800</v>
      </c>
    </row>
    <row r="406" spans="1:19">
      <c r="A406" s="9" t="s">
        <v>22</v>
      </c>
      <c r="B406" s="9" t="s">
        <v>26</v>
      </c>
      <c r="C406" s="9" t="s">
        <v>76</v>
      </c>
      <c r="D406" t="s">
        <v>204</v>
      </c>
      <c r="F406" s="12" t="s">
        <v>1910</v>
      </c>
      <c r="G406" s="10" t="s">
        <v>494</v>
      </c>
      <c r="H406" s="10" t="s">
        <v>494</v>
      </c>
      <c r="K406" t="s">
        <v>19</v>
      </c>
      <c r="L406" t="s">
        <v>20</v>
      </c>
      <c r="M406" s="9">
        <v>69101</v>
      </c>
      <c r="N406" t="s">
        <v>3477</v>
      </c>
      <c r="O406">
        <v>18</v>
      </c>
      <c r="P406" t="s">
        <v>3477</v>
      </c>
      <c r="Q406">
        <v>18</v>
      </c>
      <c r="R406" s="13">
        <v>10000</v>
      </c>
      <c r="S406" s="13">
        <v>7000</v>
      </c>
    </row>
    <row r="407" spans="1:19">
      <c r="A407" s="9" t="s">
        <v>22</v>
      </c>
      <c r="B407" s="9" t="s">
        <v>26</v>
      </c>
      <c r="C407" s="9" t="s">
        <v>87</v>
      </c>
      <c r="D407" t="s">
        <v>204</v>
      </c>
      <c r="F407" s="12" t="s">
        <v>1911</v>
      </c>
      <c r="G407" s="10" t="s">
        <v>495</v>
      </c>
      <c r="H407" s="10" t="s">
        <v>495</v>
      </c>
      <c r="K407" t="s">
        <v>19</v>
      </c>
      <c r="L407" t="s">
        <v>20</v>
      </c>
      <c r="M407" s="9">
        <v>69101</v>
      </c>
      <c r="N407" t="s">
        <v>3477</v>
      </c>
      <c r="O407">
        <v>18</v>
      </c>
      <c r="P407" t="s">
        <v>3477</v>
      </c>
      <c r="Q407">
        <v>18</v>
      </c>
      <c r="R407" s="13">
        <v>62000</v>
      </c>
      <c r="S407" s="13">
        <v>43400</v>
      </c>
    </row>
    <row r="408" spans="1:19">
      <c r="A408" s="9" t="s">
        <v>23</v>
      </c>
      <c r="B408" s="9" t="s">
        <v>27</v>
      </c>
      <c r="C408" s="9" t="s">
        <v>119</v>
      </c>
      <c r="D408" t="s">
        <v>204</v>
      </c>
      <c r="F408" s="12" t="s">
        <v>1912</v>
      </c>
      <c r="G408" s="10" t="s">
        <v>496</v>
      </c>
      <c r="H408" s="10" t="s">
        <v>496</v>
      </c>
      <c r="K408" t="s">
        <v>19</v>
      </c>
      <c r="L408" t="s">
        <v>20</v>
      </c>
      <c r="M408" s="9">
        <v>8481802</v>
      </c>
      <c r="N408" t="s">
        <v>3477</v>
      </c>
      <c r="O408">
        <v>18</v>
      </c>
      <c r="P408" t="s">
        <v>3477</v>
      </c>
      <c r="Q408">
        <v>18</v>
      </c>
      <c r="R408" s="13">
        <v>43560</v>
      </c>
      <c r="S408" s="13">
        <v>26136</v>
      </c>
    </row>
    <row r="409" spans="1:19">
      <c r="A409" s="9" t="s">
        <v>22</v>
      </c>
      <c r="B409" s="9" t="s">
        <v>27</v>
      </c>
      <c r="C409" s="9" t="s">
        <v>119</v>
      </c>
      <c r="D409" t="s">
        <v>204</v>
      </c>
      <c r="F409" s="12" t="s">
        <v>1913</v>
      </c>
      <c r="G409" s="10" t="s">
        <v>496</v>
      </c>
      <c r="H409" s="10" t="s">
        <v>496</v>
      </c>
      <c r="K409" t="s">
        <v>19</v>
      </c>
      <c r="L409" t="s">
        <v>20</v>
      </c>
      <c r="M409" s="9">
        <v>8481802</v>
      </c>
      <c r="N409" t="s">
        <v>3477</v>
      </c>
      <c r="O409">
        <v>18</v>
      </c>
      <c r="P409" t="s">
        <v>3477</v>
      </c>
      <c r="Q409">
        <v>18</v>
      </c>
      <c r="R409" s="13">
        <v>43500</v>
      </c>
      <c r="S409" s="13">
        <v>30449.999999999996</v>
      </c>
    </row>
    <row r="410" spans="1:19">
      <c r="A410" s="9" t="s">
        <v>22</v>
      </c>
      <c r="B410" s="9" t="s">
        <v>27</v>
      </c>
      <c r="C410" s="9" t="s">
        <v>119</v>
      </c>
      <c r="D410" t="s">
        <v>204</v>
      </c>
      <c r="F410" s="12" t="s">
        <v>1914</v>
      </c>
      <c r="G410" s="10" t="s">
        <v>496</v>
      </c>
      <c r="H410" s="10" t="s">
        <v>496</v>
      </c>
      <c r="K410" t="s">
        <v>19</v>
      </c>
      <c r="L410" t="s">
        <v>20</v>
      </c>
      <c r="M410" s="9">
        <v>8481802</v>
      </c>
      <c r="N410" t="s">
        <v>3477</v>
      </c>
      <c r="O410">
        <v>18</v>
      </c>
      <c r="P410" t="s">
        <v>3477</v>
      </c>
      <c r="Q410">
        <v>18</v>
      </c>
      <c r="R410" s="13">
        <v>43500</v>
      </c>
      <c r="S410" s="13">
        <v>30449.999999999996</v>
      </c>
    </row>
    <row r="411" spans="1:19">
      <c r="A411" s="9" t="s">
        <v>22</v>
      </c>
      <c r="B411" s="9" t="s">
        <v>27</v>
      </c>
      <c r="C411" s="9" t="s">
        <v>119</v>
      </c>
      <c r="D411" t="s">
        <v>204</v>
      </c>
      <c r="F411" s="12" t="s">
        <v>1915</v>
      </c>
      <c r="G411" s="10" t="s">
        <v>497</v>
      </c>
      <c r="H411" s="10" t="s">
        <v>497</v>
      </c>
      <c r="K411" t="s">
        <v>19</v>
      </c>
      <c r="L411" t="s">
        <v>20</v>
      </c>
      <c r="M411" s="9">
        <v>8481802</v>
      </c>
      <c r="N411" t="s">
        <v>3477</v>
      </c>
      <c r="O411">
        <v>18</v>
      </c>
      <c r="P411" t="s">
        <v>3477</v>
      </c>
      <c r="Q411">
        <v>18</v>
      </c>
      <c r="R411" s="13">
        <v>43500</v>
      </c>
      <c r="S411" s="13">
        <v>30449.999999999996</v>
      </c>
    </row>
    <row r="412" spans="1:19">
      <c r="A412" s="9" t="s">
        <v>22</v>
      </c>
      <c r="B412" s="9" t="s">
        <v>27</v>
      </c>
      <c r="C412" s="9" t="s">
        <v>119</v>
      </c>
      <c r="D412" t="s">
        <v>204</v>
      </c>
      <c r="F412" s="12" t="s">
        <v>1916</v>
      </c>
      <c r="G412" s="10" t="s">
        <v>498</v>
      </c>
      <c r="H412" s="10" t="s">
        <v>498</v>
      </c>
      <c r="K412" t="s">
        <v>19</v>
      </c>
      <c r="L412" t="s">
        <v>20</v>
      </c>
      <c r="M412" s="9">
        <v>8481802</v>
      </c>
      <c r="N412" t="s">
        <v>3477</v>
      </c>
      <c r="O412">
        <v>18</v>
      </c>
      <c r="P412" t="s">
        <v>3477</v>
      </c>
      <c r="Q412">
        <v>18</v>
      </c>
      <c r="R412" s="13">
        <v>19700</v>
      </c>
      <c r="S412" s="13">
        <v>13790</v>
      </c>
    </row>
    <row r="413" spans="1:19">
      <c r="A413" s="9" t="s">
        <v>22</v>
      </c>
      <c r="B413" s="9" t="s">
        <v>27</v>
      </c>
      <c r="C413" s="9" t="s">
        <v>119</v>
      </c>
      <c r="D413" t="s">
        <v>204</v>
      </c>
      <c r="F413" s="12" t="s">
        <v>1917</v>
      </c>
      <c r="G413" s="10" t="s">
        <v>499</v>
      </c>
      <c r="H413" s="10" t="s">
        <v>499</v>
      </c>
      <c r="K413" t="s">
        <v>19</v>
      </c>
      <c r="L413" t="s">
        <v>20</v>
      </c>
      <c r="M413" s="9">
        <v>8481802</v>
      </c>
      <c r="N413" t="s">
        <v>3477</v>
      </c>
      <c r="O413">
        <v>18</v>
      </c>
      <c r="P413" t="s">
        <v>3477</v>
      </c>
      <c r="Q413">
        <v>18</v>
      </c>
      <c r="R413" s="13">
        <v>13380</v>
      </c>
      <c r="S413" s="13">
        <v>9366</v>
      </c>
    </row>
    <row r="414" spans="1:19">
      <c r="A414" s="9" t="s">
        <v>22</v>
      </c>
      <c r="B414" s="9" t="s">
        <v>27</v>
      </c>
      <c r="C414" s="9" t="s">
        <v>119</v>
      </c>
      <c r="D414" t="s">
        <v>204</v>
      </c>
      <c r="F414" s="12" t="s">
        <v>1918</v>
      </c>
      <c r="G414" s="10" t="s">
        <v>500</v>
      </c>
      <c r="H414" s="10" t="s">
        <v>500</v>
      </c>
      <c r="K414" t="s">
        <v>19</v>
      </c>
      <c r="L414" t="s">
        <v>20</v>
      </c>
      <c r="M414" s="9">
        <v>8481802</v>
      </c>
      <c r="N414" t="s">
        <v>3477</v>
      </c>
      <c r="O414">
        <v>18</v>
      </c>
      <c r="P414" t="s">
        <v>3477</v>
      </c>
      <c r="Q414">
        <v>18</v>
      </c>
      <c r="R414" s="13">
        <v>42000</v>
      </c>
      <c r="S414" s="13">
        <v>29399.999999999996</v>
      </c>
    </row>
    <row r="415" spans="1:19">
      <c r="A415" s="9" t="s">
        <v>22</v>
      </c>
      <c r="B415" s="9" t="s">
        <v>27</v>
      </c>
      <c r="C415" s="9" t="s">
        <v>119</v>
      </c>
      <c r="D415" t="s">
        <v>204</v>
      </c>
      <c r="F415" s="12" t="s">
        <v>1919</v>
      </c>
      <c r="G415" s="10" t="s">
        <v>501</v>
      </c>
      <c r="H415" s="10" t="s">
        <v>501</v>
      </c>
      <c r="K415" t="s">
        <v>19</v>
      </c>
      <c r="L415" t="s">
        <v>20</v>
      </c>
      <c r="M415" s="9">
        <v>8481802</v>
      </c>
      <c r="N415" t="s">
        <v>3477</v>
      </c>
      <c r="O415">
        <v>18</v>
      </c>
      <c r="P415" t="s">
        <v>3477</v>
      </c>
      <c r="Q415">
        <v>18</v>
      </c>
      <c r="R415" s="13">
        <v>17400</v>
      </c>
      <c r="S415" s="13">
        <v>12180</v>
      </c>
    </row>
    <row r="416" spans="1:19">
      <c r="A416" s="9" t="s">
        <v>22</v>
      </c>
      <c r="B416" s="9" t="s">
        <v>27</v>
      </c>
      <c r="C416" s="9" t="s">
        <v>119</v>
      </c>
      <c r="D416" t="s">
        <v>204</v>
      </c>
      <c r="F416" s="12" t="s">
        <v>1920</v>
      </c>
      <c r="G416" s="10" t="s">
        <v>501</v>
      </c>
      <c r="H416" s="10" t="s">
        <v>501</v>
      </c>
      <c r="K416" t="s">
        <v>19</v>
      </c>
      <c r="L416" t="s">
        <v>20</v>
      </c>
      <c r="M416" s="9">
        <v>8481802</v>
      </c>
      <c r="N416" t="s">
        <v>3477</v>
      </c>
      <c r="O416">
        <v>18</v>
      </c>
      <c r="P416" t="s">
        <v>3477</v>
      </c>
      <c r="Q416">
        <v>18</v>
      </c>
      <c r="R416" s="13">
        <v>13550</v>
      </c>
      <c r="S416" s="13">
        <v>9485</v>
      </c>
    </row>
    <row r="417" spans="1:19">
      <c r="A417" s="9" t="s">
        <v>22</v>
      </c>
      <c r="B417" s="9" t="s">
        <v>27</v>
      </c>
      <c r="C417" s="9" t="s">
        <v>119</v>
      </c>
      <c r="D417" t="s">
        <v>204</v>
      </c>
      <c r="F417" s="12" t="s">
        <v>1921</v>
      </c>
      <c r="G417" s="10" t="s">
        <v>499</v>
      </c>
      <c r="H417" s="10" t="s">
        <v>499</v>
      </c>
      <c r="K417" t="s">
        <v>19</v>
      </c>
      <c r="L417" t="s">
        <v>20</v>
      </c>
      <c r="M417" s="9">
        <v>8481802</v>
      </c>
      <c r="N417" t="s">
        <v>3477</v>
      </c>
      <c r="O417">
        <v>18</v>
      </c>
      <c r="P417" t="s">
        <v>3477</v>
      </c>
      <c r="Q417">
        <v>18</v>
      </c>
      <c r="R417" s="13">
        <v>13550</v>
      </c>
      <c r="S417" s="13">
        <v>9485</v>
      </c>
    </row>
    <row r="418" spans="1:19">
      <c r="A418" s="9" t="s">
        <v>22</v>
      </c>
      <c r="B418" s="9" t="s">
        <v>27</v>
      </c>
      <c r="C418" s="9" t="s">
        <v>119</v>
      </c>
      <c r="D418" t="s">
        <v>204</v>
      </c>
      <c r="F418" s="12" t="s">
        <v>1922</v>
      </c>
      <c r="G418" s="10" t="s">
        <v>499</v>
      </c>
      <c r="H418" s="10" t="s">
        <v>499</v>
      </c>
      <c r="K418" t="s">
        <v>19</v>
      </c>
      <c r="L418" t="s">
        <v>20</v>
      </c>
      <c r="M418" s="9">
        <v>8481802</v>
      </c>
      <c r="N418" t="s">
        <v>3477</v>
      </c>
      <c r="O418">
        <v>18</v>
      </c>
      <c r="P418" t="s">
        <v>3477</v>
      </c>
      <c r="Q418">
        <v>18</v>
      </c>
      <c r="R418" s="13">
        <v>42000</v>
      </c>
      <c r="S418" s="13">
        <v>29399.999999999996</v>
      </c>
    </row>
    <row r="419" spans="1:19">
      <c r="A419" s="9" t="s">
        <v>22</v>
      </c>
      <c r="B419" s="9" t="s">
        <v>27</v>
      </c>
      <c r="C419" s="9" t="s">
        <v>119</v>
      </c>
      <c r="D419" t="s">
        <v>204</v>
      </c>
      <c r="F419" s="12" t="s">
        <v>1923</v>
      </c>
      <c r="G419" s="10" t="s">
        <v>502</v>
      </c>
      <c r="H419" s="10" t="s">
        <v>502</v>
      </c>
      <c r="K419" t="s">
        <v>19</v>
      </c>
      <c r="L419" t="s">
        <v>20</v>
      </c>
      <c r="M419" s="9">
        <v>8481802</v>
      </c>
      <c r="N419" t="s">
        <v>3477</v>
      </c>
      <c r="O419">
        <v>18</v>
      </c>
      <c r="P419" t="s">
        <v>3477</v>
      </c>
      <c r="Q419">
        <v>18</v>
      </c>
      <c r="R419" s="13">
        <v>42000</v>
      </c>
      <c r="S419" s="13">
        <v>29399.999999999996</v>
      </c>
    </row>
    <row r="420" spans="1:19">
      <c r="A420" s="9" t="s">
        <v>22</v>
      </c>
      <c r="B420" s="9" t="s">
        <v>36</v>
      </c>
      <c r="C420" s="9" t="s">
        <v>120</v>
      </c>
      <c r="D420" t="s">
        <v>204</v>
      </c>
      <c r="F420" s="12" t="s">
        <v>1924</v>
      </c>
      <c r="G420" s="10" t="s">
        <v>503</v>
      </c>
      <c r="H420" s="10" t="s">
        <v>503</v>
      </c>
      <c r="K420" t="s">
        <v>19</v>
      </c>
      <c r="L420" t="s">
        <v>20</v>
      </c>
      <c r="M420" s="9">
        <v>8421219</v>
      </c>
      <c r="N420" t="s">
        <v>3477</v>
      </c>
      <c r="O420">
        <v>18</v>
      </c>
      <c r="P420" t="s">
        <v>3477</v>
      </c>
      <c r="Q420">
        <v>18</v>
      </c>
      <c r="R420" s="13">
        <v>13000</v>
      </c>
      <c r="S420" s="13">
        <v>9100</v>
      </c>
    </row>
    <row r="421" spans="1:19">
      <c r="A421" s="9" t="s">
        <v>22</v>
      </c>
      <c r="B421" s="9" t="s">
        <v>36</v>
      </c>
      <c r="C421" s="9" t="s">
        <v>121</v>
      </c>
      <c r="D421" t="s">
        <v>204</v>
      </c>
      <c r="F421" s="12" t="s">
        <v>1925</v>
      </c>
      <c r="G421" s="10" t="s">
        <v>504</v>
      </c>
      <c r="H421" s="10" t="s">
        <v>504</v>
      </c>
      <c r="K421" t="s">
        <v>19</v>
      </c>
      <c r="L421" t="s">
        <v>20</v>
      </c>
      <c r="M421" s="9">
        <v>8421219</v>
      </c>
      <c r="N421" t="s">
        <v>3477</v>
      </c>
      <c r="O421">
        <v>18</v>
      </c>
      <c r="P421" t="s">
        <v>3477</v>
      </c>
      <c r="Q421">
        <v>18</v>
      </c>
      <c r="R421" s="13">
        <v>750</v>
      </c>
      <c r="S421" s="13">
        <v>525</v>
      </c>
    </row>
    <row r="422" spans="1:19">
      <c r="A422" s="9" t="s">
        <v>22</v>
      </c>
      <c r="B422" s="9" t="s">
        <v>26</v>
      </c>
      <c r="C422" s="9" t="s">
        <v>122</v>
      </c>
      <c r="D422" t="s">
        <v>204</v>
      </c>
      <c r="F422" s="12" t="s">
        <v>1926</v>
      </c>
      <c r="G422" s="10" t="s">
        <v>505</v>
      </c>
      <c r="H422" s="10" t="s">
        <v>505</v>
      </c>
      <c r="K422" t="s">
        <v>19</v>
      </c>
      <c r="L422" t="s">
        <v>20</v>
      </c>
      <c r="M422" s="9">
        <v>39222</v>
      </c>
      <c r="N422" t="s">
        <v>3477</v>
      </c>
      <c r="O422">
        <v>18</v>
      </c>
      <c r="P422" t="s">
        <v>3477</v>
      </c>
      <c r="Q422">
        <v>18</v>
      </c>
      <c r="R422" s="13">
        <v>4000</v>
      </c>
      <c r="S422" s="13">
        <v>2800</v>
      </c>
    </row>
    <row r="423" spans="1:19">
      <c r="A423" s="9" t="s">
        <v>22</v>
      </c>
      <c r="B423" s="9" t="s">
        <v>26</v>
      </c>
      <c r="C423" s="9" t="s">
        <v>122</v>
      </c>
      <c r="D423" t="s">
        <v>204</v>
      </c>
      <c r="F423" s="12" t="s">
        <v>1927</v>
      </c>
      <c r="G423" s="10" t="s">
        <v>505</v>
      </c>
      <c r="H423" s="10" t="s">
        <v>505</v>
      </c>
      <c r="K423" t="s">
        <v>19</v>
      </c>
      <c r="L423" t="s">
        <v>20</v>
      </c>
      <c r="M423" s="9">
        <v>69101</v>
      </c>
      <c r="N423" t="s">
        <v>3477</v>
      </c>
      <c r="O423">
        <v>18</v>
      </c>
      <c r="P423" t="s">
        <v>3477</v>
      </c>
      <c r="Q423">
        <v>18</v>
      </c>
      <c r="R423" s="13">
        <v>4000</v>
      </c>
      <c r="S423" s="13">
        <v>2800</v>
      </c>
    </row>
    <row r="424" spans="1:19">
      <c r="A424" s="9" t="s">
        <v>22</v>
      </c>
      <c r="B424" s="9" t="s">
        <v>26</v>
      </c>
      <c r="C424" s="9" t="s">
        <v>122</v>
      </c>
      <c r="D424" t="s">
        <v>204</v>
      </c>
      <c r="F424" s="12" t="s">
        <v>1928</v>
      </c>
      <c r="G424" s="10" t="s">
        <v>506</v>
      </c>
      <c r="H424" s="10" t="s">
        <v>506</v>
      </c>
      <c r="K424" t="s">
        <v>19</v>
      </c>
      <c r="L424" t="s">
        <v>20</v>
      </c>
      <c r="M424" s="9">
        <v>69101</v>
      </c>
      <c r="N424" t="s">
        <v>3477</v>
      </c>
      <c r="O424">
        <v>18</v>
      </c>
      <c r="P424" t="s">
        <v>3477</v>
      </c>
      <c r="Q424">
        <v>18</v>
      </c>
      <c r="R424" s="13">
        <v>4000</v>
      </c>
      <c r="S424" s="13">
        <v>2800</v>
      </c>
    </row>
    <row r="425" spans="1:19">
      <c r="A425" s="9" t="s">
        <v>22</v>
      </c>
      <c r="B425" s="9" t="s">
        <v>30</v>
      </c>
      <c r="C425" s="9" t="s">
        <v>50</v>
      </c>
      <c r="D425" t="s">
        <v>204</v>
      </c>
      <c r="F425" s="12" t="s">
        <v>1929</v>
      </c>
      <c r="G425" s="10" t="s">
        <v>506</v>
      </c>
      <c r="H425" s="10" t="s">
        <v>506</v>
      </c>
      <c r="K425" t="s">
        <v>19</v>
      </c>
      <c r="L425" t="s">
        <v>20</v>
      </c>
      <c r="M425" s="9">
        <v>7418202</v>
      </c>
      <c r="N425" t="s">
        <v>3477</v>
      </c>
      <c r="O425">
        <v>18</v>
      </c>
      <c r="P425" t="s">
        <v>3477</v>
      </c>
      <c r="Q425">
        <v>18</v>
      </c>
      <c r="R425" s="13">
        <v>1205</v>
      </c>
      <c r="S425" s="13">
        <v>843.5</v>
      </c>
    </row>
    <row r="426" spans="1:19">
      <c r="A426" s="9" t="s">
        <v>22</v>
      </c>
      <c r="B426" s="9" t="s">
        <v>27</v>
      </c>
      <c r="C426" s="9" t="s">
        <v>50</v>
      </c>
      <c r="D426" t="s">
        <v>204</v>
      </c>
      <c r="F426" s="12" t="s">
        <v>1930</v>
      </c>
      <c r="G426" s="10" t="s">
        <v>507</v>
      </c>
      <c r="H426" s="10" t="s">
        <v>507</v>
      </c>
      <c r="K426" t="s">
        <v>19</v>
      </c>
      <c r="L426" t="s">
        <v>20</v>
      </c>
      <c r="M426" s="9">
        <v>8481809</v>
      </c>
      <c r="N426" t="s">
        <v>3477</v>
      </c>
      <c r="O426">
        <v>18</v>
      </c>
      <c r="P426" t="s">
        <v>3477</v>
      </c>
      <c r="Q426">
        <v>18</v>
      </c>
      <c r="R426" s="13">
        <v>1196</v>
      </c>
      <c r="S426" s="13">
        <v>837.19999999999993</v>
      </c>
    </row>
    <row r="427" spans="1:19">
      <c r="A427" s="9" t="s">
        <v>23</v>
      </c>
      <c r="B427" s="9" t="s">
        <v>33</v>
      </c>
      <c r="C427" s="9" t="s">
        <v>123</v>
      </c>
      <c r="D427" t="s">
        <v>204</v>
      </c>
      <c r="F427" s="12" t="s">
        <v>1931</v>
      </c>
      <c r="G427" s="10" t="s">
        <v>508</v>
      </c>
      <c r="H427" s="10" t="s">
        <v>508</v>
      </c>
      <c r="K427" t="s">
        <v>19</v>
      </c>
      <c r="L427" t="s">
        <v>20</v>
      </c>
      <c r="M427" s="9">
        <v>700991</v>
      </c>
      <c r="N427" t="s">
        <v>3477</v>
      </c>
      <c r="O427">
        <v>18</v>
      </c>
      <c r="P427" t="s">
        <v>3477</v>
      </c>
      <c r="Q427">
        <v>18</v>
      </c>
      <c r="R427" s="13">
        <v>36500</v>
      </c>
      <c r="S427" s="13">
        <v>21900</v>
      </c>
    </row>
    <row r="428" spans="1:19">
      <c r="A428" s="9" t="s">
        <v>23</v>
      </c>
      <c r="B428" s="9" t="s">
        <v>33</v>
      </c>
      <c r="C428" s="9" t="s">
        <v>124</v>
      </c>
      <c r="D428" t="s">
        <v>204</v>
      </c>
      <c r="F428" s="12" t="s">
        <v>1932</v>
      </c>
      <c r="G428" s="10" t="s">
        <v>509</v>
      </c>
      <c r="H428" s="10" t="s">
        <v>509</v>
      </c>
      <c r="K428" t="s">
        <v>19</v>
      </c>
      <c r="L428" t="s">
        <v>20</v>
      </c>
      <c r="M428" s="9">
        <v>700991</v>
      </c>
      <c r="N428" t="s">
        <v>3477</v>
      </c>
      <c r="O428">
        <v>18</v>
      </c>
      <c r="P428" t="s">
        <v>3477</v>
      </c>
      <c r="Q428">
        <v>18</v>
      </c>
      <c r="R428" s="13">
        <v>47560</v>
      </c>
      <c r="S428" s="13">
        <v>28536</v>
      </c>
    </row>
    <row r="429" spans="1:19">
      <c r="A429" s="9" t="s">
        <v>23</v>
      </c>
      <c r="B429" s="9" t="s">
        <v>33</v>
      </c>
      <c r="C429" s="9" t="s">
        <v>125</v>
      </c>
      <c r="D429" t="s">
        <v>204</v>
      </c>
      <c r="F429" s="12" t="s">
        <v>1933</v>
      </c>
      <c r="G429" s="10" t="s">
        <v>510</v>
      </c>
      <c r="H429" s="10" t="s">
        <v>510</v>
      </c>
      <c r="K429" t="s">
        <v>19</v>
      </c>
      <c r="L429" t="s">
        <v>20</v>
      </c>
      <c r="M429" s="9">
        <v>700991</v>
      </c>
      <c r="N429" t="s">
        <v>3477</v>
      </c>
      <c r="O429">
        <v>18</v>
      </c>
      <c r="P429" t="s">
        <v>3477</v>
      </c>
      <c r="Q429">
        <v>18</v>
      </c>
      <c r="R429" s="13">
        <v>68580</v>
      </c>
      <c r="S429" s="13">
        <v>41148</v>
      </c>
    </row>
    <row r="430" spans="1:19">
      <c r="A430" s="9" t="s">
        <v>23</v>
      </c>
      <c r="B430" s="9" t="s">
        <v>33</v>
      </c>
      <c r="C430" s="9" t="s">
        <v>124</v>
      </c>
      <c r="D430" t="s">
        <v>204</v>
      </c>
      <c r="F430" s="12" t="s">
        <v>1934</v>
      </c>
      <c r="G430" s="10" t="s">
        <v>511</v>
      </c>
      <c r="H430" s="10" t="s">
        <v>511</v>
      </c>
      <c r="K430" t="s">
        <v>19</v>
      </c>
      <c r="L430" t="s">
        <v>20</v>
      </c>
      <c r="M430" s="9">
        <v>700991</v>
      </c>
      <c r="N430" t="s">
        <v>3477</v>
      </c>
      <c r="O430">
        <v>18</v>
      </c>
      <c r="P430" t="s">
        <v>3477</v>
      </c>
      <c r="Q430">
        <v>18</v>
      </c>
      <c r="R430" s="13">
        <v>34000</v>
      </c>
      <c r="S430" s="13">
        <v>20400</v>
      </c>
    </row>
    <row r="431" spans="1:19">
      <c r="A431" s="9" t="s">
        <v>23</v>
      </c>
      <c r="B431" s="9" t="s">
        <v>33</v>
      </c>
      <c r="C431" s="9" t="s">
        <v>125</v>
      </c>
      <c r="D431" t="s">
        <v>204</v>
      </c>
      <c r="F431" s="12" t="s">
        <v>1935</v>
      </c>
      <c r="G431" s="10" t="s">
        <v>512</v>
      </c>
      <c r="H431" s="10" t="s">
        <v>512</v>
      </c>
      <c r="K431" t="s">
        <v>19</v>
      </c>
      <c r="L431" t="s">
        <v>20</v>
      </c>
      <c r="M431" s="9">
        <v>700991</v>
      </c>
      <c r="N431" t="s">
        <v>3477</v>
      </c>
      <c r="O431">
        <v>18</v>
      </c>
      <c r="P431" t="s">
        <v>3477</v>
      </c>
      <c r="Q431">
        <v>18</v>
      </c>
      <c r="R431" s="13">
        <v>49680</v>
      </c>
      <c r="S431" s="13">
        <v>29808</v>
      </c>
    </row>
    <row r="432" spans="1:19">
      <c r="A432" s="9" t="s">
        <v>22</v>
      </c>
      <c r="B432" s="9" t="s">
        <v>26</v>
      </c>
      <c r="C432" s="9" t="s">
        <v>80</v>
      </c>
      <c r="D432" t="s">
        <v>204</v>
      </c>
      <c r="F432" s="12" t="s">
        <v>1936</v>
      </c>
      <c r="G432" s="10" t="s">
        <v>513</v>
      </c>
      <c r="H432" s="10" t="s">
        <v>513</v>
      </c>
      <c r="K432" t="s">
        <v>19</v>
      </c>
      <c r="L432" t="s">
        <v>20</v>
      </c>
      <c r="M432" s="9">
        <v>69101</v>
      </c>
      <c r="N432" t="s">
        <v>3477</v>
      </c>
      <c r="O432">
        <v>18</v>
      </c>
      <c r="P432" t="s">
        <v>3477</v>
      </c>
      <c r="Q432">
        <v>18</v>
      </c>
      <c r="R432" s="13">
        <v>68500</v>
      </c>
      <c r="S432" s="13">
        <v>47950</v>
      </c>
    </row>
    <row r="433" spans="1:19">
      <c r="A433" s="9" t="s">
        <v>23</v>
      </c>
      <c r="B433" s="9" t="s">
        <v>27</v>
      </c>
      <c r="C433" s="9" t="s">
        <v>126</v>
      </c>
      <c r="D433" t="s">
        <v>204</v>
      </c>
      <c r="F433" s="12" t="s">
        <v>1937</v>
      </c>
      <c r="G433" s="10" t="s">
        <v>514</v>
      </c>
      <c r="H433" s="10" t="s">
        <v>514</v>
      </c>
      <c r="K433" t="s">
        <v>19</v>
      </c>
      <c r="L433" t="s">
        <v>20</v>
      </c>
      <c r="M433" s="9">
        <v>8481802</v>
      </c>
      <c r="N433" t="s">
        <v>3477</v>
      </c>
      <c r="O433">
        <v>18</v>
      </c>
      <c r="P433" t="s">
        <v>3477</v>
      </c>
      <c r="Q433">
        <v>18</v>
      </c>
      <c r="R433" s="13">
        <v>178571</v>
      </c>
      <c r="S433" s="13">
        <v>107142.59999999999</v>
      </c>
    </row>
    <row r="434" spans="1:19">
      <c r="A434" s="9" t="s">
        <v>23</v>
      </c>
      <c r="B434" s="9" t="s">
        <v>27</v>
      </c>
      <c r="C434" s="9" t="s">
        <v>126</v>
      </c>
      <c r="D434" t="s">
        <v>204</v>
      </c>
      <c r="F434" s="12" t="s">
        <v>1938</v>
      </c>
      <c r="G434" s="10" t="s">
        <v>515</v>
      </c>
      <c r="H434" s="10" t="s">
        <v>515</v>
      </c>
      <c r="K434" t="s">
        <v>19</v>
      </c>
      <c r="L434" t="s">
        <v>20</v>
      </c>
      <c r="M434" s="9">
        <v>8481802</v>
      </c>
      <c r="N434" t="s">
        <v>3477</v>
      </c>
      <c r="O434">
        <v>18</v>
      </c>
      <c r="P434" t="s">
        <v>3477</v>
      </c>
      <c r="Q434">
        <v>18</v>
      </c>
      <c r="R434" s="13">
        <v>250000</v>
      </c>
      <c r="S434" s="13">
        <v>150000</v>
      </c>
    </row>
    <row r="435" spans="1:19">
      <c r="A435" s="9" t="s">
        <v>23</v>
      </c>
      <c r="B435" s="9" t="s">
        <v>26</v>
      </c>
      <c r="C435" s="9" t="s">
        <v>127</v>
      </c>
      <c r="D435" t="s">
        <v>204</v>
      </c>
      <c r="F435" s="12" t="s">
        <v>1939</v>
      </c>
      <c r="G435" s="10" t="s">
        <v>516</v>
      </c>
      <c r="H435" s="10" t="s">
        <v>516</v>
      </c>
      <c r="K435" t="s">
        <v>19</v>
      </c>
      <c r="L435" t="s">
        <v>20</v>
      </c>
      <c r="M435" s="9">
        <v>39222</v>
      </c>
      <c r="N435" t="s">
        <v>3477</v>
      </c>
      <c r="O435">
        <v>18</v>
      </c>
      <c r="P435" t="s">
        <v>3477</v>
      </c>
      <c r="Q435">
        <v>18</v>
      </c>
      <c r="R435" s="13">
        <v>29000</v>
      </c>
      <c r="S435" s="13">
        <v>17400</v>
      </c>
    </row>
    <row r="436" spans="1:19">
      <c r="A436" s="9" t="s">
        <v>22</v>
      </c>
      <c r="B436" s="9" t="s">
        <v>29</v>
      </c>
      <c r="C436" s="9" t="s">
        <v>73</v>
      </c>
      <c r="D436" t="s">
        <v>204</v>
      </c>
      <c r="F436" s="12" t="s">
        <v>1940</v>
      </c>
      <c r="G436" s="10" t="s">
        <v>517</v>
      </c>
      <c r="H436" s="10" t="s">
        <v>517</v>
      </c>
      <c r="K436" t="s">
        <v>19</v>
      </c>
      <c r="L436" t="s">
        <v>20</v>
      </c>
      <c r="M436" s="9">
        <v>8504409</v>
      </c>
      <c r="N436" t="s">
        <v>3477</v>
      </c>
      <c r="O436">
        <v>18</v>
      </c>
      <c r="P436" t="s">
        <v>3477</v>
      </c>
      <c r="Q436">
        <v>18</v>
      </c>
      <c r="R436" s="13">
        <v>1400</v>
      </c>
      <c r="S436" s="13">
        <v>979.99999999999989</v>
      </c>
    </row>
    <row r="437" spans="1:19">
      <c r="A437" s="9" t="s">
        <v>22</v>
      </c>
      <c r="B437" s="9" t="s">
        <v>26</v>
      </c>
      <c r="C437" s="9" t="s">
        <v>128</v>
      </c>
      <c r="D437" t="s">
        <v>204</v>
      </c>
      <c r="F437" s="12" t="s">
        <v>1941</v>
      </c>
      <c r="G437" s="10" t="s">
        <v>518</v>
      </c>
      <c r="H437" s="10" t="s">
        <v>518</v>
      </c>
      <c r="K437" t="s">
        <v>19</v>
      </c>
      <c r="L437" t="s">
        <v>20</v>
      </c>
      <c r="M437" s="9">
        <v>69101</v>
      </c>
      <c r="N437" t="s">
        <v>3477</v>
      </c>
      <c r="O437">
        <v>18</v>
      </c>
      <c r="P437" t="s">
        <v>3477</v>
      </c>
      <c r="Q437">
        <v>18</v>
      </c>
      <c r="R437" s="13">
        <v>106720</v>
      </c>
      <c r="S437" s="13">
        <v>74704</v>
      </c>
    </row>
    <row r="438" spans="1:19">
      <c r="A438" s="9" t="s">
        <v>22</v>
      </c>
      <c r="B438" s="9" t="s">
        <v>27</v>
      </c>
      <c r="C438" s="9" t="s">
        <v>64</v>
      </c>
      <c r="D438" t="s">
        <v>204</v>
      </c>
      <c r="F438" s="12" t="s">
        <v>1942</v>
      </c>
      <c r="G438" s="10" t="s">
        <v>519</v>
      </c>
      <c r="H438" s="10" t="s">
        <v>519</v>
      </c>
      <c r="K438" t="s">
        <v>19</v>
      </c>
      <c r="L438" t="s">
        <v>20</v>
      </c>
      <c r="M438" s="9">
        <v>39229</v>
      </c>
      <c r="N438" t="s">
        <v>3477</v>
      </c>
      <c r="O438">
        <v>18</v>
      </c>
      <c r="P438" t="s">
        <v>3477</v>
      </c>
      <c r="Q438">
        <v>18</v>
      </c>
      <c r="R438" s="13">
        <v>1870</v>
      </c>
      <c r="S438" s="13">
        <v>1309</v>
      </c>
    </row>
    <row r="439" spans="1:19">
      <c r="A439" s="9" t="s">
        <v>23</v>
      </c>
      <c r="B439" s="9" t="s">
        <v>33</v>
      </c>
      <c r="C439" s="9" t="s">
        <v>129</v>
      </c>
      <c r="D439" t="s">
        <v>204</v>
      </c>
      <c r="F439" s="12" t="s">
        <v>1943</v>
      </c>
      <c r="G439" s="10" t="s">
        <v>520</v>
      </c>
      <c r="H439" s="10" t="s">
        <v>520</v>
      </c>
      <c r="K439" t="s">
        <v>19</v>
      </c>
      <c r="L439" t="s">
        <v>20</v>
      </c>
      <c r="M439" s="9">
        <v>700991</v>
      </c>
      <c r="N439" t="s">
        <v>3477</v>
      </c>
      <c r="O439">
        <v>18</v>
      </c>
      <c r="P439" t="s">
        <v>3477</v>
      </c>
      <c r="Q439">
        <v>18</v>
      </c>
      <c r="R439" s="13">
        <v>66240</v>
      </c>
      <c r="S439" s="13">
        <v>39744</v>
      </c>
    </row>
    <row r="440" spans="1:19">
      <c r="A440" s="9" t="s">
        <v>23</v>
      </c>
      <c r="B440" s="9" t="s">
        <v>33</v>
      </c>
      <c r="C440" s="9" t="s">
        <v>129</v>
      </c>
      <c r="D440" t="s">
        <v>204</v>
      </c>
      <c r="F440" s="12" t="s">
        <v>1944</v>
      </c>
      <c r="G440" s="10" t="s">
        <v>521</v>
      </c>
      <c r="H440" s="10" t="s">
        <v>521</v>
      </c>
      <c r="K440" t="s">
        <v>19</v>
      </c>
      <c r="L440" t="s">
        <v>20</v>
      </c>
      <c r="M440" s="9">
        <v>700991</v>
      </c>
      <c r="N440" t="s">
        <v>3477</v>
      </c>
      <c r="O440">
        <v>18</v>
      </c>
      <c r="P440" t="s">
        <v>3477</v>
      </c>
      <c r="Q440">
        <v>18</v>
      </c>
      <c r="R440" s="13">
        <v>62000</v>
      </c>
      <c r="S440" s="13">
        <v>37200</v>
      </c>
    </row>
    <row r="441" spans="1:19">
      <c r="A441" s="9" t="s">
        <v>23</v>
      </c>
      <c r="B441" s="9" t="s">
        <v>33</v>
      </c>
      <c r="C441" s="9" t="s">
        <v>130</v>
      </c>
      <c r="D441" t="s">
        <v>204</v>
      </c>
      <c r="F441" s="12" t="s">
        <v>1945</v>
      </c>
      <c r="G441" s="10" t="s">
        <v>522</v>
      </c>
      <c r="H441" s="10" t="s">
        <v>522</v>
      </c>
      <c r="K441" t="s">
        <v>19</v>
      </c>
      <c r="L441" t="s">
        <v>20</v>
      </c>
      <c r="M441" s="9">
        <v>700991</v>
      </c>
      <c r="N441" t="s">
        <v>3477</v>
      </c>
      <c r="O441">
        <v>18</v>
      </c>
      <c r="P441" t="s">
        <v>3477</v>
      </c>
      <c r="Q441">
        <v>18</v>
      </c>
      <c r="R441" s="13">
        <v>42500</v>
      </c>
      <c r="S441" s="13">
        <v>25500</v>
      </c>
    </row>
    <row r="442" spans="1:19">
      <c r="A442" s="9" t="s">
        <v>23</v>
      </c>
      <c r="B442" s="9" t="s">
        <v>33</v>
      </c>
      <c r="C442" s="9" t="s">
        <v>131</v>
      </c>
      <c r="D442" t="s">
        <v>204</v>
      </c>
      <c r="F442" s="12" t="s">
        <v>1946</v>
      </c>
      <c r="G442" s="10" t="s">
        <v>523</v>
      </c>
      <c r="H442" s="10" t="s">
        <v>523</v>
      </c>
      <c r="K442" t="s">
        <v>19</v>
      </c>
      <c r="L442" t="s">
        <v>20</v>
      </c>
      <c r="M442" s="9">
        <v>700991</v>
      </c>
      <c r="N442" t="s">
        <v>3477</v>
      </c>
      <c r="O442">
        <v>18</v>
      </c>
      <c r="P442" t="s">
        <v>3477</v>
      </c>
      <c r="Q442">
        <v>18</v>
      </c>
      <c r="R442" s="13">
        <v>49500</v>
      </c>
      <c r="S442" s="13">
        <v>29700</v>
      </c>
    </row>
    <row r="443" spans="1:19">
      <c r="A443" s="9" t="s">
        <v>23</v>
      </c>
      <c r="B443" s="9" t="s">
        <v>33</v>
      </c>
      <c r="C443" s="9" t="s">
        <v>129</v>
      </c>
      <c r="D443" t="s">
        <v>204</v>
      </c>
      <c r="F443" s="12" t="s">
        <v>1947</v>
      </c>
      <c r="G443" s="10" t="s">
        <v>524</v>
      </c>
      <c r="H443" s="10" t="s">
        <v>524</v>
      </c>
      <c r="K443" t="s">
        <v>19</v>
      </c>
      <c r="L443" t="s">
        <v>20</v>
      </c>
      <c r="M443" s="9">
        <v>700991</v>
      </c>
      <c r="N443" t="s">
        <v>3477</v>
      </c>
      <c r="O443">
        <v>18</v>
      </c>
      <c r="P443" t="s">
        <v>3477</v>
      </c>
      <c r="Q443">
        <v>18</v>
      </c>
      <c r="R443" s="13">
        <v>59900</v>
      </c>
      <c r="S443" s="13">
        <v>35940</v>
      </c>
    </row>
    <row r="444" spans="1:19">
      <c r="A444" s="9" t="s">
        <v>23</v>
      </c>
      <c r="B444" s="9" t="s">
        <v>26</v>
      </c>
      <c r="C444" s="9" t="s">
        <v>128</v>
      </c>
      <c r="D444" t="s">
        <v>204</v>
      </c>
      <c r="F444" s="12" t="s">
        <v>1948</v>
      </c>
      <c r="G444" s="10" t="s">
        <v>525</v>
      </c>
      <c r="H444" s="10" t="s">
        <v>525</v>
      </c>
      <c r="K444" t="s">
        <v>19</v>
      </c>
      <c r="L444" t="s">
        <v>20</v>
      </c>
      <c r="M444" s="9">
        <v>69101</v>
      </c>
      <c r="N444" t="s">
        <v>3477</v>
      </c>
      <c r="O444">
        <v>18</v>
      </c>
      <c r="P444" t="s">
        <v>3477</v>
      </c>
      <c r="Q444">
        <v>18</v>
      </c>
      <c r="R444" s="13">
        <v>483260</v>
      </c>
      <c r="S444" s="13">
        <v>289956</v>
      </c>
    </row>
    <row r="445" spans="1:19">
      <c r="A445" s="9" t="s">
        <v>23</v>
      </c>
      <c r="B445" s="9" t="s">
        <v>27</v>
      </c>
      <c r="C445" s="9" t="s">
        <v>48</v>
      </c>
      <c r="D445" t="s">
        <v>204</v>
      </c>
      <c r="F445" s="12" t="s">
        <v>1949</v>
      </c>
      <c r="G445" s="10" t="s">
        <v>526</v>
      </c>
      <c r="H445" s="10" t="s">
        <v>526</v>
      </c>
      <c r="K445" t="s">
        <v>19</v>
      </c>
      <c r="L445" t="s">
        <v>20</v>
      </c>
      <c r="M445" s="9">
        <v>8481802</v>
      </c>
      <c r="N445" t="s">
        <v>3477</v>
      </c>
      <c r="O445">
        <v>18</v>
      </c>
      <c r="P445" t="s">
        <v>3477</v>
      </c>
      <c r="Q445">
        <v>18</v>
      </c>
      <c r="R445" s="13">
        <v>25000</v>
      </c>
      <c r="S445" s="13">
        <v>15000</v>
      </c>
    </row>
    <row r="446" spans="1:19">
      <c r="A446" s="9" t="s">
        <v>23</v>
      </c>
      <c r="B446" s="9" t="s">
        <v>27</v>
      </c>
      <c r="C446" s="9" t="s">
        <v>49</v>
      </c>
      <c r="D446" t="s">
        <v>204</v>
      </c>
      <c r="F446" s="12" t="s">
        <v>1950</v>
      </c>
      <c r="G446" s="10" t="s">
        <v>527</v>
      </c>
      <c r="H446" s="10" t="s">
        <v>527</v>
      </c>
      <c r="K446" t="s">
        <v>19</v>
      </c>
      <c r="L446" t="s">
        <v>20</v>
      </c>
      <c r="M446" s="9">
        <v>8481802</v>
      </c>
      <c r="N446" t="s">
        <v>3477</v>
      </c>
      <c r="O446">
        <v>18</v>
      </c>
      <c r="P446" t="s">
        <v>3477</v>
      </c>
      <c r="Q446">
        <v>18</v>
      </c>
      <c r="R446" s="13">
        <v>31250</v>
      </c>
      <c r="S446" s="13">
        <v>18750</v>
      </c>
    </row>
    <row r="447" spans="1:19">
      <c r="A447" s="9" t="s">
        <v>22</v>
      </c>
      <c r="B447" s="9" t="s">
        <v>26</v>
      </c>
      <c r="C447" s="9" t="s">
        <v>81</v>
      </c>
      <c r="D447" t="s">
        <v>204</v>
      </c>
      <c r="F447" s="12" t="s">
        <v>1951</v>
      </c>
      <c r="G447" s="10" t="s">
        <v>528</v>
      </c>
      <c r="H447" s="10" t="s">
        <v>528</v>
      </c>
      <c r="K447" t="s">
        <v>19</v>
      </c>
      <c r="L447" t="s">
        <v>20</v>
      </c>
      <c r="M447" s="9">
        <v>69101</v>
      </c>
      <c r="N447" t="s">
        <v>3477</v>
      </c>
      <c r="O447">
        <v>18</v>
      </c>
      <c r="P447" t="s">
        <v>3477</v>
      </c>
      <c r="Q447">
        <v>18</v>
      </c>
      <c r="R447" s="13">
        <v>10840</v>
      </c>
      <c r="S447" s="13">
        <v>7587.9999999999991</v>
      </c>
    </row>
    <row r="448" spans="1:19">
      <c r="A448" s="9" t="s">
        <v>22</v>
      </c>
      <c r="B448" s="9" t="s">
        <v>27</v>
      </c>
      <c r="C448" s="9" t="s">
        <v>48</v>
      </c>
      <c r="D448" t="s">
        <v>204</v>
      </c>
      <c r="F448" s="12" t="s">
        <v>1952</v>
      </c>
      <c r="G448" s="10" t="s">
        <v>528</v>
      </c>
      <c r="H448" s="10" t="s">
        <v>528</v>
      </c>
      <c r="K448" t="s">
        <v>19</v>
      </c>
      <c r="L448" t="s">
        <v>20</v>
      </c>
      <c r="M448" s="9">
        <v>8481802</v>
      </c>
      <c r="N448" t="s">
        <v>3477</v>
      </c>
      <c r="O448">
        <v>18</v>
      </c>
      <c r="P448" t="s">
        <v>3477</v>
      </c>
      <c r="Q448">
        <v>18</v>
      </c>
      <c r="R448" s="13">
        <v>20000</v>
      </c>
      <c r="S448" s="13">
        <v>14000</v>
      </c>
    </row>
    <row r="449" spans="1:19">
      <c r="A449" s="9" t="s">
        <v>22</v>
      </c>
      <c r="B449" s="9" t="s">
        <v>27</v>
      </c>
      <c r="C449" s="9" t="s">
        <v>48</v>
      </c>
      <c r="D449" t="s">
        <v>204</v>
      </c>
      <c r="F449" s="12" t="s">
        <v>1953</v>
      </c>
      <c r="G449" s="10" t="s">
        <v>528</v>
      </c>
      <c r="H449" s="10" t="s">
        <v>528</v>
      </c>
      <c r="K449" t="s">
        <v>19</v>
      </c>
      <c r="L449" t="s">
        <v>20</v>
      </c>
      <c r="M449" s="9">
        <v>8481802</v>
      </c>
      <c r="N449" t="s">
        <v>3477</v>
      </c>
      <c r="O449">
        <v>18</v>
      </c>
      <c r="P449" t="s">
        <v>3477</v>
      </c>
      <c r="Q449">
        <v>18</v>
      </c>
      <c r="R449" s="13">
        <v>22400</v>
      </c>
      <c r="S449" s="13">
        <v>15679.999999999998</v>
      </c>
    </row>
    <row r="450" spans="1:19">
      <c r="A450" s="9" t="s">
        <v>22</v>
      </c>
      <c r="B450" s="9" t="s">
        <v>27</v>
      </c>
      <c r="C450" s="9" t="s">
        <v>48</v>
      </c>
      <c r="D450" t="s">
        <v>204</v>
      </c>
      <c r="F450" s="12" t="s">
        <v>1954</v>
      </c>
      <c r="G450" s="10" t="s">
        <v>528</v>
      </c>
      <c r="H450" s="10" t="s">
        <v>528</v>
      </c>
      <c r="K450" t="s">
        <v>19</v>
      </c>
      <c r="L450" t="s">
        <v>20</v>
      </c>
      <c r="M450" s="9">
        <v>8481802</v>
      </c>
      <c r="N450" t="s">
        <v>3477</v>
      </c>
      <c r="O450">
        <v>18</v>
      </c>
      <c r="P450" t="s">
        <v>3477</v>
      </c>
      <c r="Q450">
        <v>18</v>
      </c>
      <c r="R450" s="13">
        <v>15000</v>
      </c>
      <c r="S450" s="13">
        <v>10500</v>
      </c>
    </row>
    <row r="451" spans="1:19">
      <c r="A451" s="9" t="s">
        <v>22</v>
      </c>
      <c r="B451" s="9" t="s">
        <v>27</v>
      </c>
      <c r="C451" s="9" t="s">
        <v>48</v>
      </c>
      <c r="D451" t="s">
        <v>204</v>
      </c>
      <c r="F451" s="12" t="s">
        <v>1955</v>
      </c>
      <c r="G451" s="10" t="s">
        <v>528</v>
      </c>
      <c r="H451" s="10" t="s">
        <v>528</v>
      </c>
      <c r="K451" t="s">
        <v>19</v>
      </c>
      <c r="L451" t="s">
        <v>20</v>
      </c>
      <c r="M451" s="9">
        <v>8481802</v>
      </c>
      <c r="N451" t="s">
        <v>3477</v>
      </c>
      <c r="O451">
        <v>18</v>
      </c>
      <c r="P451" t="s">
        <v>3477</v>
      </c>
      <c r="Q451">
        <v>18</v>
      </c>
      <c r="R451" s="13">
        <v>24000</v>
      </c>
      <c r="S451" s="13">
        <v>16800</v>
      </c>
    </row>
    <row r="452" spans="1:19">
      <c r="A452" s="9" t="s">
        <v>22</v>
      </c>
      <c r="B452" s="9" t="s">
        <v>27</v>
      </c>
      <c r="C452" s="9" t="s">
        <v>48</v>
      </c>
      <c r="D452" t="s">
        <v>204</v>
      </c>
      <c r="F452" s="12" t="s">
        <v>1956</v>
      </c>
      <c r="G452" s="10" t="s">
        <v>528</v>
      </c>
      <c r="H452" s="10" t="s">
        <v>528</v>
      </c>
      <c r="K452" t="s">
        <v>19</v>
      </c>
      <c r="L452" t="s">
        <v>20</v>
      </c>
      <c r="M452" s="9">
        <v>8481802</v>
      </c>
      <c r="N452" t="s">
        <v>3477</v>
      </c>
      <c r="O452">
        <v>18</v>
      </c>
      <c r="P452" t="s">
        <v>3477</v>
      </c>
      <c r="Q452">
        <v>18</v>
      </c>
      <c r="R452" s="13">
        <v>24000</v>
      </c>
      <c r="S452" s="13">
        <v>16800</v>
      </c>
    </row>
    <row r="453" spans="1:19">
      <c r="A453" s="9" t="s">
        <v>22</v>
      </c>
      <c r="B453" s="9" t="s">
        <v>27</v>
      </c>
      <c r="C453" s="9" t="s">
        <v>48</v>
      </c>
      <c r="D453" t="s">
        <v>204</v>
      </c>
      <c r="F453" s="12" t="s">
        <v>1957</v>
      </c>
      <c r="G453" s="10" t="s">
        <v>528</v>
      </c>
      <c r="H453" s="10" t="s">
        <v>528</v>
      </c>
      <c r="K453" t="s">
        <v>19</v>
      </c>
      <c r="L453" t="s">
        <v>20</v>
      </c>
      <c r="M453" s="9">
        <v>8481802</v>
      </c>
      <c r="N453" t="s">
        <v>3477</v>
      </c>
      <c r="O453">
        <v>18</v>
      </c>
      <c r="P453" t="s">
        <v>3477</v>
      </c>
      <c r="Q453">
        <v>18</v>
      </c>
      <c r="R453" s="13">
        <v>16000</v>
      </c>
      <c r="S453" s="13">
        <v>11200</v>
      </c>
    </row>
    <row r="454" spans="1:19">
      <c r="A454" s="9" t="s">
        <v>22</v>
      </c>
      <c r="B454" s="9" t="s">
        <v>27</v>
      </c>
      <c r="C454" s="9" t="s">
        <v>48</v>
      </c>
      <c r="D454" t="s">
        <v>204</v>
      </c>
      <c r="F454" s="12" t="s">
        <v>1958</v>
      </c>
      <c r="G454" s="10" t="s">
        <v>529</v>
      </c>
      <c r="H454" s="10" t="s">
        <v>529</v>
      </c>
      <c r="K454" t="s">
        <v>19</v>
      </c>
      <c r="L454" t="s">
        <v>20</v>
      </c>
      <c r="M454" s="9">
        <v>8481802</v>
      </c>
      <c r="N454" t="s">
        <v>3477</v>
      </c>
      <c r="O454">
        <v>18</v>
      </c>
      <c r="P454" t="s">
        <v>3477</v>
      </c>
      <c r="Q454">
        <v>18</v>
      </c>
      <c r="R454" s="13">
        <v>22400</v>
      </c>
      <c r="S454" s="13">
        <v>15679.999999999998</v>
      </c>
    </row>
    <row r="455" spans="1:19">
      <c r="A455" s="9" t="s">
        <v>22</v>
      </c>
      <c r="B455" s="9" t="s">
        <v>27</v>
      </c>
      <c r="C455" s="9" t="s">
        <v>48</v>
      </c>
      <c r="D455" t="s">
        <v>204</v>
      </c>
      <c r="F455" s="12" t="s">
        <v>1959</v>
      </c>
      <c r="G455" s="10" t="s">
        <v>529</v>
      </c>
      <c r="H455" s="10" t="s">
        <v>529</v>
      </c>
      <c r="K455" t="s">
        <v>19</v>
      </c>
      <c r="L455" t="s">
        <v>20</v>
      </c>
      <c r="M455" s="9">
        <v>8481802</v>
      </c>
      <c r="N455" t="s">
        <v>3477</v>
      </c>
      <c r="O455">
        <v>18</v>
      </c>
      <c r="P455" t="s">
        <v>3477</v>
      </c>
      <c r="Q455">
        <v>18</v>
      </c>
      <c r="R455" s="13">
        <v>24640</v>
      </c>
      <c r="S455" s="13">
        <v>17248</v>
      </c>
    </row>
    <row r="456" spans="1:19">
      <c r="A456" s="9" t="s">
        <v>22</v>
      </c>
      <c r="B456" s="9" t="s">
        <v>27</v>
      </c>
      <c r="C456" s="9" t="s">
        <v>48</v>
      </c>
      <c r="D456" t="s">
        <v>204</v>
      </c>
      <c r="F456" s="12" t="s">
        <v>1960</v>
      </c>
      <c r="G456" s="10" t="s">
        <v>530</v>
      </c>
      <c r="H456" s="10" t="s">
        <v>530</v>
      </c>
      <c r="K456" t="s">
        <v>19</v>
      </c>
      <c r="L456" t="s">
        <v>20</v>
      </c>
      <c r="M456" s="9">
        <v>8481802</v>
      </c>
      <c r="N456" t="s">
        <v>3477</v>
      </c>
      <c r="O456">
        <v>18</v>
      </c>
      <c r="P456" t="s">
        <v>3477</v>
      </c>
      <c r="Q456">
        <v>18</v>
      </c>
      <c r="R456" s="13">
        <v>22400</v>
      </c>
      <c r="S456" s="13">
        <v>15679.999999999998</v>
      </c>
    </row>
    <row r="457" spans="1:19">
      <c r="A457" s="9" t="s">
        <v>22</v>
      </c>
      <c r="B457" s="9" t="s">
        <v>27</v>
      </c>
      <c r="C457" s="9" t="s">
        <v>49</v>
      </c>
      <c r="D457" t="s">
        <v>204</v>
      </c>
      <c r="F457" s="12" t="s">
        <v>1961</v>
      </c>
      <c r="G457" s="10" t="s">
        <v>530</v>
      </c>
      <c r="H457" s="10" t="s">
        <v>530</v>
      </c>
      <c r="K457" t="s">
        <v>19</v>
      </c>
      <c r="L457" t="s">
        <v>20</v>
      </c>
      <c r="M457" s="9">
        <v>8481802</v>
      </c>
      <c r="N457" t="s">
        <v>3477</v>
      </c>
      <c r="O457">
        <v>18</v>
      </c>
      <c r="P457" t="s">
        <v>3477</v>
      </c>
      <c r="Q457">
        <v>18</v>
      </c>
      <c r="R457" s="13">
        <v>25000</v>
      </c>
      <c r="S457" s="13">
        <v>17500</v>
      </c>
    </row>
    <row r="458" spans="1:19">
      <c r="A458" s="9" t="s">
        <v>22</v>
      </c>
      <c r="B458" s="9" t="s">
        <v>27</v>
      </c>
      <c r="C458" s="9" t="s">
        <v>49</v>
      </c>
      <c r="D458" t="s">
        <v>204</v>
      </c>
      <c r="F458" s="12" t="s">
        <v>1962</v>
      </c>
      <c r="G458" s="10" t="s">
        <v>530</v>
      </c>
      <c r="H458" s="10" t="s">
        <v>530</v>
      </c>
      <c r="K458" t="s">
        <v>19</v>
      </c>
      <c r="L458" t="s">
        <v>20</v>
      </c>
      <c r="M458" s="9">
        <v>8481802</v>
      </c>
      <c r="N458" t="s">
        <v>3477</v>
      </c>
      <c r="O458">
        <v>18</v>
      </c>
      <c r="P458" t="s">
        <v>3477</v>
      </c>
      <c r="Q458">
        <v>18</v>
      </c>
      <c r="R458" s="13">
        <v>28000</v>
      </c>
      <c r="S458" s="13">
        <v>19600</v>
      </c>
    </row>
    <row r="459" spans="1:19">
      <c r="A459" s="9" t="s">
        <v>22</v>
      </c>
      <c r="B459" s="9" t="s">
        <v>27</v>
      </c>
      <c r="C459" s="9" t="s">
        <v>49</v>
      </c>
      <c r="D459" t="s">
        <v>204</v>
      </c>
      <c r="F459" s="12" t="s">
        <v>1963</v>
      </c>
      <c r="G459" s="10" t="s">
        <v>530</v>
      </c>
      <c r="H459" s="10" t="s">
        <v>530</v>
      </c>
      <c r="K459" t="s">
        <v>19</v>
      </c>
      <c r="L459" t="s">
        <v>20</v>
      </c>
      <c r="M459" s="9">
        <v>8481802</v>
      </c>
      <c r="N459" t="s">
        <v>3477</v>
      </c>
      <c r="O459">
        <v>18</v>
      </c>
      <c r="P459" t="s">
        <v>3477</v>
      </c>
      <c r="Q459">
        <v>18</v>
      </c>
      <c r="R459" s="13">
        <v>18750</v>
      </c>
      <c r="S459" s="13">
        <v>13125</v>
      </c>
    </row>
    <row r="460" spans="1:19">
      <c r="A460" s="9" t="s">
        <v>22</v>
      </c>
      <c r="B460" s="9" t="s">
        <v>27</v>
      </c>
      <c r="C460" s="9" t="s">
        <v>49</v>
      </c>
      <c r="D460" t="s">
        <v>204</v>
      </c>
      <c r="F460" s="12" t="s">
        <v>1964</v>
      </c>
      <c r="G460" s="10" t="s">
        <v>530</v>
      </c>
      <c r="H460" s="10" t="s">
        <v>530</v>
      </c>
      <c r="K460" t="s">
        <v>19</v>
      </c>
      <c r="L460" t="s">
        <v>20</v>
      </c>
      <c r="M460" s="9">
        <v>8481802</v>
      </c>
      <c r="N460" t="s">
        <v>3477</v>
      </c>
      <c r="O460">
        <v>18</v>
      </c>
      <c r="P460" t="s">
        <v>3477</v>
      </c>
      <c r="Q460">
        <v>18</v>
      </c>
      <c r="R460" s="13">
        <v>30000</v>
      </c>
      <c r="S460" s="13">
        <v>21000</v>
      </c>
    </row>
    <row r="461" spans="1:19">
      <c r="A461" s="9" t="s">
        <v>22</v>
      </c>
      <c r="B461" s="9" t="s">
        <v>27</v>
      </c>
      <c r="C461" s="9" t="s">
        <v>49</v>
      </c>
      <c r="D461" t="s">
        <v>204</v>
      </c>
      <c r="F461" s="12" t="s">
        <v>1965</v>
      </c>
      <c r="G461" s="10" t="s">
        <v>530</v>
      </c>
      <c r="H461" s="10" t="s">
        <v>530</v>
      </c>
      <c r="K461" t="s">
        <v>19</v>
      </c>
      <c r="L461" t="s">
        <v>20</v>
      </c>
      <c r="M461" s="9">
        <v>8481802</v>
      </c>
      <c r="N461" t="s">
        <v>3477</v>
      </c>
      <c r="O461">
        <v>18</v>
      </c>
      <c r="P461" t="s">
        <v>3477</v>
      </c>
      <c r="Q461">
        <v>18</v>
      </c>
      <c r="R461" s="13">
        <v>30000</v>
      </c>
      <c r="S461" s="13">
        <v>21000</v>
      </c>
    </row>
    <row r="462" spans="1:19">
      <c r="A462" s="9" t="s">
        <v>22</v>
      </c>
      <c r="B462" s="9" t="s">
        <v>27</v>
      </c>
      <c r="C462" s="9" t="s">
        <v>49</v>
      </c>
      <c r="D462" t="s">
        <v>204</v>
      </c>
      <c r="F462" s="12" t="s">
        <v>1966</v>
      </c>
      <c r="G462" s="10" t="s">
        <v>530</v>
      </c>
      <c r="H462" s="10" t="s">
        <v>530</v>
      </c>
      <c r="K462" t="s">
        <v>19</v>
      </c>
      <c r="L462" t="s">
        <v>20</v>
      </c>
      <c r="M462" s="9">
        <v>8481802</v>
      </c>
      <c r="N462" t="s">
        <v>3477</v>
      </c>
      <c r="O462">
        <v>18</v>
      </c>
      <c r="P462" t="s">
        <v>3477</v>
      </c>
      <c r="Q462">
        <v>18</v>
      </c>
      <c r="R462" s="13">
        <v>20000</v>
      </c>
      <c r="S462" s="13">
        <v>14000</v>
      </c>
    </row>
    <row r="463" spans="1:19">
      <c r="A463" s="9" t="s">
        <v>22</v>
      </c>
      <c r="B463" s="9" t="s">
        <v>27</v>
      </c>
      <c r="C463" s="9" t="s">
        <v>49</v>
      </c>
      <c r="D463" t="s">
        <v>204</v>
      </c>
      <c r="F463" s="12" t="s">
        <v>1967</v>
      </c>
      <c r="G463" s="10" t="s">
        <v>531</v>
      </c>
      <c r="H463" s="10" t="s">
        <v>531</v>
      </c>
      <c r="K463" t="s">
        <v>19</v>
      </c>
      <c r="L463" t="s">
        <v>20</v>
      </c>
      <c r="M463" s="9">
        <v>8481802</v>
      </c>
      <c r="N463" t="s">
        <v>3477</v>
      </c>
      <c r="O463">
        <v>18</v>
      </c>
      <c r="P463" t="s">
        <v>3477</v>
      </c>
      <c r="Q463">
        <v>18</v>
      </c>
      <c r="R463" s="13">
        <v>28000</v>
      </c>
      <c r="S463" s="13">
        <v>19600</v>
      </c>
    </row>
    <row r="464" spans="1:19">
      <c r="A464" s="9" t="s">
        <v>22</v>
      </c>
      <c r="B464" s="9" t="s">
        <v>27</v>
      </c>
      <c r="C464" s="9" t="s">
        <v>132</v>
      </c>
      <c r="D464" t="s">
        <v>204</v>
      </c>
      <c r="F464" s="12" t="s">
        <v>1968</v>
      </c>
      <c r="G464" s="10" t="s">
        <v>532</v>
      </c>
      <c r="H464" s="10" t="s">
        <v>532</v>
      </c>
      <c r="K464" t="s">
        <v>19</v>
      </c>
      <c r="L464" t="s">
        <v>20</v>
      </c>
      <c r="M464" s="9">
        <v>8481802</v>
      </c>
      <c r="N464" t="s">
        <v>3477</v>
      </c>
      <c r="O464">
        <v>18</v>
      </c>
      <c r="P464" t="s">
        <v>3477</v>
      </c>
      <c r="Q464">
        <v>18</v>
      </c>
      <c r="R464" s="13">
        <v>38005</v>
      </c>
      <c r="S464" s="13">
        <v>26603.5</v>
      </c>
    </row>
    <row r="465" spans="1:19">
      <c r="A465" s="9" t="s">
        <v>22</v>
      </c>
      <c r="B465" s="9" t="s">
        <v>27</v>
      </c>
      <c r="C465" s="9" t="s">
        <v>49</v>
      </c>
      <c r="D465" t="s">
        <v>204</v>
      </c>
      <c r="F465" s="12" t="s">
        <v>1969</v>
      </c>
      <c r="G465" s="10" t="s">
        <v>533</v>
      </c>
      <c r="H465" s="10" t="s">
        <v>533</v>
      </c>
      <c r="K465" t="s">
        <v>19</v>
      </c>
      <c r="L465" t="s">
        <v>20</v>
      </c>
      <c r="M465" s="9">
        <v>8481802</v>
      </c>
      <c r="N465" t="s">
        <v>3477</v>
      </c>
      <c r="O465">
        <v>18</v>
      </c>
      <c r="P465" t="s">
        <v>3477</v>
      </c>
      <c r="Q465">
        <v>18</v>
      </c>
      <c r="R465" s="13">
        <v>28348</v>
      </c>
      <c r="S465" s="13">
        <v>19843.599999999999</v>
      </c>
    </row>
    <row r="466" spans="1:19">
      <c r="A466" s="9" t="s">
        <v>22</v>
      </c>
      <c r="B466" s="9" t="s">
        <v>27</v>
      </c>
      <c r="C466" s="9" t="s">
        <v>118</v>
      </c>
      <c r="D466" t="s">
        <v>204</v>
      </c>
      <c r="F466" s="12" t="s">
        <v>1970</v>
      </c>
      <c r="G466" s="10" t="s">
        <v>534</v>
      </c>
      <c r="H466" s="10" t="s">
        <v>534</v>
      </c>
      <c r="K466" t="s">
        <v>19</v>
      </c>
      <c r="L466" t="s">
        <v>20</v>
      </c>
      <c r="M466" s="9">
        <v>8481802</v>
      </c>
      <c r="N466" t="s">
        <v>3477</v>
      </c>
      <c r="O466">
        <v>18</v>
      </c>
      <c r="P466" t="s">
        <v>3477</v>
      </c>
      <c r="Q466">
        <v>18</v>
      </c>
      <c r="R466" s="13">
        <v>7790</v>
      </c>
      <c r="S466" s="13">
        <v>5453</v>
      </c>
    </row>
    <row r="467" spans="1:19">
      <c r="A467" s="9" t="s">
        <v>22</v>
      </c>
      <c r="B467" s="9" t="s">
        <v>27</v>
      </c>
      <c r="C467" s="9" t="s">
        <v>104</v>
      </c>
      <c r="D467" t="s">
        <v>204</v>
      </c>
      <c r="F467" s="12" t="s">
        <v>1971</v>
      </c>
      <c r="G467" s="10" t="s">
        <v>535</v>
      </c>
      <c r="H467" s="10" t="s">
        <v>535</v>
      </c>
      <c r="K467" t="s">
        <v>19</v>
      </c>
      <c r="L467" t="s">
        <v>20</v>
      </c>
      <c r="M467" s="9">
        <v>8481802</v>
      </c>
      <c r="N467" t="s">
        <v>3477</v>
      </c>
      <c r="O467">
        <v>18</v>
      </c>
      <c r="P467" t="s">
        <v>3477</v>
      </c>
      <c r="Q467">
        <v>18</v>
      </c>
      <c r="R467" s="13">
        <v>9740</v>
      </c>
      <c r="S467" s="13">
        <v>6818</v>
      </c>
    </row>
    <row r="468" spans="1:19">
      <c r="A468" s="9" t="s">
        <v>22</v>
      </c>
      <c r="B468" s="9" t="s">
        <v>27</v>
      </c>
      <c r="C468" s="9" t="s">
        <v>117</v>
      </c>
      <c r="D468" t="s">
        <v>204</v>
      </c>
      <c r="F468" s="12" t="s">
        <v>1972</v>
      </c>
      <c r="G468" s="10" t="s">
        <v>535</v>
      </c>
      <c r="H468" s="10" t="s">
        <v>535</v>
      </c>
      <c r="K468" t="s">
        <v>19</v>
      </c>
      <c r="L468" t="s">
        <v>20</v>
      </c>
      <c r="M468" s="9">
        <v>8481802</v>
      </c>
      <c r="N468" t="s">
        <v>3477</v>
      </c>
      <c r="O468">
        <v>18</v>
      </c>
      <c r="P468" t="s">
        <v>3477</v>
      </c>
      <c r="Q468">
        <v>18</v>
      </c>
      <c r="R468" s="13">
        <v>30800</v>
      </c>
      <c r="S468" s="13">
        <v>21560</v>
      </c>
    </row>
    <row r="469" spans="1:19">
      <c r="A469" s="9" t="s">
        <v>22</v>
      </c>
      <c r="B469" s="9" t="s">
        <v>27</v>
      </c>
      <c r="C469" s="9" t="s">
        <v>114</v>
      </c>
      <c r="D469" t="s">
        <v>204</v>
      </c>
      <c r="F469" s="12" t="s">
        <v>1973</v>
      </c>
      <c r="G469" s="10" t="s">
        <v>536</v>
      </c>
      <c r="H469" s="10" t="s">
        <v>536</v>
      </c>
      <c r="K469" t="s">
        <v>19</v>
      </c>
      <c r="L469" t="s">
        <v>20</v>
      </c>
      <c r="M469" s="9">
        <v>8481802</v>
      </c>
      <c r="N469" t="s">
        <v>3477</v>
      </c>
      <c r="O469">
        <v>18</v>
      </c>
      <c r="P469" t="s">
        <v>3477</v>
      </c>
      <c r="Q469">
        <v>18</v>
      </c>
      <c r="R469" s="13">
        <v>28000</v>
      </c>
      <c r="S469" s="13">
        <v>19600</v>
      </c>
    </row>
    <row r="470" spans="1:19">
      <c r="A470" s="9" t="s">
        <v>22</v>
      </c>
      <c r="B470" s="9" t="s">
        <v>27</v>
      </c>
      <c r="C470" s="9" t="s">
        <v>114</v>
      </c>
      <c r="D470" t="s">
        <v>204</v>
      </c>
      <c r="F470" s="12" t="s">
        <v>1974</v>
      </c>
      <c r="G470" s="10" t="s">
        <v>537</v>
      </c>
      <c r="H470" s="10" t="s">
        <v>537</v>
      </c>
      <c r="K470" t="s">
        <v>19</v>
      </c>
      <c r="L470" t="s">
        <v>20</v>
      </c>
      <c r="M470" s="9">
        <v>8481802</v>
      </c>
      <c r="N470" t="s">
        <v>3477</v>
      </c>
      <c r="O470">
        <v>18</v>
      </c>
      <c r="P470" t="s">
        <v>3477</v>
      </c>
      <c r="Q470">
        <v>18</v>
      </c>
      <c r="R470" s="13">
        <v>19250</v>
      </c>
      <c r="S470" s="13">
        <v>13475</v>
      </c>
    </row>
    <row r="471" spans="1:19">
      <c r="A471" s="9" t="s">
        <v>22</v>
      </c>
      <c r="B471" s="9" t="s">
        <v>27</v>
      </c>
      <c r="C471" s="9" t="s">
        <v>114</v>
      </c>
      <c r="D471" t="s">
        <v>204</v>
      </c>
      <c r="F471" s="12" t="s">
        <v>1975</v>
      </c>
      <c r="G471" s="10" t="s">
        <v>538</v>
      </c>
      <c r="H471" s="10" t="s">
        <v>538</v>
      </c>
      <c r="K471" t="s">
        <v>19</v>
      </c>
      <c r="L471" t="s">
        <v>20</v>
      </c>
      <c r="M471" s="9">
        <v>8481802</v>
      </c>
      <c r="N471" t="s">
        <v>3477</v>
      </c>
      <c r="O471">
        <v>18</v>
      </c>
      <c r="P471" t="s">
        <v>3477</v>
      </c>
      <c r="Q471">
        <v>18</v>
      </c>
      <c r="R471" s="13">
        <v>21560</v>
      </c>
      <c r="S471" s="13">
        <v>15091.999999999998</v>
      </c>
    </row>
    <row r="472" spans="1:19">
      <c r="A472" s="9" t="s">
        <v>22</v>
      </c>
      <c r="B472" s="9" t="s">
        <v>27</v>
      </c>
      <c r="C472" s="9" t="s">
        <v>114</v>
      </c>
      <c r="D472" t="s">
        <v>204</v>
      </c>
      <c r="F472" s="12" t="s">
        <v>1976</v>
      </c>
      <c r="G472" s="10" t="s">
        <v>539</v>
      </c>
      <c r="H472" s="10" t="s">
        <v>539</v>
      </c>
      <c r="K472" t="s">
        <v>19</v>
      </c>
      <c r="L472" t="s">
        <v>20</v>
      </c>
      <c r="M472" s="9">
        <v>8481802</v>
      </c>
      <c r="N472" t="s">
        <v>3477</v>
      </c>
      <c r="O472">
        <v>18</v>
      </c>
      <c r="P472" t="s">
        <v>3477</v>
      </c>
      <c r="Q472">
        <v>18</v>
      </c>
      <c r="R472" s="13">
        <v>15400</v>
      </c>
      <c r="S472" s="13">
        <v>10780</v>
      </c>
    </row>
    <row r="473" spans="1:19">
      <c r="A473" s="9" t="s">
        <v>22</v>
      </c>
      <c r="B473" s="9" t="s">
        <v>27</v>
      </c>
      <c r="C473" s="9" t="s">
        <v>95</v>
      </c>
      <c r="D473" t="s">
        <v>204</v>
      </c>
      <c r="F473" s="12" t="s">
        <v>1977</v>
      </c>
      <c r="G473" s="10" t="s">
        <v>540</v>
      </c>
      <c r="H473" s="10" t="s">
        <v>540</v>
      </c>
      <c r="K473" t="s">
        <v>19</v>
      </c>
      <c r="L473" t="s">
        <v>20</v>
      </c>
      <c r="M473" s="9">
        <v>8481909</v>
      </c>
      <c r="N473" t="s">
        <v>3477</v>
      </c>
      <c r="O473">
        <v>18</v>
      </c>
      <c r="P473" t="s">
        <v>3477</v>
      </c>
      <c r="Q473">
        <v>18</v>
      </c>
      <c r="R473" s="13">
        <v>6620</v>
      </c>
      <c r="S473" s="13">
        <v>4634</v>
      </c>
    </row>
    <row r="474" spans="1:19">
      <c r="A474" s="9" t="s">
        <v>22</v>
      </c>
      <c r="B474" s="9" t="s">
        <v>27</v>
      </c>
      <c r="C474" s="9" t="s">
        <v>95</v>
      </c>
      <c r="D474" t="s">
        <v>204</v>
      </c>
      <c r="F474" s="12" t="s">
        <v>1978</v>
      </c>
      <c r="G474" s="10" t="s">
        <v>541</v>
      </c>
      <c r="H474" s="10" t="s">
        <v>541</v>
      </c>
      <c r="K474" t="s">
        <v>19</v>
      </c>
      <c r="L474" t="s">
        <v>20</v>
      </c>
      <c r="M474" s="9">
        <v>8481909</v>
      </c>
      <c r="N474" t="s">
        <v>3477</v>
      </c>
      <c r="O474">
        <v>18</v>
      </c>
      <c r="P474" t="s">
        <v>3477</v>
      </c>
      <c r="Q474">
        <v>18</v>
      </c>
      <c r="R474" s="13">
        <v>9780</v>
      </c>
      <c r="S474" s="13">
        <v>6846</v>
      </c>
    </row>
    <row r="475" spans="1:19">
      <c r="A475" s="9" t="s">
        <v>22</v>
      </c>
      <c r="B475" s="9" t="s">
        <v>27</v>
      </c>
      <c r="C475" s="9" t="s">
        <v>95</v>
      </c>
      <c r="D475" t="s">
        <v>204</v>
      </c>
      <c r="F475" s="12" t="s">
        <v>1979</v>
      </c>
      <c r="G475" s="10" t="s">
        <v>541</v>
      </c>
      <c r="H475" s="10" t="s">
        <v>541</v>
      </c>
      <c r="K475" t="s">
        <v>19</v>
      </c>
      <c r="L475" t="s">
        <v>20</v>
      </c>
      <c r="M475" s="9">
        <v>8481909</v>
      </c>
      <c r="N475" t="s">
        <v>3477</v>
      </c>
      <c r="O475">
        <v>18</v>
      </c>
      <c r="P475" t="s">
        <v>3477</v>
      </c>
      <c r="Q475">
        <v>18</v>
      </c>
      <c r="R475" s="13">
        <v>13480</v>
      </c>
      <c r="S475" s="13">
        <v>9436</v>
      </c>
    </row>
    <row r="476" spans="1:19">
      <c r="A476" s="9" t="s">
        <v>22</v>
      </c>
      <c r="B476" s="9" t="s">
        <v>27</v>
      </c>
      <c r="C476" s="9" t="s">
        <v>95</v>
      </c>
      <c r="D476" t="s">
        <v>204</v>
      </c>
      <c r="F476" s="12" t="s">
        <v>1980</v>
      </c>
      <c r="G476" s="10" t="s">
        <v>541</v>
      </c>
      <c r="H476" s="10" t="s">
        <v>541</v>
      </c>
      <c r="K476" t="s">
        <v>19</v>
      </c>
      <c r="L476" t="s">
        <v>20</v>
      </c>
      <c r="M476" s="9">
        <v>8481909</v>
      </c>
      <c r="N476" t="s">
        <v>3477</v>
      </c>
      <c r="O476">
        <v>18</v>
      </c>
      <c r="P476" t="s">
        <v>3477</v>
      </c>
      <c r="Q476">
        <v>18</v>
      </c>
      <c r="R476" s="13">
        <v>17170</v>
      </c>
      <c r="S476" s="13">
        <v>12019</v>
      </c>
    </row>
    <row r="477" spans="1:19">
      <c r="A477" s="9" t="s">
        <v>22</v>
      </c>
      <c r="B477" s="9" t="s">
        <v>27</v>
      </c>
      <c r="C477" s="9" t="s">
        <v>133</v>
      </c>
      <c r="D477" t="s">
        <v>204</v>
      </c>
      <c r="F477" s="12" t="s">
        <v>1981</v>
      </c>
      <c r="G477" s="10" t="s">
        <v>541</v>
      </c>
      <c r="H477" s="10" t="s">
        <v>541</v>
      </c>
      <c r="K477" t="s">
        <v>19</v>
      </c>
      <c r="L477" t="s">
        <v>20</v>
      </c>
      <c r="M477" s="9">
        <v>8481909</v>
      </c>
      <c r="N477" t="s">
        <v>3477</v>
      </c>
      <c r="O477">
        <v>18</v>
      </c>
      <c r="P477" t="s">
        <v>3477</v>
      </c>
      <c r="Q477">
        <v>18</v>
      </c>
      <c r="R477" s="13">
        <v>17170</v>
      </c>
      <c r="S477" s="13">
        <v>12019</v>
      </c>
    </row>
    <row r="478" spans="1:19">
      <c r="A478" s="9" t="s">
        <v>22</v>
      </c>
      <c r="B478" s="9" t="s">
        <v>27</v>
      </c>
      <c r="C478" s="9" t="s">
        <v>95</v>
      </c>
      <c r="D478" t="s">
        <v>204</v>
      </c>
      <c r="F478" s="12" t="s">
        <v>1982</v>
      </c>
      <c r="G478" s="10" t="s">
        <v>542</v>
      </c>
      <c r="H478" s="10" t="s">
        <v>542</v>
      </c>
      <c r="K478" t="s">
        <v>19</v>
      </c>
      <c r="L478" t="s">
        <v>20</v>
      </c>
      <c r="M478" s="9">
        <v>8481909</v>
      </c>
      <c r="N478" t="s">
        <v>3477</v>
      </c>
      <c r="O478">
        <v>18</v>
      </c>
      <c r="P478" t="s">
        <v>3477</v>
      </c>
      <c r="Q478">
        <v>18</v>
      </c>
      <c r="R478" s="13">
        <v>15690</v>
      </c>
      <c r="S478" s="13">
        <v>10983</v>
      </c>
    </row>
    <row r="479" spans="1:19">
      <c r="A479" s="9" t="s">
        <v>22</v>
      </c>
      <c r="B479" s="9" t="s">
        <v>27</v>
      </c>
      <c r="C479" s="9" t="s">
        <v>50</v>
      </c>
      <c r="D479" t="s">
        <v>204</v>
      </c>
      <c r="F479" s="12" t="s">
        <v>1983</v>
      </c>
      <c r="G479" s="10" t="s">
        <v>543</v>
      </c>
      <c r="H479" s="10" t="s">
        <v>543</v>
      </c>
      <c r="K479" t="s">
        <v>19</v>
      </c>
      <c r="L479" t="s">
        <v>20</v>
      </c>
      <c r="M479" s="9">
        <v>8481802</v>
      </c>
      <c r="N479" t="s">
        <v>3477</v>
      </c>
      <c r="O479">
        <v>18</v>
      </c>
      <c r="P479" t="s">
        <v>3477</v>
      </c>
      <c r="Q479">
        <v>18</v>
      </c>
      <c r="R479" s="13">
        <v>12080</v>
      </c>
      <c r="S479" s="13">
        <v>8456</v>
      </c>
    </row>
    <row r="480" spans="1:19">
      <c r="A480" s="9" t="s">
        <v>22</v>
      </c>
      <c r="B480" s="9" t="s">
        <v>27</v>
      </c>
      <c r="C480" s="9" t="s">
        <v>95</v>
      </c>
      <c r="D480" t="s">
        <v>204</v>
      </c>
      <c r="F480" s="12" t="s">
        <v>1984</v>
      </c>
      <c r="G480" s="10" t="s">
        <v>543</v>
      </c>
      <c r="H480" s="10" t="s">
        <v>543</v>
      </c>
      <c r="K480" t="s">
        <v>19</v>
      </c>
      <c r="L480" t="s">
        <v>20</v>
      </c>
      <c r="M480" s="9">
        <v>8481909</v>
      </c>
      <c r="N480" t="s">
        <v>3477</v>
      </c>
      <c r="O480">
        <v>18</v>
      </c>
      <c r="P480" t="s">
        <v>3477</v>
      </c>
      <c r="Q480">
        <v>18</v>
      </c>
      <c r="R480" s="13">
        <v>18100</v>
      </c>
      <c r="S480" s="13">
        <v>12670</v>
      </c>
    </row>
    <row r="481" spans="1:19">
      <c r="A481" s="9" t="s">
        <v>22</v>
      </c>
      <c r="B481" s="9" t="s">
        <v>27</v>
      </c>
      <c r="C481" s="9" t="s">
        <v>95</v>
      </c>
      <c r="D481" t="s">
        <v>204</v>
      </c>
      <c r="F481" s="12" t="s">
        <v>1985</v>
      </c>
      <c r="G481" s="10" t="s">
        <v>543</v>
      </c>
      <c r="H481" s="10" t="s">
        <v>543</v>
      </c>
      <c r="K481" t="s">
        <v>19</v>
      </c>
      <c r="L481" t="s">
        <v>20</v>
      </c>
      <c r="M481" s="9">
        <v>8481909</v>
      </c>
      <c r="N481" t="s">
        <v>3477</v>
      </c>
      <c r="O481">
        <v>18</v>
      </c>
      <c r="P481" t="s">
        <v>3477</v>
      </c>
      <c r="Q481">
        <v>18</v>
      </c>
      <c r="R481" s="13">
        <v>14500</v>
      </c>
      <c r="S481" s="13">
        <v>10150</v>
      </c>
    </row>
    <row r="482" spans="1:19">
      <c r="A482" s="9" t="s">
        <v>22</v>
      </c>
      <c r="B482" s="9" t="s">
        <v>27</v>
      </c>
      <c r="C482" s="9" t="s">
        <v>95</v>
      </c>
      <c r="D482" t="s">
        <v>204</v>
      </c>
      <c r="F482" s="12" t="s">
        <v>1986</v>
      </c>
      <c r="G482" s="10" t="s">
        <v>544</v>
      </c>
      <c r="H482" s="10" t="s">
        <v>544</v>
      </c>
      <c r="K482" t="s">
        <v>19</v>
      </c>
      <c r="L482" t="s">
        <v>20</v>
      </c>
      <c r="M482" s="9">
        <v>8481802</v>
      </c>
      <c r="N482" t="s">
        <v>3477</v>
      </c>
      <c r="O482">
        <v>18</v>
      </c>
      <c r="P482" t="s">
        <v>3477</v>
      </c>
      <c r="Q482">
        <v>18</v>
      </c>
      <c r="R482" s="13">
        <v>14110</v>
      </c>
      <c r="S482" s="13">
        <v>9877</v>
      </c>
    </row>
    <row r="483" spans="1:19">
      <c r="A483" s="9" t="s">
        <v>23</v>
      </c>
      <c r="B483" s="9" t="s">
        <v>26</v>
      </c>
      <c r="C483" s="9" t="s">
        <v>81</v>
      </c>
      <c r="D483" t="s">
        <v>204</v>
      </c>
      <c r="F483" s="12" t="s">
        <v>1987</v>
      </c>
      <c r="G483" s="10" t="s">
        <v>545</v>
      </c>
      <c r="H483" s="10" t="s">
        <v>545</v>
      </c>
      <c r="K483" t="s">
        <v>19</v>
      </c>
      <c r="L483" t="s">
        <v>20</v>
      </c>
      <c r="M483" s="9">
        <v>69101</v>
      </c>
      <c r="N483" t="s">
        <v>3477</v>
      </c>
      <c r="O483">
        <v>18</v>
      </c>
      <c r="P483" t="s">
        <v>3477</v>
      </c>
      <c r="Q483">
        <v>18</v>
      </c>
      <c r="R483" s="13">
        <v>350000</v>
      </c>
      <c r="S483" s="13">
        <v>210000</v>
      </c>
    </row>
    <row r="484" spans="1:19">
      <c r="A484" s="9" t="s">
        <v>22</v>
      </c>
      <c r="B484" s="9" t="s">
        <v>27</v>
      </c>
      <c r="C484" s="9" t="s">
        <v>51</v>
      </c>
      <c r="D484" t="s">
        <v>204</v>
      </c>
      <c r="F484" s="12" t="s">
        <v>1988</v>
      </c>
      <c r="G484" s="10" t="s">
        <v>546</v>
      </c>
      <c r="H484" s="10" t="s">
        <v>546</v>
      </c>
      <c r="K484" t="s">
        <v>19</v>
      </c>
      <c r="L484" t="s">
        <v>20</v>
      </c>
      <c r="M484" s="9">
        <v>8481909</v>
      </c>
      <c r="N484" t="s">
        <v>3477</v>
      </c>
      <c r="O484">
        <v>18</v>
      </c>
      <c r="P484" t="s">
        <v>3477</v>
      </c>
      <c r="Q484">
        <v>18</v>
      </c>
      <c r="R484" s="13">
        <v>10060</v>
      </c>
      <c r="S484" s="13">
        <v>7042</v>
      </c>
    </row>
    <row r="485" spans="1:19">
      <c r="A485" s="9" t="s">
        <v>22</v>
      </c>
      <c r="B485" s="9" t="s">
        <v>27</v>
      </c>
      <c r="C485" s="9" t="s">
        <v>51</v>
      </c>
      <c r="D485" t="s">
        <v>204</v>
      </c>
      <c r="F485" s="12" t="s">
        <v>1989</v>
      </c>
      <c r="G485" s="10" t="s">
        <v>547</v>
      </c>
      <c r="H485" s="10" t="s">
        <v>547</v>
      </c>
      <c r="K485" t="s">
        <v>19</v>
      </c>
      <c r="L485" t="s">
        <v>20</v>
      </c>
      <c r="M485" s="9">
        <v>8481802</v>
      </c>
      <c r="N485" t="s">
        <v>3477</v>
      </c>
      <c r="O485">
        <v>18</v>
      </c>
      <c r="P485" t="s">
        <v>3477</v>
      </c>
      <c r="Q485">
        <v>18</v>
      </c>
      <c r="R485" s="13">
        <v>11270</v>
      </c>
      <c r="S485" s="13">
        <v>7888.9999999999991</v>
      </c>
    </row>
    <row r="486" spans="1:19">
      <c r="A486" s="9" t="s">
        <v>22</v>
      </c>
      <c r="B486" s="9" t="s">
        <v>27</v>
      </c>
      <c r="C486" s="9" t="s">
        <v>51</v>
      </c>
      <c r="D486" t="s">
        <v>204</v>
      </c>
      <c r="F486" s="12" t="s">
        <v>1990</v>
      </c>
      <c r="G486" s="10" t="s">
        <v>547</v>
      </c>
      <c r="H486" s="10" t="s">
        <v>547</v>
      </c>
      <c r="K486" t="s">
        <v>19</v>
      </c>
      <c r="L486" t="s">
        <v>20</v>
      </c>
      <c r="M486" s="9">
        <v>8481802</v>
      </c>
      <c r="N486" t="s">
        <v>3477</v>
      </c>
      <c r="O486">
        <v>18</v>
      </c>
      <c r="P486" t="s">
        <v>3477</v>
      </c>
      <c r="Q486">
        <v>18</v>
      </c>
      <c r="R486" s="13">
        <v>12080</v>
      </c>
      <c r="S486" s="13">
        <v>8456</v>
      </c>
    </row>
    <row r="487" spans="1:19">
      <c r="A487" s="9" t="s">
        <v>22</v>
      </c>
      <c r="B487" s="9" t="s">
        <v>27</v>
      </c>
      <c r="C487" s="9" t="s">
        <v>51</v>
      </c>
      <c r="D487" t="s">
        <v>204</v>
      </c>
      <c r="F487" s="12" t="s">
        <v>1991</v>
      </c>
      <c r="G487" s="10" t="s">
        <v>548</v>
      </c>
      <c r="H487" s="10" t="s">
        <v>548</v>
      </c>
      <c r="K487" t="s">
        <v>19</v>
      </c>
      <c r="L487" t="s">
        <v>20</v>
      </c>
      <c r="M487" s="9">
        <v>8481802</v>
      </c>
      <c r="N487" t="s">
        <v>3477</v>
      </c>
      <c r="O487">
        <v>18</v>
      </c>
      <c r="P487" t="s">
        <v>3477</v>
      </c>
      <c r="Q487">
        <v>18</v>
      </c>
      <c r="R487" s="13">
        <v>12080</v>
      </c>
      <c r="S487" s="13">
        <v>8456</v>
      </c>
    </row>
    <row r="488" spans="1:19">
      <c r="A488" s="9" t="s">
        <v>22</v>
      </c>
      <c r="B488" s="9" t="s">
        <v>27</v>
      </c>
      <c r="C488" s="9" t="s">
        <v>51</v>
      </c>
      <c r="D488" t="s">
        <v>204</v>
      </c>
      <c r="F488" s="12" t="s">
        <v>1992</v>
      </c>
      <c r="G488" s="10" t="s">
        <v>547</v>
      </c>
      <c r="H488" s="10" t="s">
        <v>547</v>
      </c>
      <c r="K488" t="s">
        <v>19</v>
      </c>
      <c r="L488" t="s">
        <v>20</v>
      </c>
      <c r="M488" s="9">
        <v>8481909</v>
      </c>
      <c r="N488" t="s">
        <v>3477</v>
      </c>
      <c r="O488">
        <v>18</v>
      </c>
      <c r="P488" t="s">
        <v>3477</v>
      </c>
      <c r="Q488">
        <v>18</v>
      </c>
      <c r="R488" s="13">
        <v>8050</v>
      </c>
      <c r="S488" s="13">
        <v>5635</v>
      </c>
    </row>
    <row r="489" spans="1:19">
      <c r="A489" s="9" t="s">
        <v>22</v>
      </c>
      <c r="B489" s="9" t="s">
        <v>27</v>
      </c>
      <c r="C489" s="9" t="s">
        <v>51</v>
      </c>
      <c r="D489" t="s">
        <v>204</v>
      </c>
      <c r="F489" s="12" t="s">
        <v>1993</v>
      </c>
      <c r="G489" s="10" t="s">
        <v>549</v>
      </c>
      <c r="H489" s="10" t="s">
        <v>549</v>
      </c>
      <c r="K489" t="s">
        <v>19</v>
      </c>
      <c r="L489" t="s">
        <v>20</v>
      </c>
      <c r="M489" s="9">
        <v>8481909</v>
      </c>
      <c r="N489" t="s">
        <v>3477</v>
      </c>
      <c r="O489">
        <v>18</v>
      </c>
      <c r="P489" t="s">
        <v>3477</v>
      </c>
      <c r="Q489">
        <v>18</v>
      </c>
      <c r="R489" s="13">
        <v>11270</v>
      </c>
      <c r="S489" s="13">
        <v>7888.9999999999991</v>
      </c>
    </row>
    <row r="490" spans="1:19">
      <c r="A490" s="9" t="s">
        <v>22</v>
      </c>
      <c r="B490" s="9" t="s">
        <v>27</v>
      </c>
      <c r="C490" s="9" t="s">
        <v>51</v>
      </c>
      <c r="D490" t="s">
        <v>204</v>
      </c>
      <c r="F490" s="12" t="s">
        <v>1994</v>
      </c>
      <c r="G490" s="10" t="s">
        <v>549</v>
      </c>
      <c r="H490" s="10" t="s">
        <v>549</v>
      </c>
      <c r="K490" t="s">
        <v>19</v>
      </c>
      <c r="L490" t="s">
        <v>20</v>
      </c>
      <c r="M490" s="9">
        <v>8481909</v>
      </c>
      <c r="N490" t="s">
        <v>3477</v>
      </c>
      <c r="O490">
        <v>18</v>
      </c>
      <c r="P490" t="s">
        <v>3477</v>
      </c>
      <c r="Q490">
        <v>18</v>
      </c>
      <c r="R490" s="13">
        <v>8750</v>
      </c>
      <c r="S490" s="13">
        <v>6125</v>
      </c>
    </row>
    <row r="491" spans="1:19">
      <c r="A491" s="9" t="s">
        <v>22</v>
      </c>
      <c r="B491" s="9" t="s">
        <v>27</v>
      </c>
      <c r="C491" s="9" t="s">
        <v>51</v>
      </c>
      <c r="D491" t="s">
        <v>204</v>
      </c>
      <c r="F491" s="12" t="s">
        <v>1995</v>
      </c>
      <c r="G491" s="10" t="s">
        <v>549</v>
      </c>
      <c r="H491" s="10" t="s">
        <v>549</v>
      </c>
      <c r="K491" t="s">
        <v>19</v>
      </c>
      <c r="L491" t="s">
        <v>20</v>
      </c>
      <c r="M491" s="9">
        <v>8481802</v>
      </c>
      <c r="N491" t="s">
        <v>3477</v>
      </c>
      <c r="O491">
        <v>18</v>
      </c>
      <c r="P491" t="s">
        <v>3477</v>
      </c>
      <c r="Q491">
        <v>18</v>
      </c>
      <c r="R491" s="13">
        <v>9800</v>
      </c>
      <c r="S491" s="13">
        <v>6860</v>
      </c>
    </row>
    <row r="492" spans="1:19">
      <c r="A492" s="9" t="s">
        <v>22</v>
      </c>
      <c r="B492" s="9" t="s">
        <v>27</v>
      </c>
      <c r="C492" s="9" t="s">
        <v>51</v>
      </c>
      <c r="D492" t="s">
        <v>204</v>
      </c>
      <c r="F492" s="12" t="s">
        <v>1996</v>
      </c>
      <c r="G492" s="10" t="s">
        <v>549</v>
      </c>
      <c r="H492" s="10" t="s">
        <v>549</v>
      </c>
      <c r="K492" t="s">
        <v>19</v>
      </c>
      <c r="L492" t="s">
        <v>20</v>
      </c>
      <c r="M492" s="9">
        <v>8481909</v>
      </c>
      <c r="N492" t="s">
        <v>3477</v>
      </c>
      <c r="O492">
        <v>18</v>
      </c>
      <c r="P492" t="s">
        <v>3477</v>
      </c>
      <c r="Q492">
        <v>18</v>
      </c>
      <c r="R492" s="13">
        <v>6000</v>
      </c>
      <c r="S492" s="13">
        <v>4200</v>
      </c>
    </row>
    <row r="493" spans="1:19">
      <c r="A493" s="9" t="s">
        <v>22</v>
      </c>
      <c r="B493" s="9" t="s">
        <v>27</v>
      </c>
      <c r="C493" s="9" t="s">
        <v>51</v>
      </c>
      <c r="D493" t="s">
        <v>204</v>
      </c>
      <c r="F493" s="12" t="s">
        <v>1997</v>
      </c>
      <c r="G493" s="10" t="s">
        <v>549</v>
      </c>
      <c r="H493" s="10" t="s">
        <v>549</v>
      </c>
      <c r="K493" t="s">
        <v>19</v>
      </c>
      <c r="L493" t="s">
        <v>20</v>
      </c>
      <c r="M493" s="9">
        <v>8481802</v>
      </c>
      <c r="N493" t="s">
        <v>3477</v>
      </c>
      <c r="O493">
        <v>18</v>
      </c>
      <c r="P493" t="s">
        <v>3477</v>
      </c>
      <c r="Q493">
        <v>18</v>
      </c>
      <c r="R493" s="13">
        <v>10500</v>
      </c>
      <c r="S493" s="13">
        <v>7349.9999999999991</v>
      </c>
    </row>
    <row r="494" spans="1:19">
      <c r="A494" s="9" t="s">
        <v>22</v>
      </c>
      <c r="B494" s="9" t="s">
        <v>27</v>
      </c>
      <c r="C494" s="9" t="s">
        <v>51</v>
      </c>
      <c r="D494" t="s">
        <v>204</v>
      </c>
      <c r="F494" s="12" t="s">
        <v>1998</v>
      </c>
      <c r="G494" s="10" t="s">
        <v>549</v>
      </c>
      <c r="H494" s="10" t="s">
        <v>549</v>
      </c>
      <c r="K494" t="s">
        <v>19</v>
      </c>
      <c r="L494" t="s">
        <v>20</v>
      </c>
      <c r="M494" s="9">
        <v>8481802</v>
      </c>
      <c r="N494" t="s">
        <v>3477</v>
      </c>
      <c r="O494">
        <v>18</v>
      </c>
      <c r="P494" t="s">
        <v>3477</v>
      </c>
      <c r="Q494">
        <v>18</v>
      </c>
      <c r="R494" s="13">
        <v>10500</v>
      </c>
      <c r="S494" s="13">
        <v>7349.9999999999991</v>
      </c>
    </row>
    <row r="495" spans="1:19">
      <c r="A495" s="9" t="s">
        <v>22</v>
      </c>
      <c r="B495" s="9" t="s">
        <v>27</v>
      </c>
      <c r="C495" s="9" t="s">
        <v>51</v>
      </c>
      <c r="D495" t="s">
        <v>204</v>
      </c>
      <c r="F495" s="12" t="s">
        <v>1999</v>
      </c>
      <c r="G495" s="10" t="s">
        <v>549</v>
      </c>
      <c r="H495" s="10" t="s">
        <v>549</v>
      </c>
      <c r="K495" t="s">
        <v>19</v>
      </c>
      <c r="L495" t="s">
        <v>20</v>
      </c>
      <c r="M495" s="9">
        <v>8481909</v>
      </c>
      <c r="N495" t="s">
        <v>3477</v>
      </c>
      <c r="O495">
        <v>18</v>
      </c>
      <c r="P495" t="s">
        <v>3477</v>
      </c>
      <c r="Q495">
        <v>18</v>
      </c>
      <c r="R495" s="13">
        <v>7000</v>
      </c>
      <c r="S495" s="13">
        <v>4900</v>
      </c>
    </row>
    <row r="496" spans="1:19">
      <c r="A496" s="9" t="s">
        <v>22</v>
      </c>
      <c r="B496" s="9" t="s">
        <v>27</v>
      </c>
      <c r="C496" s="9" t="s">
        <v>51</v>
      </c>
      <c r="D496" t="s">
        <v>204</v>
      </c>
      <c r="F496" s="12" t="s">
        <v>2000</v>
      </c>
      <c r="G496" s="10" t="s">
        <v>550</v>
      </c>
      <c r="H496" s="10" t="s">
        <v>550</v>
      </c>
      <c r="K496" t="s">
        <v>19</v>
      </c>
      <c r="L496" t="s">
        <v>20</v>
      </c>
      <c r="M496" s="9">
        <v>8481909</v>
      </c>
      <c r="N496" t="s">
        <v>3477</v>
      </c>
      <c r="O496">
        <v>18</v>
      </c>
      <c r="P496" t="s">
        <v>3477</v>
      </c>
      <c r="Q496">
        <v>18</v>
      </c>
      <c r="R496" s="13">
        <v>9800</v>
      </c>
      <c r="S496" s="13">
        <v>6860</v>
      </c>
    </row>
    <row r="497" spans="1:19">
      <c r="A497" s="9" t="s">
        <v>24</v>
      </c>
      <c r="B497" s="9" t="s">
        <v>27</v>
      </c>
      <c r="C497" s="9" t="s">
        <v>59</v>
      </c>
      <c r="D497" t="s">
        <v>204</v>
      </c>
      <c r="F497" s="12" t="s">
        <v>2001</v>
      </c>
      <c r="G497" s="10" t="s">
        <v>550</v>
      </c>
      <c r="H497" s="10" t="s">
        <v>550</v>
      </c>
      <c r="K497" t="s">
        <v>19</v>
      </c>
      <c r="L497" t="s">
        <v>20</v>
      </c>
      <c r="M497" s="9">
        <v>8481802</v>
      </c>
      <c r="N497" t="s">
        <v>3477</v>
      </c>
      <c r="O497">
        <v>18</v>
      </c>
      <c r="P497" t="s">
        <v>3477</v>
      </c>
      <c r="Q497">
        <v>18</v>
      </c>
      <c r="R497" s="13">
        <v>3130</v>
      </c>
      <c r="S497" s="13">
        <v>2347.5</v>
      </c>
    </row>
    <row r="498" spans="1:19">
      <c r="A498" s="9" t="s">
        <v>24</v>
      </c>
      <c r="B498" s="9" t="s">
        <v>27</v>
      </c>
      <c r="C498" s="9" t="s">
        <v>59</v>
      </c>
      <c r="D498" t="s">
        <v>204</v>
      </c>
      <c r="F498" s="12" t="s">
        <v>2002</v>
      </c>
      <c r="G498" s="10" t="s">
        <v>550</v>
      </c>
      <c r="H498" s="10" t="s">
        <v>550</v>
      </c>
      <c r="K498" t="s">
        <v>19</v>
      </c>
      <c r="L498" t="s">
        <v>20</v>
      </c>
      <c r="M498" s="9">
        <v>8481802</v>
      </c>
      <c r="N498" t="s">
        <v>3477</v>
      </c>
      <c r="O498">
        <v>18</v>
      </c>
      <c r="P498" t="s">
        <v>3477</v>
      </c>
      <c r="Q498">
        <v>18</v>
      </c>
      <c r="R498" s="13">
        <v>2500</v>
      </c>
      <c r="S498" s="13">
        <v>1875</v>
      </c>
    </row>
    <row r="499" spans="1:19">
      <c r="A499" s="9" t="s">
        <v>24</v>
      </c>
      <c r="B499" s="9" t="s">
        <v>27</v>
      </c>
      <c r="C499" s="9" t="s">
        <v>59</v>
      </c>
      <c r="D499" t="s">
        <v>204</v>
      </c>
      <c r="F499" s="12" t="s">
        <v>2003</v>
      </c>
      <c r="G499" s="10" t="s">
        <v>551</v>
      </c>
      <c r="H499" s="10" t="s">
        <v>551</v>
      </c>
      <c r="K499" t="s">
        <v>19</v>
      </c>
      <c r="L499" t="s">
        <v>20</v>
      </c>
      <c r="M499" s="9">
        <v>8481802</v>
      </c>
      <c r="N499" t="s">
        <v>3477</v>
      </c>
      <c r="O499">
        <v>18</v>
      </c>
      <c r="P499" t="s">
        <v>3477</v>
      </c>
      <c r="Q499">
        <v>18</v>
      </c>
      <c r="R499" s="13">
        <v>3500</v>
      </c>
      <c r="S499" s="13">
        <v>2625</v>
      </c>
    </row>
    <row r="500" spans="1:19">
      <c r="A500" s="9" t="s">
        <v>22</v>
      </c>
      <c r="B500" s="9" t="s">
        <v>26</v>
      </c>
      <c r="C500" s="9" t="s">
        <v>80</v>
      </c>
      <c r="D500" t="s">
        <v>204</v>
      </c>
      <c r="F500" s="12" t="s">
        <v>2004</v>
      </c>
      <c r="G500" s="10" t="s">
        <v>552</v>
      </c>
      <c r="H500" s="10" t="s">
        <v>552</v>
      </c>
      <c r="K500" t="s">
        <v>19</v>
      </c>
      <c r="L500" t="s">
        <v>20</v>
      </c>
      <c r="M500" s="9">
        <v>69101</v>
      </c>
      <c r="N500" t="s">
        <v>3477</v>
      </c>
      <c r="O500">
        <v>18</v>
      </c>
      <c r="P500" t="s">
        <v>3477</v>
      </c>
      <c r="Q500">
        <v>18</v>
      </c>
      <c r="R500" s="13">
        <v>251030</v>
      </c>
      <c r="S500" s="13">
        <v>175721</v>
      </c>
    </row>
    <row r="501" spans="1:19">
      <c r="A501" s="9" t="s">
        <v>23</v>
      </c>
      <c r="B501" s="9" t="s">
        <v>26</v>
      </c>
      <c r="C501" s="9" t="s">
        <v>81</v>
      </c>
      <c r="D501" t="s">
        <v>204</v>
      </c>
      <c r="F501" s="12" t="s">
        <v>2005</v>
      </c>
      <c r="G501" s="10" t="s">
        <v>553</v>
      </c>
      <c r="H501" s="10" t="s">
        <v>553</v>
      </c>
      <c r="K501" t="s">
        <v>19</v>
      </c>
      <c r="L501" t="s">
        <v>20</v>
      </c>
      <c r="M501" s="9">
        <v>70131</v>
      </c>
      <c r="N501" t="s">
        <v>3477</v>
      </c>
      <c r="O501">
        <v>18</v>
      </c>
      <c r="P501" t="s">
        <v>3477</v>
      </c>
      <c r="Q501">
        <v>18</v>
      </c>
      <c r="R501" s="13">
        <v>110000</v>
      </c>
      <c r="S501" s="13">
        <v>66000</v>
      </c>
    </row>
    <row r="502" spans="1:19">
      <c r="A502" s="9" t="s">
        <v>24</v>
      </c>
      <c r="B502" s="9" t="s">
        <v>27</v>
      </c>
      <c r="C502" s="9" t="s">
        <v>64</v>
      </c>
      <c r="D502" t="s">
        <v>204</v>
      </c>
      <c r="F502" s="12" t="s">
        <v>2006</v>
      </c>
      <c r="G502" s="10" t="s">
        <v>554</v>
      </c>
      <c r="H502" s="10" t="s">
        <v>554</v>
      </c>
      <c r="K502" t="s">
        <v>19</v>
      </c>
      <c r="L502" t="s">
        <v>20</v>
      </c>
      <c r="M502" s="9">
        <v>39229</v>
      </c>
      <c r="N502" t="s">
        <v>3477</v>
      </c>
      <c r="O502">
        <v>18</v>
      </c>
      <c r="P502" t="s">
        <v>3477</v>
      </c>
      <c r="Q502">
        <v>18</v>
      </c>
      <c r="R502" s="13">
        <v>2900</v>
      </c>
      <c r="S502" s="13">
        <v>2175</v>
      </c>
    </row>
    <row r="503" spans="1:19">
      <c r="A503" s="9" t="s">
        <v>24</v>
      </c>
      <c r="B503" s="9" t="s">
        <v>27</v>
      </c>
      <c r="C503" s="9" t="s">
        <v>64</v>
      </c>
      <c r="D503" t="s">
        <v>204</v>
      </c>
      <c r="F503" s="12" t="s">
        <v>2007</v>
      </c>
      <c r="G503" s="10" t="s">
        <v>555</v>
      </c>
      <c r="H503" s="10" t="s">
        <v>555</v>
      </c>
      <c r="K503" t="s">
        <v>19</v>
      </c>
      <c r="L503" t="s">
        <v>20</v>
      </c>
      <c r="M503" s="9">
        <v>39229</v>
      </c>
      <c r="N503" t="s">
        <v>3477</v>
      </c>
      <c r="O503">
        <v>18</v>
      </c>
      <c r="P503" t="s">
        <v>3477</v>
      </c>
      <c r="Q503">
        <v>18</v>
      </c>
      <c r="R503" s="13">
        <v>4000</v>
      </c>
      <c r="S503" s="13">
        <v>3000</v>
      </c>
    </row>
    <row r="504" spans="1:19">
      <c r="A504" s="9" t="s">
        <v>23</v>
      </c>
      <c r="B504" s="9" t="s">
        <v>26</v>
      </c>
      <c r="C504" s="9" t="s">
        <v>80</v>
      </c>
      <c r="D504" t="s">
        <v>204</v>
      </c>
      <c r="F504" s="12" t="s">
        <v>2008</v>
      </c>
      <c r="G504" s="10" t="s">
        <v>556</v>
      </c>
      <c r="H504" s="10" t="s">
        <v>556</v>
      </c>
      <c r="K504" t="s">
        <v>19</v>
      </c>
      <c r="L504" t="s">
        <v>20</v>
      </c>
      <c r="M504" s="9">
        <v>7020009</v>
      </c>
      <c r="N504" t="s">
        <v>3477</v>
      </c>
      <c r="O504">
        <v>18</v>
      </c>
      <c r="P504" t="s">
        <v>3477</v>
      </c>
      <c r="Q504">
        <v>18</v>
      </c>
      <c r="R504" s="13">
        <v>510000</v>
      </c>
      <c r="S504" s="13">
        <v>306000</v>
      </c>
    </row>
    <row r="505" spans="1:19">
      <c r="A505" s="9" t="s">
        <v>23</v>
      </c>
      <c r="B505" s="9" t="s">
        <v>25</v>
      </c>
      <c r="C505" s="9" t="s">
        <v>134</v>
      </c>
      <c r="D505" t="s">
        <v>204</v>
      </c>
      <c r="F505" s="12" t="s">
        <v>2009</v>
      </c>
      <c r="G505" s="10" t="s">
        <v>557</v>
      </c>
      <c r="H505" s="10" t="s">
        <v>557</v>
      </c>
      <c r="K505" t="s">
        <v>19</v>
      </c>
      <c r="L505" t="s">
        <v>20</v>
      </c>
      <c r="M505" s="9">
        <v>7323939</v>
      </c>
      <c r="N505" t="s">
        <v>3477</v>
      </c>
      <c r="O505">
        <v>18</v>
      </c>
      <c r="P505" t="s">
        <v>3477</v>
      </c>
      <c r="Q505">
        <v>18</v>
      </c>
      <c r="R505" s="13">
        <v>1950</v>
      </c>
      <c r="S505" s="13">
        <v>1170</v>
      </c>
    </row>
    <row r="506" spans="1:19">
      <c r="A506" s="9" t="s">
        <v>23</v>
      </c>
      <c r="B506" s="9" t="s">
        <v>25</v>
      </c>
      <c r="C506" s="9" t="s">
        <v>134</v>
      </c>
      <c r="D506" t="s">
        <v>204</v>
      </c>
      <c r="F506" s="12" t="s">
        <v>2010</v>
      </c>
      <c r="G506" s="10" t="s">
        <v>558</v>
      </c>
      <c r="H506" s="10" t="s">
        <v>558</v>
      </c>
      <c r="K506" t="s">
        <v>19</v>
      </c>
      <c r="L506" t="s">
        <v>20</v>
      </c>
      <c r="M506" s="9">
        <v>7323939</v>
      </c>
      <c r="N506" t="s">
        <v>3477</v>
      </c>
      <c r="O506">
        <v>18</v>
      </c>
      <c r="P506" t="s">
        <v>3477</v>
      </c>
      <c r="Q506">
        <v>18</v>
      </c>
      <c r="R506" s="13">
        <v>1950</v>
      </c>
      <c r="S506" s="13">
        <v>1170</v>
      </c>
    </row>
    <row r="507" spans="1:19">
      <c r="A507" s="9" t="s">
        <v>23</v>
      </c>
      <c r="B507" s="9" t="s">
        <v>26</v>
      </c>
      <c r="C507" s="9" t="s">
        <v>80</v>
      </c>
      <c r="D507" t="s">
        <v>204</v>
      </c>
      <c r="F507" s="12" t="s">
        <v>2011</v>
      </c>
      <c r="G507" s="10" t="s">
        <v>559</v>
      </c>
      <c r="H507" s="10" t="s">
        <v>559</v>
      </c>
      <c r="K507" t="s">
        <v>19</v>
      </c>
      <c r="L507" t="s">
        <v>20</v>
      </c>
      <c r="M507" s="9">
        <v>70131</v>
      </c>
      <c r="N507" t="s">
        <v>3477</v>
      </c>
      <c r="O507">
        <v>18</v>
      </c>
      <c r="P507" t="s">
        <v>3477</v>
      </c>
      <c r="Q507">
        <v>18</v>
      </c>
      <c r="R507" s="13">
        <v>145000</v>
      </c>
      <c r="S507" s="13">
        <v>87000</v>
      </c>
    </row>
    <row r="508" spans="1:19">
      <c r="A508" s="9" t="s">
        <v>23</v>
      </c>
      <c r="B508" s="9" t="s">
        <v>26</v>
      </c>
      <c r="C508" s="9" t="s">
        <v>80</v>
      </c>
      <c r="D508" t="s">
        <v>204</v>
      </c>
      <c r="F508" s="12" t="s">
        <v>2012</v>
      </c>
      <c r="G508" s="10" t="s">
        <v>560</v>
      </c>
      <c r="H508" s="10" t="s">
        <v>560</v>
      </c>
      <c r="K508" t="s">
        <v>19</v>
      </c>
      <c r="L508" t="s">
        <v>20</v>
      </c>
      <c r="M508" s="9">
        <v>70131</v>
      </c>
      <c r="N508" t="s">
        <v>3477</v>
      </c>
      <c r="O508">
        <v>18</v>
      </c>
      <c r="P508" t="s">
        <v>3477</v>
      </c>
      <c r="Q508">
        <v>18</v>
      </c>
      <c r="R508" s="13">
        <v>165000</v>
      </c>
      <c r="S508" s="13">
        <v>99000</v>
      </c>
    </row>
    <row r="509" spans="1:19">
      <c r="A509" s="9" t="s">
        <v>23</v>
      </c>
      <c r="B509" s="9" t="s">
        <v>26</v>
      </c>
      <c r="C509" s="9" t="s">
        <v>80</v>
      </c>
      <c r="D509" t="s">
        <v>204</v>
      </c>
      <c r="F509" s="12" t="s">
        <v>2013</v>
      </c>
      <c r="G509" s="10" t="s">
        <v>561</v>
      </c>
      <c r="H509" s="10" t="s">
        <v>561</v>
      </c>
      <c r="K509" t="s">
        <v>19</v>
      </c>
      <c r="L509" t="s">
        <v>20</v>
      </c>
      <c r="M509" s="9">
        <v>70131</v>
      </c>
      <c r="N509" t="s">
        <v>3477</v>
      </c>
      <c r="O509">
        <v>18</v>
      </c>
      <c r="P509" t="s">
        <v>3477</v>
      </c>
      <c r="Q509">
        <v>18</v>
      </c>
      <c r="R509" s="13">
        <v>165000</v>
      </c>
      <c r="S509" s="13">
        <v>99000</v>
      </c>
    </row>
    <row r="510" spans="1:19">
      <c r="A510" s="9" t="s">
        <v>23</v>
      </c>
      <c r="B510" s="9" t="s">
        <v>26</v>
      </c>
      <c r="C510" s="9" t="s">
        <v>80</v>
      </c>
      <c r="D510" t="s">
        <v>204</v>
      </c>
      <c r="F510" s="12" t="s">
        <v>2014</v>
      </c>
      <c r="G510" s="10" t="s">
        <v>562</v>
      </c>
      <c r="H510" s="10" t="s">
        <v>562</v>
      </c>
      <c r="K510" t="s">
        <v>19</v>
      </c>
      <c r="L510" t="s">
        <v>20</v>
      </c>
      <c r="M510" s="9">
        <v>70131</v>
      </c>
      <c r="N510" t="s">
        <v>3477</v>
      </c>
      <c r="O510">
        <v>18</v>
      </c>
      <c r="P510" t="s">
        <v>3477</v>
      </c>
      <c r="Q510">
        <v>18</v>
      </c>
      <c r="R510" s="13">
        <v>165000</v>
      </c>
      <c r="S510" s="13">
        <v>99000</v>
      </c>
    </row>
    <row r="511" spans="1:19">
      <c r="A511" s="9" t="s">
        <v>22</v>
      </c>
      <c r="B511" s="9" t="s">
        <v>27</v>
      </c>
      <c r="C511" s="9" t="s">
        <v>135</v>
      </c>
      <c r="D511" t="s">
        <v>204</v>
      </c>
      <c r="F511" s="12" t="s">
        <v>2015</v>
      </c>
      <c r="G511" s="10" t="s">
        <v>563</v>
      </c>
      <c r="H511" s="10" t="s">
        <v>563</v>
      </c>
      <c r="K511" t="s">
        <v>19</v>
      </c>
      <c r="L511" t="s">
        <v>20</v>
      </c>
      <c r="M511" s="9">
        <v>8481802</v>
      </c>
      <c r="N511" t="s">
        <v>3477</v>
      </c>
      <c r="O511">
        <v>18</v>
      </c>
      <c r="P511" t="s">
        <v>3477</v>
      </c>
      <c r="Q511">
        <v>18</v>
      </c>
      <c r="R511" s="13">
        <v>19440</v>
      </c>
      <c r="S511" s="13">
        <v>13608</v>
      </c>
    </row>
    <row r="512" spans="1:19">
      <c r="A512" s="9" t="s">
        <v>22</v>
      </c>
      <c r="B512" s="9" t="s">
        <v>36</v>
      </c>
      <c r="C512" s="9" t="s">
        <v>121</v>
      </c>
      <c r="D512" t="s">
        <v>204</v>
      </c>
      <c r="F512" s="12" t="s">
        <v>2016</v>
      </c>
      <c r="G512" s="10" t="s">
        <v>563</v>
      </c>
      <c r="H512" s="10" t="s">
        <v>563</v>
      </c>
      <c r="K512" t="s">
        <v>19</v>
      </c>
      <c r="L512" t="s">
        <v>20</v>
      </c>
      <c r="M512" s="9">
        <v>8421219</v>
      </c>
      <c r="N512" t="s">
        <v>3477</v>
      </c>
      <c r="O512">
        <v>18</v>
      </c>
      <c r="P512" t="s">
        <v>3477</v>
      </c>
      <c r="Q512">
        <v>18</v>
      </c>
      <c r="R512" s="13">
        <v>20000</v>
      </c>
      <c r="S512" s="13">
        <v>14000</v>
      </c>
    </row>
    <row r="513" spans="1:19">
      <c r="A513" s="9" t="s">
        <v>22</v>
      </c>
      <c r="B513" s="9" t="s">
        <v>36</v>
      </c>
      <c r="C513" s="9" t="s">
        <v>134</v>
      </c>
      <c r="D513" t="s">
        <v>204</v>
      </c>
      <c r="F513" s="12" t="s">
        <v>2017</v>
      </c>
      <c r="G513" s="10" t="s">
        <v>564</v>
      </c>
      <c r="H513" s="10" t="s">
        <v>564</v>
      </c>
      <c r="K513" t="s">
        <v>19</v>
      </c>
      <c r="L513" t="s">
        <v>20</v>
      </c>
      <c r="M513" s="9">
        <v>8421219</v>
      </c>
      <c r="N513" t="s">
        <v>3477</v>
      </c>
      <c r="O513">
        <v>18</v>
      </c>
      <c r="P513" t="s">
        <v>3477</v>
      </c>
      <c r="Q513">
        <v>18</v>
      </c>
      <c r="R513" s="13">
        <v>25000</v>
      </c>
      <c r="S513" s="13">
        <v>17500</v>
      </c>
    </row>
    <row r="514" spans="1:19">
      <c r="A514" s="9" t="s">
        <v>22</v>
      </c>
      <c r="B514" s="9" t="s">
        <v>36</v>
      </c>
      <c r="C514" s="9" t="s">
        <v>31</v>
      </c>
      <c r="D514" t="s">
        <v>204</v>
      </c>
      <c r="F514" s="12" t="s">
        <v>2018</v>
      </c>
      <c r="G514" s="10" t="s">
        <v>565</v>
      </c>
      <c r="H514" s="10" t="s">
        <v>565</v>
      </c>
      <c r="K514" t="s">
        <v>19</v>
      </c>
      <c r="L514" t="s">
        <v>20</v>
      </c>
      <c r="M514" s="9">
        <v>8421219</v>
      </c>
      <c r="N514" t="s">
        <v>3477</v>
      </c>
      <c r="O514">
        <v>18</v>
      </c>
      <c r="P514" t="s">
        <v>3477</v>
      </c>
      <c r="Q514">
        <v>18</v>
      </c>
      <c r="R514" s="13">
        <v>1800</v>
      </c>
      <c r="S514" s="13">
        <v>1260</v>
      </c>
    </row>
    <row r="515" spans="1:19">
      <c r="A515" s="9" t="s">
        <v>22</v>
      </c>
      <c r="B515" s="9" t="s">
        <v>27</v>
      </c>
      <c r="C515" s="9" t="s">
        <v>31</v>
      </c>
      <c r="D515" t="s">
        <v>204</v>
      </c>
      <c r="F515" s="12" t="s">
        <v>2019</v>
      </c>
      <c r="G515" s="10" t="s">
        <v>566</v>
      </c>
      <c r="H515" s="10" t="s">
        <v>566</v>
      </c>
      <c r="K515" t="s">
        <v>19</v>
      </c>
      <c r="L515" t="s">
        <v>20</v>
      </c>
      <c r="M515" s="9">
        <v>8421219</v>
      </c>
      <c r="N515" t="s">
        <v>3477</v>
      </c>
      <c r="O515">
        <v>18</v>
      </c>
      <c r="P515" t="s">
        <v>3477</v>
      </c>
      <c r="Q515">
        <v>18</v>
      </c>
      <c r="R515" s="13">
        <v>1800</v>
      </c>
      <c r="S515" s="13">
        <v>1260</v>
      </c>
    </row>
    <row r="516" spans="1:19">
      <c r="A516" s="9" t="s">
        <v>22</v>
      </c>
      <c r="B516" s="9" t="s">
        <v>36</v>
      </c>
      <c r="C516" s="9" t="s">
        <v>134</v>
      </c>
      <c r="D516" t="s">
        <v>204</v>
      </c>
      <c r="F516" s="12" t="s">
        <v>2020</v>
      </c>
      <c r="G516" s="10" t="s">
        <v>567</v>
      </c>
      <c r="H516" s="10" t="s">
        <v>567</v>
      </c>
      <c r="K516" t="s">
        <v>19</v>
      </c>
      <c r="L516" t="s">
        <v>20</v>
      </c>
      <c r="M516" s="9">
        <v>8421219</v>
      </c>
      <c r="N516" t="s">
        <v>3477</v>
      </c>
      <c r="O516">
        <v>18</v>
      </c>
      <c r="P516" t="s">
        <v>3477</v>
      </c>
      <c r="Q516">
        <v>18</v>
      </c>
      <c r="R516" s="13">
        <v>75000</v>
      </c>
      <c r="S516" s="13">
        <v>52500</v>
      </c>
    </row>
    <row r="517" spans="1:19">
      <c r="A517" s="9" t="s">
        <v>22</v>
      </c>
      <c r="B517" s="9" t="s">
        <v>36</v>
      </c>
      <c r="C517" s="9" t="s">
        <v>136</v>
      </c>
      <c r="D517" t="s">
        <v>204</v>
      </c>
      <c r="F517" s="12" t="s">
        <v>2021</v>
      </c>
      <c r="G517" s="10" t="s">
        <v>568</v>
      </c>
      <c r="H517" s="10" t="s">
        <v>568</v>
      </c>
      <c r="K517" t="s">
        <v>19</v>
      </c>
      <c r="L517" t="s">
        <v>20</v>
      </c>
      <c r="M517" s="9">
        <v>8421219</v>
      </c>
      <c r="N517" t="s">
        <v>3477</v>
      </c>
      <c r="O517">
        <v>18</v>
      </c>
      <c r="P517" t="s">
        <v>3477</v>
      </c>
      <c r="Q517">
        <v>18</v>
      </c>
      <c r="R517" s="13">
        <v>300</v>
      </c>
      <c r="S517" s="13">
        <v>210</v>
      </c>
    </row>
    <row r="518" spans="1:19">
      <c r="A518" s="9" t="s">
        <v>23</v>
      </c>
      <c r="B518" s="9" t="s">
        <v>27</v>
      </c>
      <c r="C518" s="9" t="s">
        <v>94</v>
      </c>
      <c r="D518" t="s">
        <v>204</v>
      </c>
      <c r="F518" s="12" t="s">
        <v>2022</v>
      </c>
      <c r="G518" s="10" t="s">
        <v>568</v>
      </c>
      <c r="H518" s="10" t="s">
        <v>568</v>
      </c>
      <c r="K518" t="s">
        <v>19</v>
      </c>
      <c r="L518" t="s">
        <v>20</v>
      </c>
      <c r="M518" s="9">
        <v>39229</v>
      </c>
      <c r="N518" t="s">
        <v>3477</v>
      </c>
      <c r="O518">
        <v>18</v>
      </c>
      <c r="P518" t="s">
        <v>3477</v>
      </c>
      <c r="Q518">
        <v>18</v>
      </c>
      <c r="R518" s="13">
        <v>240500</v>
      </c>
      <c r="S518" s="13">
        <v>144300</v>
      </c>
    </row>
    <row r="519" spans="1:19">
      <c r="A519" s="9" t="s">
        <v>23</v>
      </c>
      <c r="B519" s="9" t="s">
        <v>27</v>
      </c>
      <c r="C519" s="9" t="s">
        <v>94</v>
      </c>
      <c r="D519" t="s">
        <v>204</v>
      </c>
      <c r="F519" s="12" t="s">
        <v>2023</v>
      </c>
      <c r="G519" s="10" t="s">
        <v>569</v>
      </c>
      <c r="H519" s="10" t="s">
        <v>569</v>
      </c>
      <c r="K519" t="s">
        <v>19</v>
      </c>
      <c r="L519" t="s">
        <v>20</v>
      </c>
      <c r="M519" s="9">
        <v>7418201</v>
      </c>
      <c r="N519" t="s">
        <v>3477</v>
      </c>
      <c r="O519">
        <v>18</v>
      </c>
      <c r="P519" t="s">
        <v>3477</v>
      </c>
      <c r="Q519">
        <v>18</v>
      </c>
      <c r="R519" s="13">
        <v>171800</v>
      </c>
      <c r="S519" s="13">
        <v>103080</v>
      </c>
    </row>
    <row r="520" spans="1:19">
      <c r="A520" s="9" t="s">
        <v>23</v>
      </c>
      <c r="B520" s="9" t="s">
        <v>27</v>
      </c>
      <c r="C520" s="9" t="s">
        <v>100</v>
      </c>
      <c r="D520" t="s">
        <v>204</v>
      </c>
      <c r="F520" s="12" t="s">
        <v>2024</v>
      </c>
      <c r="G520" s="10" t="s">
        <v>570</v>
      </c>
      <c r="H520" s="10" t="s">
        <v>570</v>
      </c>
      <c r="K520" t="s">
        <v>19</v>
      </c>
      <c r="L520" t="s">
        <v>20</v>
      </c>
      <c r="M520" s="9">
        <v>8481909</v>
      </c>
      <c r="N520" t="s">
        <v>3477</v>
      </c>
      <c r="O520">
        <v>18</v>
      </c>
      <c r="P520" t="s">
        <v>3477</v>
      </c>
      <c r="Q520">
        <v>18</v>
      </c>
      <c r="R520" s="13">
        <v>24970</v>
      </c>
      <c r="S520" s="13">
        <v>14982</v>
      </c>
    </row>
    <row r="521" spans="1:19">
      <c r="A521" s="9" t="s">
        <v>23</v>
      </c>
      <c r="B521" s="9" t="s">
        <v>26</v>
      </c>
      <c r="C521" s="9" t="s">
        <v>80</v>
      </c>
      <c r="D521" t="s">
        <v>204</v>
      </c>
      <c r="F521" s="12" t="s">
        <v>2025</v>
      </c>
      <c r="G521" s="10" t="s">
        <v>571</v>
      </c>
      <c r="H521" s="10" t="s">
        <v>571</v>
      </c>
      <c r="K521" t="s">
        <v>19</v>
      </c>
      <c r="L521" t="s">
        <v>20</v>
      </c>
      <c r="M521" s="9">
        <v>6815999</v>
      </c>
      <c r="N521" t="s">
        <v>3477</v>
      </c>
      <c r="O521">
        <v>18</v>
      </c>
      <c r="P521" t="s">
        <v>3477</v>
      </c>
      <c r="Q521">
        <v>18</v>
      </c>
      <c r="R521" s="13">
        <v>390750</v>
      </c>
      <c r="S521" s="13">
        <v>234450</v>
      </c>
    </row>
    <row r="522" spans="1:19">
      <c r="A522" s="9" t="s">
        <v>22</v>
      </c>
      <c r="B522" s="9" t="s">
        <v>27</v>
      </c>
      <c r="C522" s="9" t="s">
        <v>48</v>
      </c>
      <c r="D522" t="s">
        <v>204</v>
      </c>
      <c r="F522" s="12" t="s">
        <v>2026</v>
      </c>
      <c r="G522" s="10" t="s">
        <v>571</v>
      </c>
      <c r="H522" s="10" t="s">
        <v>571</v>
      </c>
      <c r="K522" t="s">
        <v>19</v>
      </c>
      <c r="L522" t="s">
        <v>20</v>
      </c>
      <c r="M522" s="9">
        <v>8481802</v>
      </c>
      <c r="N522" t="s">
        <v>3477</v>
      </c>
      <c r="O522">
        <v>18</v>
      </c>
      <c r="P522" t="s">
        <v>3477</v>
      </c>
      <c r="Q522">
        <v>18</v>
      </c>
      <c r="R522" s="13">
        <v>12500</v>
      </c>
      <c r="S522" s="13">
        <v>8750</v>
      </c>
    </row>
    <row r="523" spans="1:19">
      <c r="A523" s="9" t="s">
        <v>22</v>
      </c>
      <c r="B523" s="9" t="s">
        <v>27</v>
      </c>
      <c r="C523" s="9" t="s">
        <v>48</v>
      </c>
      <c r="D523" t="s">
        <v>204</v>
      </c>
      <c r="F523" s="12" t="s">
        <v>2027</v>
      </c>
      <c r="G523" s="10" t="s">
        <v>571</v>
      </c>
      <c r="H523" s="10" t="s">
        <v>571</v>
      </c>
      <c r="K523" t="s">
        <v>19</v>
      </c>
      <c r="L523" t="s">
        <v>20</v>
      </c>
      <c r="M523" s="9">
        <v>8481802</v>
      </c>
      <c r="N523" t="s">
        <v>3477</v>
      </c>
      <c r="O523">
        <v>18</v>
      </c>
      <c r="P523" t="s">
        <v>3477</v>
      </c>
      <c r="Q523">
        <v>18</v>
      </c>
      <c r="R523" s="13">
        <v>14000</v>
      </c>
      <c r="S523" s="13">
        <v>9800</v>
      </c>
    </row>
    <row r="524" spans="1:19">
      <c r="A524" s="9" t="s">
        <v>22</v>
      </c>
      <c r="B524" s="9" t="s">
        <v>27</v>
      </c>
      <c r="C524" s="9" t="s">
        <v>48</v>
      </c>
      <c r="D524" t="s">
        <v>204</v>
      </c>
      <c r="F524" s="12" t="s">
        <v>2028</v>
      </c>
      <c r="G524" s="10" t="s">
        <v>571</v>
      </c>
      <c r="H524" s="10" t="s">
        <v>571</v>
      </c>
      <c r="K524" t="s">
        <v>19</v>
      </c>
      <c r="L524" t="s">
        <v>20</v>
      </c>
      <c r="M524" s="9">
        <v>8481802</v>
      </c>
      <c r="N524" t="s">
        <v>3477</v>
      </c>
      <c r="O524">
        <v>18</v>
      </c>
      <c r="P524" t="s">
        <v>3477</v>
      </c>
      <c r="Q524">
        <v>18</v>
      </c>
      <c r="R524" s="13">
        <v>10000</v>
      </c>
      <c r="S524" s="13">
        <v>7000</v>
      </c>
    </row>
    <row r="525" spans="1:19">
      <c r="A525" s="9" t="s">
        <v>22</v>
      </c>
      <c r="B525" s="9" t="s">
        <v>27</v>
      </c>
      <c r="C525" s="9" t="s">
        <v>48</v>
      </c>
      <c r="D525" t="s">
        <v>204</v>
      </c>
      <c r="F525" s="12" t="s">
        <v>2029</v>
      </c>
      <c r="G525" s="10" t="s">
        <v>572</v>
      </c>
      <c r="H525" s="10" t="s">
        <v>572</v>
      </c>
      <c r="K525" t="s">
        <v>19</v>
      </c>
      <c r="L525" t="s">
        <v>20</v>
      </c>
      <c r="M525" s="9">
        <v>8481802</v>
      </c>
      <c r="N525" t="s">
        <v>3477</v>
      </c>
      <c r="O525">
        <v>18</v>
      </c>
      <c r="P525" t="s">
        <v>3477</v>
      </c>
      <c r="Q525">
        <v>18</v>
      </c>
      <c r="R525" s="13">
        <v>14000</v>
      </c>
      <c r="S525" s="13">
        <v>9800</v>
      </c>
    </row>
    <row r="526" spans="1:19">
      <c r="A526" s="9" t="s">
        <v>22</v>
      </c>
      <c r="B526" s="9" t="s">
        <v>27</v>
      </c>
      <c r="C526" s="9" t="s">
        <v>49</v>
      </c>
      <c r="D526" t="s">
        <v>204</v>
      </c>
      <c r="F526" s="12" t="s">
        <v>2030</v>
      </c>
      <c r="G526" s="10" t="s">
        <v>572</v>
      </c>
      <c r="H526" s="10" t="s">
        <v>572</v>
      </c>
      <c r="K526" t="s">
        <v>19</v>
      </c>
      <c r="L526" t="s">
        <v>20</v>
      </c>
      <c r="M526" s="9">
        <v>8481802</v>
      </c>
      <c r="N526" t="s">
        <v>3477</v>
      </c>
      <c r="O526">
        <v>18</v>
      </c>
      <c r="P526" t="s">
        <v>3477</v>
      </c>
      <c r="Q526">
        <v>18</v>
      </c>
      <c r="R526" s="13">
        <v>15630</v>
      </c>
      <c r="S526" s="13">
        <v>10941</v>
      </c>
    </row>
    <row r="527" spans="1:19">
      <c r="A527" s="9" t="s">
        <v>22</v>
      </c>
      <c r="B527" s="9" t="s">
        <v>27</v>
      </c>
      <c r="C527" s="9" t="s">
        <v>49</v>
      </c>
      <c r="D527" t="s">
        <v>204</v>
      </c>
      <c r="F527" s="12" t="s">
        <v>2031</v>
      </c>
      <c r="G527" s="10" t="s">
        <v>572</v>
      </c>
      <c r="H527" s="10" t="s">
        <v>572</v>
      </c>
      <c r="K527" t="s">
        <v>19</v>
      </c>
      <c r="L527" t="s">
        <v>20</v>
      </c>
      <c r="M527" s="9">
        <v>8481802</v>
      </c>
      <c r="N527" t="s">
        <v>3477</v>
      </c>
      <c r="O527">
        <v>18</v>
      </c>
      <c r="P527" t="s">
        <v>3477</v>
      </c>
      <c r="Q527">
        <v>18</v>
      </c>
      <c r="R527" s="13">
        <v>17500</v>
      </c>
      <c r="S527" s="13">
        <v>12250</v>
      </c>
    </row>
    <row r="528" spans="1:19">
      <c r="A528" s="9" t="s">
        <v>22</v>
      </c>
      <c r="B528" s="9" t="s">
        <v>27</v>
      </c>
      <c r="C528" s="9" t="s">
        <v>49</v>
      </c>
      <c r="D528" t="s">
        <v>204</v>
      </c>
      <c r="F528" s="12" t="s">
        <v>2032</v>
      </c>
      <c r="G528" s="10" t="s">
        <v>572</v>
      </c>
      <c r="H528" s="10" t="s">
        <v>572</v>
      </c>
      <c r="K528" t="s">
        <v>19</v>
      </c>
      <c r="L528" t="s">
        <v>20</v>
      </c>
      <c r="M528" s="9">
        <v>8481802</v>
      </c>
      <c r="N528" t="s">
        <v>3477</v>
      </c>
      <c r="O528">
        <v>18</v>
      </c>
      <c r="P528" t="s">
        <v>3477</v>
      </c>
      <c r="Q528">
        <v>18</v>
      </c>
      <c r="R528" s="13">
        <v>12500</v>
      </c>
      <c r="S528" s="13">
        <v>8750</v>
      </c>
    </row>
    <row r="529" spans="1:19">
      <c r="A529" s="9" t="s">
        <v>22</v>
      </c>
      <c r="B529" s="9" t="s">
        <v>27</v>
      </c>
      <c r="C529" s="9" t="s">
        <v>49</v>
      </c>
      <c r="D529" t="s">
        <v>204</v>
      </c>
      <c r="F529" s="12" t="s">
        <v>2033</v>
      </c>
      <c r="G529" s="10" t="s">
        <v>573</v>
      </c>
      <c r="H529" s="10" t="s">
        <v>573</v>
      </c>
      <c r="K529" t="s">
        <v>19</v>
      </c>
      <c r="L529" t="s">
        <v>20</v>
      </c>
      <c r="M529" s="9">
        <v>8481802</v>
      </c>
      <c r="N529" t="s">
        <v>3477</v>
      </c>
      <c r="O529">
        <v>18</v>
      </c>
      <c r="P529" t="s">
        <v>3477</v>
      </c>
      <c r="Q529">
        <v>18</v>
      </c>
      <c r="R529" s="13">
        <v>17500</v>
      </c>
      <c r="S529" s="13">
        <v>12250</v>
      </c>
    </row>
    <row r="530" spans="1:19">
      <c r="A530" s="9" t="s">
        <v>22</v>
      </c>
      <c r="B530" s="9" t="s">
        <v>27</v>
      </c>
      <c r="C530" s="9" t="s">
        <v>118</v>
      </c>
      <c r="D530" t="s">
        <v>204</v>
      </c>
      <c r="F530" s="12" t="s">
        <v>2034</v>
      </c>
      <c r="G530" s="10" t="s">
        <v>573</v>
      </c>
      <c r="H530" s="10" t="s">
        <v>573</v>
      </c>
      <c r="K530" t="s">
        <v>19</v>
      </c>
      <c r="L530" t="s">
        <v>20</v>
      </c>
      <c r="M530" s="9">
        <v>8481802</v>
      </c>
      <c r="N530" t="s">
        <v>3477</v>
      </c>
      <c r="O530">
        <v>18</v>
      </c>
      <c r="P530" t="s">
        <v>3477</v>
      </c>
      <c r="Q530">
        <v>18</v>
      </c>
      <c r="R530" s="13">
        <v>6300</v>
      </c>
      <c r="S530" s="13">
        <v>4410</v>
      </c>
    </row>
    <row r="531" spans="1:19">
      <c r="A531" s="9" t="s">
        <v>22</v>
      </c>
      <c r="B531" s="9" t="s">
        <v>27</v>
      </c>
      <c r="C531" s="9" t="s">
        <v>118</v>
      </c>
      <c r="D531" t="s">
        <v>204</v>
      </c>
      <c r="F531" s="12" t="s">
        <v>2035</v>
      </c>
      <c r="G531" s="10" t="s">
        <v>574</v>
      </c>
      <c r="H531" s="10" t="s">
        <v>574</v>
      </c>
      <c r="K531" t="s">
        <v>19</v>
      </c>
      <c r="L531" t="s">
        <v>20</v>
      </c>
      <c r="M531" s="9">
        <v>8481802</v>
      </c>
      <c r="N531" t="s">
        <v>3477</v>
      </c>
      <c r="O531">
        <v>18</v>
      </c>
      <c r="P531" t="s">
        <v>3477</v>
      </c>
      <c r="Q531">
        <v>18</v>
      </c>
      <c r="R531" s="13">
        <v>5040</v>
      </c>
      <c r="S531" s="13">
        <v>3528</v>
      </c>
    </row>
    <row r="532" spans="1:19">
      <c r="A532" s="9" t="s">
        <v>22</v>
      </c>
      <c r="B532" s="9" t="s">
        <v>27</v>
      </c>
      <c r="C532" s="9" t="s">
        <v>95</v>
      </c>
      <c r="D532" t="s">
        <v>204</v>
      </c>
      <c r="F532" s="12" t="s">
        <v>2036</v>
      </c>
      <c r="G532" s="10" t="s">
        <v>575</v>
      </c>
      <c r="H532" s="10" t="s">
        <v>575</v>
      </c>
      <c r="K532" t="s">
        <v>19</v>
      </c>
      <c r="L532" t="s">
        <v>20</v>
      </c>
      <c r="M532" s="9">
        <v>8481909</v>
      </c>
      <c r="N532" t="s">
        <v>3477</v>
      </c>
      <c r="O532">
        <v>18</v>
      </c>
      <c r="P532" t="s">
        <v>3477</v>
      </c>
      <c r="Q532">
        <v>18</v>
      </c>
      <c r="R532" s="13">
        <v>6000</v>
      </c>
      <c r="S532" s="13">
        <v>4200</v>
      </c>
    </row>
    <row r="533" spans="1:19">
      <c r="A533" s="9" t="s">
        <v>22</v>
      </c>
      <c r="B533" s="9" t="s">
        <v>27</v>
      </c>
      <c r="C533" s="9" t="s">
        <v>95</v>
      </c>
      <c r="D533" t="s">
        <v>204</v>
      </c>
      <c r="F533" s="12" t="s">
        <v>2037</v>
      </c>
      <c r="G533" s="10" t="s">
        <v>575</v>
      </c>
      <c r="H533" s="10" t="s">
        <v>575</v>
      </c>
      <c r="K533" t="s">
        <v>19</v>
      </c>
      <c r="L533" t="s">
        <v>20</v>
      </c>
      <c r="M533" s="9">
        <v>8481909</v>
      </c>
      <c r="N533" t="s">
        <v>3477</v>
      </c>
      <c r="O533">
        <v>18</v>
      </c>
      <c r="P533" t="s">
        <v>3477</v>
      </c>
      <c r="Q533">
        <v>18</v>
      </c>
      <c r="R533" s="13">
        <v>8750</v>
      </c>
      <c r="S533" s="13">
        <v>6125</v>
      </c>
    </row>
    <row r="534" spans="1:19">
      <c r="A534" s="9" t="s">
        <v>22</v>
      </c>
      <c r="B534" s="9" t="s">
        <v>27</v>
      </c>
      <c r="C534" s="9" t="s">
        <v>95</v>
      </c>
      <c r="D534" t="s">
        <v>204</v>
      </c>
      <c r="F534" s="12" t="s">
        <v>2038</v>
      </c>
      <c r="G534" s="10" t="s">
        <v>576</v>
      </c>
      <c r="H534" s="10" t="s">
        <v>576</v>
      </c>
      <c r="K534" t="s">
        <v>19</v>
      </c>
      <c r="L534" t="s">
        <v>20</v>
      </c>
      <c r="M534" s="9">
        <v>8481909</v>
      </c>
      <c r="N534" t="s">
        <v>3477</v>
      </c>
      <c r="O534">
        <v>18</v>
      </c>
      <c r="P534" t="s">
        <v>3477</v>
      </c>
      <c r="Q534">
        <v>18</v>
      </c>
      <c r="R534" s="13">
        <v>10400</v>
      </c>
      <c r="S534" s="13">
        <v>7279.9999999999991</v>
      </c>
    </row>
    <row r="535" spans="1:19">
      <c r="A535" s="9" t="s">
        <v>22</v>
      </c>
      <c r="B535" s="9" t="s">
        <v>27</v>
      </c>
      <c r="C535" s="9" t="s">
        <v>51</v>
      </c>
      <c r="D535" t="s">
        <v>204</v>
      </c>
      <c r="F535" s="12" t="s">
        <v>2039</v>
      </c>
      <c r="G535" s="10" t="s">
        <v>576</v>
      </c>
      <c r="H535" s="10" t="s">
        <v>576</v>
      </c>
      <c r="K535" t="s">
        <v>19</v>
      </c>
      <c r="L535" t="s">
        <v>20</v>
      </c>
      <c r="M535" s="9">
        <v>8481802</v>
      </c>
      <c r="N535" t="s">
        <v>3477</v>
      </c>
      <c r="O535">
        <v>18</v>
      </c>
      <c r="P535" t="s">
        <v>3477</v>
      </c>
      <c r="Q535">
        <v>18</v>
      </c>
      <c r="R535" s="13">
        <v>6000</v>
      </c>
      <c r="S535" s="13">
        <v>4200</v>
      </c>
    </row>
    <row r="536" spans="1:19">
      <c r="A536" s="9" t="s">
        <v>22</v>
      </c>
      <c r="B536" s="9" t="s">
        <v>27</v>
      </c>
      <c r="C536" s="9" t="s">
        <v>51</v>
      </c>
      <c r="D536" t="s">
        <v>204</v>
      </c>
      <c r="F536" s="12" t="s">
        <v>2040</v>
      </c>
      <c r="G536" s="10" t="s">
        <v>576</v>
      </c>
      <c r="H536" s="10" t="s">
        <v>576</v>
      </c>
      <c r="K536" t="s">
        <v>19</v>
      </c>
      <c r="L536" t="s">
        <v>20</v>
      </c>
      <c r="M536" s="9">
        <v>8481802</v>
      </c>
      <c r="N536" t="s">
        <v>3477</v>
      </c>
      <c r="O536">
        <v>18</v>
      </c>
      <c r="P536" t="s">
        <v>3477</v>
      </c>
      <c r="Q536">
        <v>18</v>
      </c>
      <c r="R536" s="13">
        <v>6720</v>
      </c>
      <c r="S536" s="13">
        <v>4704</v>
      </c>
    </row>
    <row r="537" spans="1:19">
      <c r="A537" s="9" t="s">
        <v>22</v>
      </c>
      <c r="B537" s="9" t="s">
        <v>27</v>
      </c>
      <c r="C537" s="9" t="s">
        <v>51</v>
      </c>
      <c r="D537" t="s">
        <v>204</v>
      </c>
      <c r="F537" s="12" t="s">
        <v>2041</v>
      </c>
      <c r="G537" s="10" t="s">
        <v>576</v>
      </c>
      <c r="H537" s="10" t="s">
        <v>576</v>
      </c>
      <c r="K537" t="s">
        <v>19</v>
      </c>
      <c r="L537" t="s">
        <v>20</v>
      </c>
      <c r="M537" s="9">
        <v>8481802</v>
      </c>
      <c r="N537" t="s">
        <v>3477</v>
      </c>
      <c r="O537">
        <v>18</v>
      </c>
      <c r="P537" t="s">
        <v>3477</v>
      </c>
      <c r="Q537">
        <v>18</v>
      </c>
      <c r="R537" s="13">
        <v>4800</v>
      </c>
      <c r="S537" s="13">
        <v>3360</v>
      </c>
    </row>
    <row r="538" spans="1:19">
      <c r="A538" s="9" t="s">
        <v>22</v>
      </c>
      <c r="B538" s="9" t="s">
        <v>27</v>
      </c>
      <c r="C538" s="9" t="s">
        <v>51</v>
      </c>
      <c r="D538" t="s">
        <v>204</v>
      </c>
      <c r="F538" s="12" t="s">
        <v>2042</v>
      </c>
      <c r="G538" s="10" t="s">
        <v>576</v>
      </c>
      <c r="H538" s="10" t="s">
        <v>576</v>
      </c>
      <c r="K538" t="s">
        <v>19</v>
      </c>
      <c r="L538" t="s">
        <v>20</v>
      </c>
      <c r="M538" s="9">
        <v>8481802</v>
      </c>
      <c r="N538" t="s">
        <v>3477</v>
      </c>
      <c r="O538">
        <v>18</v>
      </c>
      <c r="P538" t="s">
        <v>3477</v>
      </c>
      <c r="Q538">
        <v>18</v>
      </c>
      <c r="R538" s="13">
        <v>6720</v>
      </c>
      <c r="S538" s="13">
        <v>4704</v>
      </c>
    </row>
    <row r="539" spans="1:19">
      <c r="A539" s="9" t="s">
        <v>22</v>
      </c>
      <c r="B539" s="9" t="s">
        <v>27</v>
      </c>
      <c r="C539" s="9" t="s">
        <v>51</v>
      </c>
      <c r="D539" t="s">
        <v>204</v>
      </c>
      <c r="F539" s="12" t="s">
        <v>2043</v>
      </c>
      <c r="G539" s="10" t="s">
        <v>576</v>
      </c>
      <c r="H539" s="10" t="s">
        <v>576</v>
      </c>
      <c r="K539" t="s">
        <v>19</v>
      </c>
      <c r="L539" t="s">
        <v>20</v>
      </c>
      <c r="M539" s="9">
        <v>8481802</v>
      </c>
      <c r="N539" t="s">
        <v>3477</v>
      </c>
      <c r="O539">
        <v>18</v>
      </c>
      <c r="P539" t="s">
        <v>3477</v>
      </c>
      <c r="Q539">
        <v>18</v>
      </c>
      <c r="R539" s="13">
        <v>4830</v>
      </c>
      <c r="S539" s="13">
        <v>3381</v>
      </c>
    </row>
    <row r="540" spans="1:19">
      <c r="A540" s="9" t="s">
        <v>22</v>
      </c>
      <c r="B540" s="9" t="s">
        <v>27</v>
      </c>
      <c r="C540" s="9" t="s">
        <v>51</v>
      </c>
      <c r="D540" t="s">
        <v>204</v>
      </c>
      <c r="F540" s="12" t="s">
        <v>2044</v>
      </c>
      <c r="G540" s="10" t="s">
        <v>577</v>
      </c>
      <c r="H540" s="10" t="s">
        <v>577</v>
      </c>
      <c r="K540" t="s">
        <v>19</v>
      </c>
      <c r="L540" t="s">
        <v>20</v>
      </c>
      <c r="M540" s="9">
        <v>8481909</v>
      </c>
      <c r="N540" t="s">
        <v>3477</v>
      </c>
      <c r="O540">
        <v>18</v>
      </c>
      <c r="P540" t="s">
        <v>3477</v>
      </c>
      <c r="Q540">
        <v>18</v>
      </c>
      <c r="R540" s="13">
        <v>3870</v>
      </c>
      <c r="S540" s="13">
        <v>2709</v>
      </c>
    </row>
    <row r="541" spans="1:19">
      <c r="A541" s="9" t="s">
        <v>22</v>
      </c>
      <c r="B541" s="9" t="s">
        <v>27</v>
      </c>
      <c r="C541" s="9" t="s">
        <v>51</v>
      </c>
      <c r="D541" t="s">
        <v>204</v>
      </c>
      <c r="F541" s="12" t="s">
        <v>2045</v>
      </c>
      <c r="G541" s="10" t="s">
        <v>577</v>
      </c>
      <c r="H541" s="10" t="s">
        <v>577</v>
      </c>
      <c r="K541" t="s">
        <v>19</v>
      </c>
      <c r="L541" t="s">
        <v>20</v>
      </c>
      <c r="M541" s="9">
        <v>8481802</v>
      </c>
      <c r="N541" t="s">
        <v>3477</v>
      </c>
      <c r="O541">
        <v>18</v>
      </c>
      <c r="P541" t="s">
        <v>3477</v>
      </c>
      <c r="Q541">
        <v>18</v>
      </c>
      <c r="R541" s="13">
        <v>7130</v>
      </c>
      <c r="S541" s="13">
        <v>4991</v>
      </c>
    </row>
    <row r="542" spans="1:19">
      <c r="A542" s="9" t="s">
        <v>22</v>
      </c>
      <c r="B542" s="9" t="s">
        <v>27</v>
      </c>
      <c r="C542" s="9" t="s">
        <v>51</v>
      </c>
      <c r="D542" t="s">
        <v>204</v>
      </c>
      <c r="F542" s="12" t="s">
        <v>2046</v>
      </c>
      <c r="G542" s="10" t="s">
        <v>577</v>
      </c>
      <c r="H542" s="10" t="s">
        <v>577</v>
      </c>
      <c r="K542" t="s">
        <v>19</v>
      </c>
      <c r="L542" t="s">
        <v>20</v>
      </c>
      <c r="M542" s="9">
        <v>8481802</v>
      </c>
      <c r="N542" t="s">
        <v>3477</v>
      </c>
      <c r="O542">
        <v>18</v>
      </c>
      <c r="P542" t="s">
        <v>3477</v>
      </c>
      <c r="Q542">
        <v>18</v>
      </c>
      <c r="R542" s="13">
        <v>7980</v>
      </c>
      <c r="S542" s="13">
        <v>5586</v>
      </c>
    </row>
    <row r="543" spans="1:19">
      <c r="A543" s="9" t="s">
        <v>22</v>
      </c>
      <c r="B543" s="9" t="s">
        <v>27</v>
      </c>
      <c r="C543" s="9" t="s">
        <v>51</v>
      </c>
      <c r="D543" t="s">
        <v>204</v>
      </c>
      <c r="F543" s="12" t="s">
        <v>2047</v>
      </c>
      <c r="G543" s="10" t="s">
        <v>577</v>
      </c>
      <c r="H543" s="10" t="s">
        <v>577</v>
      </c>
      <c r="K543" t="s">
        <v>19</v>
      </c>
      <c r="L543" t="s">
        <v>20</v>
      </c>
      <c r="M543" s="9">
        <v>8481802</v>
      </c>
      <c r="N543" t="s">
        <v>3477</v>
      </c>
      <c r="O543">
        <v>18</v>
      </c>
      <c r="P543" t="s">
        <v>3477</v>
      </c>
      <c r="Q543">
        <v>18</v>
      </c>
      <c r="R543" s="13">
        <v>5700</v>
      </c>
      <c r="S543" s="13">
        <v>3989.9999999999995</v>
      </c>
    </row>
    <row r="544" spans="1:19">
      <c r="A544" s="9" t="s">
        <v>22</v>
      </c>
      <c r="B544" s="9" t="s">
        <v>27</v>
      </c>
      <c r="C544" s="9" t="s">
        <v>51</v>
      </c>
      <c r="D544" t="s">
        <v>204</v>
      </c>
      <c r="F544" s="12" t="s">
        <v>2048</v>
      </c>
      <c r="G544" s="10" t="s">
        <v>578</v>
      </c>
      <c r="H544" s="10" t="s">
        <v>578</v>
      </c>
      <c r="K544" t="s">
        <v>19</v>
      </c>
      <c r="L544" t="s">
        <v>20</v>
      </c>
      <c r="M544" s="9">
        <v>8481802</v>
      </c>
      <c r="N544" t="s">
        <v>3477</v>
      </c>
      <c r="O544">
        <v>18</v>
      </c>
      <c r="P544" t="s">
        <v>3477</v>
      </c>
      <c r="Q544">
        <v>18</v>
      </c>
      <c r="R544" s="13">
        <v>7980</v>
      </c>
      <c r="S544" s="13">
        <v>5586</v>
      </c>
    </row>
    <row r="545" spans="1:19">
      <c r="A545" s="9" t="s">
        <v>22</v>
      </c>
      <c r="B545" s="9" t="s">
        <v>27</v>
      </c>
      <c r="C545" s="9" t="s">
        <v>117</v>
      </c>
      <c r="D545" t="s">
        <v>204</v>
      </c>
      <c r="F545" s="12" t="s">
        <v>2049</v>
      </c>
      <c r="G545" s="10" t="s">
        <v>579</v>
      </c>
      <c r="H545" s="10" t="s">
        <v>579</v>
      </c>
      <c r="K545" t="s">
        <v>19</v>
      </c>
      <c r="L545" t="s">
        <v>20</v>
      </c>
      <c r="M545" s="9">
        <v>8481802</v>
      </c>
      <c r="N545" t="s">
        <v>3477</v>
      </c>
      <c r="O545">
        <v>18</v>
      </c>
      <c r="P545" t="s">
        <v>3477</v>
      </c>
      <c r="Q545">
        <v>18</v>
      </c>
      <c r="R545" s="13">
        <v>15630</v>
      </c>
      <c r="S545" s="13">
        <v>10941</v>
      </c>
    </row>
    <row r="546" spans="1:19">
      <c r="A546" s="9" t="s">
        <v>22</v>
      </c>
      <c r="B546" s="9" t="s">
        <v>27</v>
      </c>
      <c r="C546" s="9" t="s">
        <v>117</v>
      </c>
      <c r="D546" t="s">
        <v>204</v>
      </c>
      <c r="F546" s="12" t="s">
        <v>2050</v>
      </c>
      <c r="G546" s="10" t="s">
        <v>580</v>
      </c>
      <c r="H546" s="10" t="s">
        <v>580</v>
      </c>
      <c r="K546" t="s">
        <v>19</v>
      </c>
      <c r="L546" t="s">
        <v>20</v>
      </c>
      <c r="M546" s="9">
        <v>8481802</v>
      </c>
      <c r="N546" t="s">
        <v>3477</v>
      </c>
      <c r="O546">
        <v>18</v>
      </c>
      <c r="P546" t="s">
        <v>3477</v>
      </c>
      <c r="Q546">
        <v>18</v>
      </c>
      <c r="R546" s="13">
        <v>17500</v>
      </c>
      <c r="S546" s="13">
        <v>12250</v>
      </c>
    </row>
    <row r="547" spans="1:19">
      <c r="A547" s="9" t="s">
        <v>22</v>
      </c>
      <c r="B547" s="9" t="s">
        <v>27</v>
      </c>
      <c r="C547" s="9" t="s">
        <v>117</v>
      </c>
      <c r="D547" t="s">
        <v>204</v>
      </c>
      <c r="F547" s="12" t="s">
        <v>2051</v>
      </c>
      <c r="G547" s="10" t="s">
        <v>580</v>
      </c>
      <c r="H547" s="10" t="s">
        <v>580</v>
      </c>
      <c r="K547" t="s">
        <v>19</v>
      </c>
      <c r="L547" t="s">
        <v>20</v>
      </c>
      <c r="M547" s="9">
        <v>8481802</v>
      </c>
      <c r="N547" t="s">
        <v>3477</v>
      </c>
      <c r="O547">
        <v>18</v>
      </c>
      <c r="P547" t="s">
        <v>3477</v>
      </c>
      <c r="Q547">
        <v>18</v>
      </c>
      <c r="R547" s="13">
        <v>12500</v>
      </c>
      <c r="S547" s="13">
        <v>8750</v>
      </c>
    </row>
    <row r="548" spans="1:19">
      <c r="A548" s="9" t="s">
        <v>22</v>
      </c>
      <c r="B548" s="9" t="s">
        <v>27</v>
      </c>
      <c r="C548" s="9" t="s">
        <v>117</v>
      </c>
      <c r="D548" t="s">
        <v>204</v>
      </c>
      <c r="F548" s="12" t="s">
        <v>2052</v>
      </c>
      <c r="G548" s="10" t="s">
        <v>581</v>
      </c>
      <c r="H548" s="10" t="s">
        <v>581</v>
      </c>
      <c r="K548" t="s">
        <v>19</v>
      </c>
      <c r="L548" t="s">
        <v>20</v>
      </c>
      <c r="M548" s="9">
        <v>8481802</v>
      </c>
      <c r="N548" t="s">
        <v>3477</v>
      </c>
      <c r="O548">
        <v>18</v>
      </c>
      <c r="P548" t="s">
        <v>3477</v>
      </c>
      <c r="Q548">
        <v>18</v>
      </c>
      <c r="R548" s="13">
        <v>17500</v>
      </c>
      <c r="S548" s="13">
        <v>12250</v>
      </c>
    </row>
    <row r="549" spans="1:19">
      <c r="A549" s="9" t="s">
        <v>23</v>
      </c>
      <c r="B549" s="9" t="s">
        <v>26</v>
      </c>
      <c r="C549" s="9" t="s">
        <v>127</v>
      </c>
      <c r="D549" t="s">
        <v>204</v>
      </c>
      <c r="F549" s="12" t="s">
        <v>2053</v>
      </c>
      <c r="G549" s="10" t="s">
        <v>582</v>
      </c>
      <c r="H549" s="10" t="s">
        <v>582</v>
      </c>
      <c r="K549" t="s">
        <v>19</v>
      </c>
      <c r="L549" t="s">
        <v>20</v>
      </c>
      <c r="M549" s="9">
        <v>39229</v>
      </c>
      <c r="N549" t="s">
        <v>3477</v>
      </c>
      <c r="O549">
        <v>18</v>
      </c>
      <c r="P549" t="s">
        <v>3477</v>
      </c>
      <c r="Q549">
        <v>18</v>
      </c>
      <c r="R549" s="13">
        <v>31280</v>
      </c>
      <c r="S549" s="13">
        <v>18768</v>
      </c>
    </row>
    <row r="550" spans="1:19">
      <c r="A550" s="9" t="s">
        <v>23</v>
      </c>
      <c r="B550" s="9" t="s">
        <v>26</v>
      </c>
      <c r="C550" s="9" t="s">
        <v>127</v>
      </c>
      <c r="D550" t="s">
        <v>204</v>
      </c>
      <c r="F550" s="12" t="s">
        <v>2054</v>
      </c>
      <c r="G550" s="10" t="s">
        <v>583</v>
      </c>
      <c r="H550" s="10" t="s">
        <v>583</v>
      </c>
      <c r="K550" t="s">
        <v>19</v>
      </c>
      <c r="L550" t="s">
        <v>20</v>
      </c>
      <c r="M550" s="9">
        <v>39229</v>
      </c>
      <c r="N550" t="s">
        <v>3477</v>
      </c>
      <c r="O550">
        <v>18</v>
      </c>
      <c r="P550" t="s">
        <v>3477</v>
      </c>
      <c r="Q550">
        <v>18</v>
      </c>
      <c r="R550" s="13">
        <v>10000</v>
      </c>
      <c r="S550" s="13">
        <v>6000</v>
      </c>
    </row>
    <row r="551" spans="1:19">
      <c r="A551" s="9" t="s">
        <v>23</v>
      </c>
      <c r="B551" s="9" t="s">
        <v>26</v>
      </c>
      <c r="C551" s="9" t="s">
        <v>127</v>
      </c>
      <c r="D551" t="s">
        <v>204</v>
      </c>
      <c r="F551" s="12" t="s">
        <v>2055</v>
      </c>
      <c r="G551" s="10" t="s">
        <v>584</v>
      </c>
      <c r="H551" s="10" t="s">
        <v>584</v>
      </c>
      <c r="K551" t="s">
        <v>19</v>
      </c>
      <c r="L551" t="s">
        <v>20</v>
      </c>
      <c r="M551" s="9">
        <v>39229</v>
      </c>
      <c r="N551" t="s">
        <v>3477</v>
      </c>
      <c r="O551">
        <v>18</v>
      </c>
      <c r="P551" t="s">
        <v>3477</v>
      </c>
      <c r="Q551">
        <v>18</v>
      </c>
      <c r="R551" s="13">
        <v>10000</v>
      </c>
      <c r="S551" s="13">
        <v>6000</v>
      </c>
    </row>
    <row r="552" spans="1:19">
      <c r="A552" s="9" t="s">
        <v>23</v>
      </c>
      <c r="B552" s="9" t="s">
        <v>26</v>
      </c>
      <c r="C552" s="9" t="s">
        <v>127</v>
      </c>
      <c r="D552" t="s">
        <v>204</v>
      </c>
      <c r="F552" s="12" t="s">
        <v>2056</v>
      </c>
      <c r="G552" s="10" t="s">
        <v>585</v>
      </c>
      <c r="H552" s="10" t="s">
        <v>585</v>
      </c>
      <c r="K552" t="s">
        <v>19</v>
      </c>
      <c r="L552" t="s">
        <v>20</v>
      </c>
      <c r="M552" s="9">
        <v>39229</v>
      </c>
      <c r="N552" t="s">
        <v>3477</v>
      </c>
      <c r="O552">
        <v>18</v>
      </c>
      <c r="P552" t="s">
        <v>3477</v>
      </c>
      <c r="Q552">
        <v>18</v>
      </c>
      <c r="R552" s="13">
        <v>10000</v>
      </c>
      <c r="S552" s="13">
        <v>6000</v>
      </c>
    </row>
    <row r="553" spans="1:19">
      <c r="A553" s="9" t="s">
        <v>23</v>
      </c>
      <c r="B553" s="9" t="s">
        <v>26</v>
      </c>
      <c r="C553" s="9" t="s">
        <v>127</v>
      </c>
      <c r="D553" t="s">
        <v>204</v>
      </c>
      <c r="F553" s="12" t="s">
        <v>2057</v>
      </c>
      <c r="G553" s="10" t="s">
        <v>586</v>
      </c>
      <c r="H553" s="10" t="s">
        <v>586</v>
      </c>
      <c r="K553" t="s">
        <v>19</v>
      </c>
      <c r="L553" t="s">
        <v>20</v>
      </c>
      <c r="M553" s="9">
        <v>39229</v>
      </c>
      <c r="N553" t="s">
        <v>3477</v>
      </c>
      <c r="O553">
        <v>18</v>
      </c>
      <c r="P553" t="s">
        <v>3477</v>
      </c>
      <c r="Q553">
        <v>18</v>
      </c>
      <c r="R553" s="13">
        <v>10000</v>
      </c>
      <c r="S553" s="13">
        <v>6000</v>
      </c>
    </row>
    <row r="554" spans="1:19">
      <c r="A554" s="9" t="s">
        <v>22</v>
      </c>
      <c r="B554" s="9" t="s">
        <v>26</v>
      </c>
      <c r="C554" s="9" t="s">
        <v>137</v>
      </c>
      <c r="D554" t="s">
        <v>204</v>
      </c>
      <c r="F554" s="12" t="s">
        <v>2058</v>
      </c>
      <c r="G554" s="10" t="s">
        <v>586</v>
      </c>
      <c r="H554" s="10" t="s">
        <v>586</v>
      </c>
      <c r="K554" t="s">
        <v>19</v>
      </c>
      <c r="L554" t="s">
        <v>20</v>
      </c>
      <c r="M554" s="9">
        <v>9032891</v>
      </c>
      <c r="N554" t="s">
        <v>3477</v>
      </c>
      <c r="O554">
        <v>18</v>
      </c>
      <c r="P554" t="s">
        <v>3477</v>
      </c>
      <c r="Q554">
        <v>18</v>
      </c>
      <c r="R554" s="13">
        <v>25000</v>
      </c>
      <c r="S554" s="13">
        <v>17500</v>
      </c>
    </row>
    <row r="555" spans="1:19">
      <c r="A555" s="9" t="s">
        <v>22</v>
      </c>
      <c r="B555" s="9" t="s">
        <v>26</v>
      </c>
      <c r="C555" s="9" t="s">
        <v>137</v>
      </c>
      <c r="D555" t="s">
        <v>204</v>
      </c>
      <c r="F555" s="12" t="s">
        <v>2059</v>
      </c>
      <c r="G555" s="10" t="s">
        <v>587</v>
      </c>
      <c r="H555" s="10" t="s">
        <v>587</v>
      </c>
      <c r="K555" t="s">
        <v>19</v>
      </c>
      <c r="L555" t="s">
        <v>20</v>
      </c>
      <c r="M555" s="9">
        <v>9032891</v>
      </c>
      <c r="N555" t="s">
        <v>3477</v>
      </c>
      <c r="O555">
        <v>18</v>
      </c>
      <c r="P555" t="s">
        <v>3477</v>
      </c>
      <c r="Q555">
        <v>18</v>
      </c>
      <c r="R555" s="13">
        <v>26400</v>
      </c>
      <c r="S555" s="13">
        <v>18480</v>
      </c>
    </row>
    <row r="556" spans="1:19">
      <c r="A556" s="9" t="s">
        <v>22</v>
      </c>
      <c r="B556" s="9" t="s">
        <v>27</v>
      </c>
      <c r="C556" s="9" t="s">
        <v>83</v>
      </c>
      <c r="D556" t="s">
        <v>204</v>
      </c>
      <c r="F556" s="12" t="s">
        <v>2060</v>
      </c>
      <c r="G556" s="10" t="s">
        <v>588</v>
      </c>
      <c r="H556" s="10" t="s">
        <v>588</v>
      </c>
      <c r="K556" t="s">
        <v>19</v>
      </c>
      <c r="L556" t="s">
        <v>20</v>
      </c>
      <c r="M556" s="9">
        <v>8481802</v>
      </c>
      <c r="N556" t="s">
        <v>3477</v>
      </c>
      <c r="O556">
        <v>18</v>
      </c>
      <c r="P556" t="s">
        <v>3477</v>
      </c>
      <c r="Q556">
        <v>18</v>
      </c>
      <c r="R556" s="13">
        <v>21000</v>
      </c>
      <c r="S556" s="13">
        <v>14699.999999999998</v>
      </c>
    </row>
    <row r="557" spans="1:19">
      <c r="A557" s="9" t="s">
        <v>22</v>
      </c>
      <c r="B557" s="9" t="s">
        <v>27</v>
      </c>
      <c r="C557" s="9" t="s">
        <v>117</v>
      </c>
      <c r="D557" t="s">
        <v>204</v>
      </c>
      <c r="F557" s="12" t="s">
        <v>2061</v>
      </c>
      <c r="G557" s="10" t="s">
        <v>588</v>
      </c>
      <c r="H557" s="10" t="s">
        <v>588</v>
      </c>
      <c r="K557" t="s">
        <v>19</v>
      </c>
      <c r="L557" t="s">
        <v>20</v>
      </c>
      <c r="M557" s="9">
        <v>8481802</v>
      </c>
      <c r="N557" t="s">
        <v>3477</v>
      </c>
      <c r="O557">
        <v>18</v>
      </c>
      <c r="P557" t="s">
        <v>3477</v>
      </c>
      <c r="Q557">
        <v>18</v>
      </c>
      <c r="R557" s="13">
        <v>30000</v>
      </c>
      <c r="S557" s="13">
        <v>21000</v>
      </c>
    </row>
    <row r="558" spans="1:19">
      <c r="A558" s="9" t="s">
        <v>22</v>
      </c>
      <c r="B558" s="9" t="s">
        <v>27</v>
      </c>
      <c r="C558" s="9" t="s">
        <v>117</v>
      </c>
      <c r="D558" t="s">
        <v>204</v>
      </c>
      <c r="F558" s="12" t="s">
        <v>2062</v>
      </c>
      <c r="G558" s="10" t="s">
        <v>589</v>
      </c>
      <c r="H558" s="10" t="s">
        <v>589</v>
      </c>
      <c r="K558" t="s">
        <v>19</v>
      </c>
      <c r="L558" t="s">
        <v>20</v>
      </c>
      <c r="M558" s="9">
        <v>8481802</v>
      </c>
      <c r="N558" t="s">
        <v>3477</v>
      </c>
      <c r="O558">
        <v>18</v>
      </c>
      <c r="P558" t="s">
        <v>3477</v>
      </c>
      <c r="Q558">
        <v>18</v>
      </c>
      <c r="R558" s="13">
        <v>30000</v>
      </c>
      <c r="S558" s="13">
        <v>21000</v>
      </c>
    </row>
    <row r="559" spans="1:19">
      <c r="A559" s="9" t="s">
        <v>22</v>
      </c>
      <c r="B559" s="9" t="s">
        <v>27</v>
      </c>
      <c r="C559" s="9" t="s">
        <v>117</v>
      </c>
      <c r="D559" t="s">
        <v>204</v>
      </c>
      <c r="F559" s="12" t="s">
        <v>2063</v>
      </c>
      <c r="G559" s="10" t="s">
        <v>590</v>
      </c>
      <c r="H559" s="10" t="s">
        <v>590</v>
      </c>
      <c r="K559" t="s">
        <v>19</v>
      </c>
      <c r="L559" t="s">
        <v>20</v>
      </c>
      <c r="M559" s="9">
        <v>8481802</v>
      </c>
      <c r="N559" t="s">
        <v>3477</v>
      </c>
      <c r="O559">
        <v>18</v>
      </c>
      <c r="P559" t="s">
        <v>3477</v>
      </c>
      <c r="Q559">
        <v>18</v>
      </c>
      <c r="R559" s="13">
        <v>28000</v>
      </c>
      <c r="S559" s="13">
        <v>19600</v>
      </c>
    </row>
    <row r="560" spans="1:19">
      <c r="A560" s="9" t="s">
        <v>23</v>
      </c>
      <c r="B560" s="9" t="s">
        <v>26</v>
      </c>
      <c r="C560" s="9" t="s">
        <v>80</v>
      </c>
      <c r="D560" t="s">
        <v>204</v>
      </c>
      <c r="F560" s="12" t="s">
        <v>2064</v>
      </c>
      <c r="G560" s="10" t="s">
        <v>591</v>
      </c>
      <c r="H560" s="10" t="s">
        <v>591</v>
      </c>
      <c r="K560" t="s">
        <v>19</v>
      </c>
      <c r="L560" t="s">
        <v>20</v>
      </c>
      <c r="M560" s="9">
        <v>69101</v>
      </c>
      <c r="N560" t="s">
        <v>3477</v>
      </c>
      <c r="O560">
        <v>18</v>
      </c>
      <c r="P560" t="s">
        <v>3477</v>
      </c>
      <c r="Q560">
        <v>18</v>
      </c>
      <c r="R560" s="13">
        <v>180000</v>
      </c>
      <c r="S560" s="13">
        <v>108000</v>
      </c>
    </row>
    <row r="561" spans="1:19">
      <c r="A561" s="9" t="s">
        <v>22</v>
      </c>
      <c r="B561" s="9" t="s">
        <v>27</v>
      </c>
      <c r="C561" s="9" t="s">
        <v>95</v>
      </c>
      <c r="D561" t="s">
        <v>204</v>
      </c>
      <c r="F561" s="12" t="s">
        <v>2065</v>
      </c>
      <c r="G561" s="10" t="s">
        <v>591</v>
      </c>
      <c r="H561" s="10" t="s">
        <v>591</v>
      </c>
      <c r="K561" t="s">
        <v>19</v>
      </c>
      <c r="L561" t="s">
        <v>20</v>
      </c>
      <c r="M561" s="9">
        <v>8481802</v>
      </c>
      <c r="N561" t="s">
        <v>3477</v>
      </c>
      <c r="O561">
        <v>18</v>
      </c>
      <c r="P561" t="s">
        <v>3477</v>
      </c>
      <c r="Q561">
        <v>18</v>
      </c>
      <c r="R561" s="13">
        <v>14000</v>
      </c>
      <c r="S561" s="13">
        <v>9800</v>
      </c>
    </row>
    <row r="562" spans="1:19">
      <c r="A562" s="9" t="s">
        <v>22</v>
      </c>
      <c r="B562" s="9" t="s">
        <v>27</v>
      </c>
      <c r="C562" s="9" t="s">
        <v>95</v>
      </c>
      <c r="D562" t="s">
        <v>204</v>
      </c>
      <c r="F562" s="12" t="s">
        <v>2066</v>
      </c>
      <c r="G562" s="10" t="s">
        <v>591</v>
      </c>
      <c r="H562" s="10" t="s">
        <v>591</v>
      </c>
      <c r="K562" t="s">
        <v>19</v>
      </c>
      <c r="L562" t="s">
        <v>20</v>
      </c>
      <c r="M562" s="9">
        <v>8481802</v>
      </c>
      <c r="N562" t="s">
        <v>3477</v>
      </c>
      <c r="O562">
        <v>18</v>
      </c>
      <c r="P562" t="s">
        <v>3477</v>
      </c>
      <c r="Q562">
        <v>18</v>
      </c>
      <c r="R562" s="13">
        <v>16700</v>
      </c>
      <c r="S562" s="13">
        <v>11690</v>
      </c>
    </row>
    <row r="563" spans="1:19">
      <c r="A563" s="9" t="s">
        <v>23</v>
      </c>
      <c r="B563" s="9" t="s">
        <v>27</v>
      </c>
      <c r="C563" s="9" t="s">
        <v>95</v>
      </c>
      <c r="D563" t="s">
        <v>204</v>
      </c>
      <c r="F563" s="12" t="s">
        <v>2067</v>
      </c>
      <c r="G563" s="10" t="s">
        <v>591</v>
      </c>
      <c r="H563" s="10" t="s">
        <v>591</v>
      </c>
      <c r="K563" t="s">
        <v>19</v>
      </c>
      <c r="L563" t="s">
        <v>20</v>
      </c>
      <c r="M563" s="9">
        <v>8481802</v>
      </c>
      <c r="N563" t="s">
        <v>3477</v>
      </c>
      <c r="O563">
        <v>18</v>
      </c>
      <c r="P563" t="s">
        <v>3477</v>
      </c>
      <c r="Q563">
        <v>18</v>
      </c>
      <c r="R563" s="13">
        <v>16700</v>
      </c>
      <c r="S563" s="13">
        <v>10020</v>
      </c>
    </row>
    <row r="564" spans="1:19">
      <c r="A564" s="9" t="s">
        <v>22</v>
      </c>
      <c r="B564" s="9" t="s">
        <v>27</v>
      </c>
      <c r="C564" s="9" t="s">
        <v>95</v>
      </c>
      <c r="D564" t="s">
        <v>204</v>
      </c>
      <c r="F564" s="12" t="s">
        <v>2068</v>
      </c>
      <c r="G564" s="10" t="s">
        <v>591</v>
      </c>
      <c r="H564" s="10" t="s">
        <v>591</v>
      </c>
      <c r="K564" t="s">
        <v>19</v>
      </c>
      <c r="L564" t="s">
        <v>20</v>
      </c>
      <c r="M564" s="9">
        <v>8481802</v>
      </c>
      <c r="N564" t="s">
        <v>3477</v>
      </c>
      <c r="O564">
        <v>18</v>
      </c>
      <c r="P564" t="s">
        <v>3477</v>
      </c>
      <c r="Q564">
        <v>18</v>
      </c>
      <c r="R564" s="13">
        <v>11100</v>
      </c>
      <c r="S564" s="13">
        <v>7769.9999999999991</v>
      </c>
    </row>
    <row r="565" spans="1:19">
      <c r="A565" s="9" t="s">
        <v>22</v>
      </c>
      <c r="B565" s="9" t="s">
        <v>27</v>
      </c>
      <c r="C565" s="9" t="s">
        <v>95</v>
      </c>
      <c r="D565" t="s">
        <v>204</v>
      </c>
      <c r="F565" s="12" t="s">
        <v>2069</v>
      </c>
      <c r="G565" s="10" t="s">
        <v>592</v>
      </c>
      <c r="H565" s="10" t="s">
        <v>592</v>
      </c>
      <c r="K565" t="s">
        <v>19</v>
      </c>
      <c r="L565" t="s">
        <v>20</v>
      </c>
      <c r="M565" s="9">
        <v>8481802</v>
      </c>
      <c r="N565" t="s">
        <v>3477</v>
      </c>
      <c r="O565">
        <v>18</v>
      </c>
      <c r="P565" t="s">
        <v>3477</v>
      </c>
      <c r="Q565">
        <v>18</v>
      </c>
      <c r="R565" s="13">
        <v>15500</v>
      </c>
      <c r="S565" s="13">
        <v>10850</v>
      </c>
    </row>
    <row r="566" spans="1:19">
      <c r="A566" s="9" t="s">
        <v>23</v>
      </c>
      <c r="B566" s="9" t="s">
        <v>27</v>
      </c>
      <c r="C566" s="9" t="s">
        <v>90</v>
      </c>
      <c r="D566" t="s">
        <v>204</v>
      </c>
      <c r="F566" s="12" t="s">
        <v>2070</v>
      </c>
      <c r="G566" s="10" t="s">
        <v>592</v>
      </c>
      <c r="H566" s="10" t="s">
        <v>592</v>
      </c>
      <c r="K566" t="s">
        <v>19</v>
      </c>
      <c r="L566" t="s">
        <v>20</v>
      </c>
      <c r="M566" s="9">
        <v>7418201</v>
      </c>
      <c r="N566" t="s">
        <v>3477</v>
      </c>
      <c r="O566">
        <v>18</v>
      </c>
      <c r="P566" t="s">
        <v>3477</v>
      </c>
      <c r="Q566">
        <v>18</v>
      </c>
      <c r="R566" s="13">
        <v>50000</v>
      </c>
      <c r="S566" s="13">
        <v>30000</v>
      </c>
    </row>
    <row r="567" spans="1:19">
      <c r="A567" s="9" t="s">
        <v>23</v>
      </c>
      <c r="B567" s="9" t="s">
        <v>27</v>
      </c>
      <c r="C567" s="9" t="s">
        <v>90</v>
      </c>
      <c r="D567" t="s">
        <v>204</v>
      </c>
      <c r="F567" s="12" t="s">
        <v>2071</v>
      </c>
      <c r="G567" s="10" t="s">
        <v>592</v>
      </c>
      <c r="H567" s="10" t="s">
        <v>592</v>
      </c>
      <c r="K567" t="s">
        <v>19</v>
      </c>
      <c r="L567" t="s">
        <v>20</v>
      </c>
      <c r="M567" s="9">
        <v>7418201</v>
      </c>
      <c r="N567" t="s">
        <v>3477</v>
      </c>
      <c r="O567">
        <v>18</v>
      </c>
      <c r="P567" t="s">
        <v>3477</v>
      </c>
      <c r="Q567">
        <v>18</v>
      </c>
      <c r="R567" s="13">
        <v>56000</v>
      </c>
      <c r="S567" s="13">
        <v>33600</v>
      </c>
    </row>
    <row r="568" spans="1:19">
      <c r="A568" s="9" t="s">
        <v>23</v>
      </c>
      <c r="B568" s="9" t="s">
        <v>27</v>
      </c>
      <c r="C568" s="9" t="s">
        <v>90</v>
      </c>
      <c r="D568" t="s">
        <v>204</v>
      </c>
      <c r="F568" s="12" t="s">
        <v>2072</v>
      </c>
      <c r="G568" s="10" t="s">
        <v>592</v>
      </c>
      <c r="H568" s="10" t="s">
        <v>592</v>
      </c>
      <c r="K568" t="s">
        <v>19</v>
      </c>
      <c r="L568" t="s">
        <v>20</v>
      </c>
      <c r="M568" s="9">
        <v>39229</v>
      </c>
      <c r="N568" t="s">
        <v>3477</v>
      </c>
      <c r="O568">
        <v>18</v>
      </c>
      <c r="P568" t="s">
        <v>3477</v>
      </c>
      <c r="Q568">
        <v>18</v>
      </c>
      <c r="R568" s="13">
        <v>60000</v>
      </c>
      <c r="S568" s="13">
        <v>36000</v>
      </c>
    </row>
    <row r="569" spans="1:19">
      <c r="A569" s="9" t="s">
        <v>23</v>
      </c>
      <c r="B569" s="9" t="s">
        <v>27</v>
      </c>
      <c r="C569" s="9" t="s">
        <v>90</v>
      </c>
      <c r="D569" t="s">
        <v>204</v>
      </c>
      <c r="F569" s="12" t="s">
        <v>2073</v>
      </c>
      <c r="G569" s="10" t="s">
        <v>592</v>
      </c>
      <c r="H569" s="10" t="s">
        <v>592</v>
      </c>
      <c r="K569" t="s">
        <v>19</v>
      </c>
      <c r="L569" t="s">
        <v>20</v>
      </c>
      <c r="M569" s="9">
        <v>39229</v>
      </c>
      <c r="N569" t="s">
        <v>3477</v>
      </c>
      <c r="O569">
        <v>18</v>
      </c>
      <c r="P569" t="s">
        <v>3477</v>
      </c>
      <c r="Q569">
        <v>18</v>
      </c>
      <c r="R569" s="13">
        <v>40000</v>
      </c>
      <c r="S569" s="13">
        <v>24000</v>
      </c>
    </row>
    <row r="570" spans="1:19">
      <c r="A570" s="9" t="s">
        <v>23</v>
      </c>
      <c r="B570" s="9" t="s">
        <v>27</v>
      </c>
      <c r="C570" s="9" t="s">
        <v>90</v>
      </c>
      <c r="D570" t="s">
        <v>204</v>
      </c>
      <c r="F570" s="12" t="s">
        <v>2074</v>
      </c>
      <c r="G570" s="10" t="s">
        <v>593</v>
      </c>
      <c r="H570" s="10" t="s">
        <v>593</v>
      </c>
      <c r="K570" t="s">
        <v>19</v>
      </c>
      <c r="L570" t="s">
        <v>20</v>
      </c>
      <c r="M570" s="9">
        <v>7418201</v>
      </c>
      <c r="N570" t="s">
        <v>3477</v>
      </c>
      <c r="O570">
        <v>18</v>
      </c>
      <c r="P570" t="s">
        <v>3477</v>
      </c>
      <c r="Q570">
        <v>18</v>
      </c>
      <c r="R570" s="13">
        <v>56000</v>
      </c>
      <c r="S570" s="13">
        <v>33600</v>
      </c>
    </row>
    <row r="571" spans="1:19">
      <c r="A571" s="9" t="s">
        <v>23</v>
      </c>
      <c r="B571" s="9" t="s">
        <v>26</v>
      </c>
      <c r="C571" s="9" t="s">
        <v>138</v>
      </c>
      <c r="D571" t="s">
        <v>204</v>
      </c>
      <c r="F571" s="12" t="s">
        <v>2075</v>
      </c>
      <c r="G571" s="10" t="s">
        <v>594</v>
      </c>
      <c r="H571" s="10" t="s">
        <v>594</v>
      </c>
      <c r="K571" t="s">
        <v>19</v>
      </c>
      <c r="L571" t="s">
        <v>20</v>
      </c>
      <c r="M571" s="9">
        <v>69101</v>
      </c>
      <c r="N571" t="s">
        <v>3477</v>
      </c>
      <c r="O571">
        <v>18</v>
      </c>
      <c r="P571" t="s">
        <v>3477</v>
      </c>
      <c r="Q571">
        <v>18</v>
      </c>
      <c r="R571" s="13">
        <v>150000</v>
      </c>
      <c r="S571" s="13">
        <v>90000</v>
      </c>
    </row>
    <row r="572" spans="1:19">
      <c r="A572" s="9" t="s">
        <v>22</v>
      </c>
      <c r="B572" s="9" t="s">
        <v>26</v>
      </c>
      <c r="C572" s="9" t="s">
        <v>139</v>
      </c>
      <c r="D572" t="s">
        <v>204</v>
      </c>
      <c r="F572" s="12" t="s">
        <v>2076</v>
      </c>
      <c r="G572" s="10" t="s">
        <v>594</v>
      </c>
      <c r="H572" s="10" t="s">
        <v>594</v>
      </c>
      <c r="K572" t="s">
        <v>19</v>
      </c>
      <c r="L572" t="s">
        <v>20</v>
      </c>
      <c r="M572" s="9">
        <v>39229</v>
      </c>
      <c r="N572" t="s">
        <v>3477</v>
      </c>
      <c r="O572">
        <v>18</v>
      </c>
      <c r="P572" t="s">
        <v>3477</v>
      </c>
      <c r="Q572">
        <v>18</v>
      </c>
      <c r="R572" s="13">
        <v>7400</v>
      </c>
      <c r="S572" s="13">
        <v>5180</v>
      </c>
    </row>
    <row r="573" spans="1:19">
      <c r="A573" s="9" t="s">
        <v>22</v>
      </c>
      <c r="B573" s="9" t="s">
        <v>26</v>
      </c>
      <c r="C573" s="9" t="s">
        <v>139</v>
      </c>
      <c r="D573" t="s">
        <v>204</v>
      </c>
      <c r="F573" s="12" t="s">
        <v>2077</v>
      </c>
      <c r="G573" s="10" t="s">
        <v>595</v>
      </c>
      <c r="H573" s="10" t="s">
        <v>595</v>
      </c>
      <c r="K573" t="s">
        <v>19</v>
      </c>
      <c r="L573" t="s">
        <v>20</v>
      </c>
      <c r="M573" s="9">
        <v>39229</v>
      </c>
      <c r="N573" t="s">
        <v>3477</v>
      </c>
      <c r="O573">
        <v>18</v>
      </c>
      <c r="P573" t="s">
        <v>3477</v>
      </c>
      <c r="Q573">
        <v>18</v>
      </c>
      <c r="R573" s="13">
        <v>2630</v>
      </c>
      <c r="S573" s="13">
        <v>1840.9999999999998</v>
      </c>
    </row>
    <row r="574" spans="1:19">
      <c r="A574" s="9" t="s">
        <v>24</v>
      </c>
      <c r="B574" s="9" t="s">
        <v>26</v>
      </c>
      <c r="C574" s="9" t="s">
        <v>75</v>
      </c>
      <c r="D574" t="s">
        <v>204</v>
      </c>
      <c r="F574" s="12" t="s">
        <v>2078</v>
      </c>
      <c r="G574" s="10" t="s">
        <v>596</v>
      </c>
      <c r="H574" s="10" t="s">
        <v>596</v>
      </c>
      <c r="K574" t="s">
        <v>19</v>
      </c>
      <c r="L574" t="s">
        <v>20</v>
      </c>
      <c r="M574" s="9">
        <v>69101</v>
      </c>
      <c r="N574" t="s">
        <v>3477</v>
      </c>
      <c r="O574">
        <v>18</v>
      </c>
      <c r="P574" t="s">
        <v>3477</v>
      </c>
      <c r="Q574">
        <v>18</v>
      </c>
      <c r="R574" s="13">
        <v>8400</v>
      </c>
      <c r="S574" s="13">
        <v>6300</v>
      </c>
    </row>
    <row r="575" spans="1:19">
      <c r="A575" s="9" t="s">
        <v>24</v>
      </c>
      <c r="B575" s="9" t="s">
        <v>26</v>
      </c>
      <c r="C575" s="9" t="s">
        <v>111</v>
      </c>
      <c r="D575" t="s">
        <v>204</v>
      </c>
      <c r="F575" s="12" t="s">
        <v>2079</v>
      </c>
      <c r="G575" s="10" t="s">
        <v>597</v>
      </c>
      <c r="H575" s="10" t="s">
        <v>597</v>
      </c>
      <c r="K575" t="s">
        <v>19</v>
      </c>
      <c r="L575" t="s">
        <v>20</v>
      </c>
      <c r="M575" s="9">
        <v>69101</v>
      </c>
      <c r="N575" t="s">
        <v>3477</v>
      </c>
      <c r="O575">
        <v>18</v>
      </c>
      <c r="P575" t="s">
        <v>3477</v>
      </c>
      <c r="Q575">
        <v>18</v>
      </c>
      <c r="R575" s="13">
        <v>7200</v>
      </c>
      <c r="S575" s="13">
        <v>5400</v>
      </c>
    </row>
    <row r="576" spans="1:19">
      <c r="A576" s="9" t="s">
        <v>24</v>
      </c>
      <c r="B576" s="9" t="s">
        <v>26</v>
      </c>
      <c r="C576" s="9" t="s">
        <v>75</v>
      </c>
      <c r="D576" t="s">
        <v>204</v>
      </c>
      <c r="F576" s="12" t="s">
        <v>2080</v>
      </c>
      <c r="G576" s="10" t="s">
        <v>598</v>
      </c>
      <c r="H576" s="10" t="s">
        <v>598</v>
      </c>
      <c r="K576" t="s">
        <v>19</v>
      </c>
      <c r="L576" t="s">
        <v>20</v>
      </c>
      <c r="M576" s="9">
        <v>69101</v>
      </c>
      <c r="N576" t="s">
        <v>3477</v>
      </c>
      <c r="O576">
        <v>18</v>
      </c>
      <c r="P576" t="s">
        <v>3477</v>
      </c>
      <c r="Q576">
        <v>18</v>
      </c>
      <c r="R576" s="13">
        <v>7450</v>
      </c>
      <c r="S576" s="13">
        <v>5587.5</v>
      </c>
    </row>
    <row r="577" spans="1:19">
      <c r="A577" s="9" t="s">
        <v>22</v>
      </c>
      <c r="B577" s="9" t="s">
        <v>33</v>
      </c>
      <c r="C577" s="9" t="s">
        <v>140</v>
      </c>
      <c r="D577" t="s">
        <v>204</v>
      </c>
      <c r="F577" s="12" t="s">
        <v>2081</v>
      </c>
      <c r="G577" s="10" t="s">
        <v>599</v>
      </c>
      <c r="H577" s="10" t="s">
        <v>599</v>
      </c>
      <c r="K577" t="s">
        <v>19</v>
      </c>
      <c r="L577" t="s">
        <v>20</v>
      </c>
      <c r="M577" s="9">
        <v>700992</v>
      </c>
      <c r="N577" t="s">
        <v>3477</v>
      </c>
      <c r="O577">
        <v>18</v>
      </c>
      <c r="P577" t="s">
        <v>3477</v>
      </c>
      <c r="Q577">
        <v>18</v>
      </c>
      <c r="R577" s="13">
        <v>12060</v>
      </c>
      <c r="S577" s="13">
        <v>8442</v>
      </c>
    </row>
    <row r="578" spans="1:19">
      <c r="A578" s="9" t="s">
        <v>22</v>
      </c>
      <c r="B578" s="9" t="s">
        <v>27</v>
      </c>
      <c r="C578" s="9" t="s">
        <v>64</v>
      </c>
      <c r="D578" t="s">
        <v>204</v>
      </c>
      <c r="F578" s="12" t="s">
        <v>2082</v>
      </c>
      <c r="G578" s="10" t="s">
        <v>600</v>
      </c>
      <c r="H578" s="10" t="s">
        <v>600</v>
      </c>
      <c r="K578" t="s">
        <v>19</v>
      </c>
      <c r="L578" t="s">
        <v>20</v>
      </c>
      <c r="M578" s="9">
        <v>39229</v>
      </c>
      <c r="N578" t="s">
        <v>3477</v>
      </c>
      <c r="O578">
        <v>18</v>
      </c>
      <c r="P578" t="s">
        <v>3477</v>
      </c>
      <c r="Q578">
        <v>18</v>
      </c>
      <c r="R578" s="13">
        <v>4500</v>
      </c>
      <c r="S578" s="13">
        <v>3150</v>
      </c>
    </row>
    <row r="579" spans="1:19">
      <c r="A579" s="9" t="s">
        <v>22</v>
      </c>
      <c r="B579" s="9" t="s">
        <v>26</v>
      </c>
      <c r="C579" s="9" t="s">
        <v>72</v>
      </c>
      <c r="D579" t="s">
        <v>204</v>
      </c>
      <c r="F579" s="12" t="s">
        <v>2083</v>
      </c>
      <c r="G579" s="10" t="s">
        <v>601</v>
      </c>
      <c r="H579" s="10" t="s">
        <v>601</v>
      </c>
      <c r="K579" t="s">
        <v>19</v>
      </c>
      <c r="L579" t="s">
        <v>20</v>
      </c>
      <c r="M579" s="9">
        <v>69101</v>
      </c>
      <c r="N579" t="s">
        <v>3477</v>
      </c>
      <c r="O579">
        <v>18</v>
      </c>
      <c r="P579" t="s">
        <v>3477</v>
      </c>
      <c r="Q579">
        <v>18</v>
      </c>
      <c r="R579" s="13">
        <v>23621</v>
      </c>
      <c r="S579" s="13">
        <v>16534.7</v>
      </c>
    </row>
    <row r="580" spans="1:19">
      <c r="A580" s="9" t="s">
        <v>22</v>
      </c>
      <c r="B580" s="9" t="s">
        <v>26</v>
      </c>
      <c r="C580" s="9" t="s">
        <v>115</v>
      </c>
      <c r="D580" t="s">
        <v>204</v>
      </c>
      <c r="F580" s="12" t="s">
        <v>2084</v>
      </c>
      <c r="G580" s="10" t="s">
        <v>602</v>
      </c>
      <c r="H580" s="10" t="s">
        <v>602</v>
      </c>
      <c r="K580" t="s">
        <v>19</v>
      </c>
      <c r="L580" t="s">
        <v>20</v>
      </c>
      <c r="M580" s="9">
        <v>69101</v>
      </c>
      <c r="N580" t="s">
        <v>3477</v>
      </c>
      <c r="O580">
        <v>18</v>
      </c>
      <c r="P580" t="s">
        <v>3477</v>
      </c>
      <c r="Q580">
        <v>18</v>
      </c>
      <c r="R580" s="13">
        <v>30590</v>
      </c>
      <c r="S580" s="13">
        <v>21413</v>
      </c>
    </row>
    <row r="581" spans="1:19">
      <c r="A581" s="9" t="s">
        <v>22</v>
      </c>
      <c r="B581" s="9" t="s">
        <v>26</v>
      </c>
      <c r="C581" s="9" t="s">
        <v>115</v>
      </c>
      <c r="D581" t="s">
        <v>204</v>
      </c>
      <c r="F581" s="12" t="s">
        <v>2085</v>
      </c>
      <c r="G581" s="10" t="s">
        <v>603</v>
      </c>
      <c r="H581" s="10" t="s">
        <v>603</v>
      </c>
      <c r="K581" t="s">
        <v>19</v>
      </c>
      <c r="L581" t="s">
        <v>20</v>
      </c>
      <c r="M581" s="9">
        <v>69101</v>
      </c>
      <c r="N581" t="s">
        <v>3477</v>
      </c>
      <c r="O581">
        <v>18</v>
      </c>
      <c r="P581" t="s">
        <v>3477</v>
      </c>
      <c r="Q581">
        <v>18</v>
      </c>
      <c r="R581" s="13">
        <v>30590</v>
      </c>
      <c r="S581" s="13">
        <v>21413</v>
      </c>
    </row>
    <row r="582" spans="1:19">
      <c r="A582" s="9" t="s">
        <v>22</v>
      </c>
      <c r="B582" s="9" t="s">
        <v>27</v>
      </c>
      <c r="C582" s="9" t="s">
        <v>65</v>
      </c>
      <c r="D582" t="s">
        <v>204</v>
      </c>
      <c r="F582" s="12" t="s">
        <v>2086</v>
      </c>
      <c r="G582" s="10" t="s">
        <v>603</v>
      </c>
      <c r="H582" s="10" t="s">
        <v>603</v>
      </c>
      <c r="K582" t="s">
        <v>19</v>
      </c>
      <c r="L582" t="s">
        <v>20</v>
      </c>
      <c r="M582" s="9">
        <v>39229</v>
      </c>
      <c r="N582" t="s">
        <v>3477</v>
      </c>
      <c r="O582">
        <v>18</v>
      </c>
      <c r="P582" t="s">
        <v>3477</v>
      </c>
      <c r="Q582">
        <v>18</v>
      </c>
      <c r="R582" s="13">
        <v>10600</v>
      </c>
      <c r="S582" s="13">
        <v>7419.9999999999991</v>
      </c>
    </row>
    <row r="583" spans="1:19">
      <c r="A583" s="9" t="s">
        <v>22</v>
      </c>
      <c r="B583" s="9" t="s">
        <v>27</v>
      </c>
      <c r="C583" s="9" t="s">
        <v>65</v>
      </c>
      <c r="D583" t="s">
        <v>204</v>
      </c>
      <c r="F583" s="12" t="s">
        <v>2087</v>
      </c>
      <c r="G583" s="10" t="s">
        <v>603</v>
      </c>
      <c r="H583" s="10" t="s">
        <v>603</v>
      </c>
      <c r="K583" t="s">
        <v>19</v>
      </c>
      <c r="L583" t="s">
        <v>20</v>
      </c>
      <c r="M583" s="9">
        <v>39229</v>
      </c>
      <c r="N583" t="s">
        <v>3477</v>
      </c>
      <c r="O583">
        <v>18</v>
      </c>
      <c r="P583" t="s">
        <v>3477</v>
      </c>
      <c r="Q583">
        <v>18</v>
      </c>
      <c r="R583" s="13">
        <v>12800</v>
      </c>
      <c r="S583" s="13">
        <v>8960</v>
      </c>
    </row>
    <row r="584" spans="1:19">
      <c r="A584" s="9" t="s">
        <v>22</v>
      </c>
      <c r="B584" s="9" t="s">
        <v>27</v>
      </c>
      <c r="C584" s="9" t="s">
        <v>65</v>
      </c>
      <c r="D584" t="s">
        <v>204</v>
      </c>
      <c r="F584" s="12" t="s">
        <v>2088</v>
      </c>
      <c r="G584" s="10" t="s">
        <v>603</v>
      </c>
      <c r="H584" s="10" t="s">
        <v>603</v>
      </c>
      <c r="K584" t="s">
        <v>19</v>
      </c>
      <c r="L584" t="s">
        <v>20</v>
      </c>
      <c r="M584" s="9">
        <v>39229</v>
      </c>
      <c r="N584" t="s">
        <v>3477</v>
      </c>
      <c r="O584">
        <v>18</v>
      </c>
      <c r="P584" t="s">
        <v>3477</v>
      </c>
      <c r="Q584">
        <v>18</v>
      </c>
      <c r="R584" s="13">
        <v>12800</v>
      </c>
      <c r="S584" s="13">
        <v>8960</v>
      </c>
    </row>
    <row r="585" spans="1:19">
      <c r="A585" s="9" t="s">
        <v>22</v>
      </c>
      <c r="B585" s="9" t="s">
        <v>27</v>
      </c>
      <c r="C585" s="9" t="s">
        <v>65</v>
      </c>
      <c r="D585" t="s">
        <v>204</v>
      </c>
      <c r="F585" s="12" t="s">
        <v>2089</v>
      </c>
      <c r="G585" s="10" t="s">
        <v>603</v>
      </c>
      <c r="H585" s="10" t="s">
        <v>603</v>
      </c>
      <c r="K585" t="s">
        <v>19</v>
      </c>
      <c r="L585" t="s">
        <v>20</v>
      </c>
      <c r="M585" s="9">
        <v>39229</v>
      </c>
      <c r="N585" t="s">
        <v>3477</v>
      </c>
      <c r="O585">
        <v>18</v>
      </c>
      <c r="P585" t="s">
        <v>3477</v>
      </c>
      <c r="Q585">
        <v>18</v>
      </c>
      <c r="R585" s="13">
        <v>8500</v>
      </c>
      <c r="S585" s="13">
        <v>5950</v>
      </c>
    </row>
    <row r="586" spans="1:19">
      <c r="A586" s="9" t="s">
        <v>22</v>
      </c>
      <c r="B586" s="9" t="s">
        <v>27</v>
      </c>
      <c r="C586" s="9" t="s">
        <v>65</v>
      </c>
      <c r="D586" t="s">
        <v>204</v>
      </c>
      <c r="F586" s="12" t="s">
        <v>2090</v>
      </c>
      <c r="G586" s="10" t="s">
        <v>603</v>
      </c>
      <c r="H586" s="10" t="s">
        <v>603</v>
      </c>
      <c r="K586" t="s">
        <v>19</v>
      </c>
      <c r="L586" t="s">
        <v>20</v>
      </c>
      <c r="M586" s="9">
        <v>39229</v>
      </c>
      <c r="N586" t="s">
        <v>3477</v>
      </c>
      <c r="O586">
        <v>18</v>
      </c>
      <c r="P586" t="s">
        <v>3477</v>
      </c>
      <c r="Q586">
        <v>18</v>
      </c>
      <c r="R586" s="13">
        <v>12800</v>
      </c>
      <c r="S586" s="13">
        <v>8960</v>
      </c>
    </row>
    <row r="587" spans="1:19">
      <c r="A587" s="9" t="s">
        <v>22</v>
      </c>
      <c r="B587" s="9" t="s">
        <v>27</v>
      </c>
      <c r="C587" s="9" t="s">
        <v>65</v>
      </c>
      <c r="D587" t="s">
        <v>204</v>
      </c>
      <c r="F587" s="12" t="s">
        <v>2091</v>
      </c>
      <c r="G587" s="10" t="s">
        <v>604</v>
      </c>
      <c r="H587" s="10" t="s">
        <v>604</v>
      </c>
      <c r="K587" t="s">
        <v>19</v>
      </c>
      <c r="L587" t="s">
        <v>20</v>
      </c>
      <c r="M587" s="9">
        <v>39229</v>
      </c>
      <c r="N587" t="s">
        <v>3477</v>
      </c>
      <c r="O587">
        <v>18</v>
      </c>
      <c r="P587" t="s">
        <v>3477</v>
      </c>
      <c r="Q587">
        <v>18</v>
      </c>
      <c r="R587" s="13">
        <v>12800</v>
      </c>
      <c r="S587" s="13">
        <v>8960</v>
      </c>
    </row>
    <row r="588" spans="1:19">
      <c r="A588" s="9" t="s">
        <v>22</v>
      </c>
      <c r="B588" s="9" t="s">
        <v>26</v>
      </c>
      <c r="C588" s="9" t="s">
        <v>89</v>
      </c>
      <c r="D588" t="s">
        <v>204</v>
      </c>
      <c r="F588" s="12" t="s">
        <v>2092</v>
      </c>
      <c r="G588" s="10" t="s">
        <v>604</v>
      </c>
      <c r="H588" s="10" t="s">
        <v>604</v>
      </c>
      <c r="K588" t="s">
        <v>19</v>
      </c>
      <c r="L588" t="s">
        <v>20</v>
      </c>
      <c r="M588" s="9">
        <v>6906</v>
      </c>
      <c r="N588" t="s">
        <v>3477</v>
      </c>
      <c r="O588">
        <v>18</v>
      </c>
      <c r="P588" t="s">
        <v>3477</v>
      </c>
      <c r="Q588">
        <v>18</v>
      </c>
      <c r="R588" s="13">
        <v>1540</v>
      </c>
      <c r="S588" s="13">
        <v>1078</v>
      </c>
    </row>
    <row r="589" spans="1:19">
      <c r="A589" s="9" t="s">
        <v>22</v>
      </c>
      <c r="B589" s="9" t="s">
        <v>26</v>
      </c>
      <c r="C589" s="9" t="s">
        <v>89</v>
      </c>
      <c r="D589" t="s">
        <v>204</v>
      </c>
      <c r="F589" s="12" t="s">
        <v>2093</v>
      </c>
      <c r="G589" s="10" t="s">
        <v>604</v>
      </c>
      <c r="H589" s="10" t="s">
        <v>604</v>
      </c>
      <c r="K589" t="s">
        <v>19</v>
      </c>
      <c r="L589" t="s">
        <v>20</v>
      </c>
      <c r="M589" s="9">
        <v>6906</v>
      </c>
      <c r="N589" t="s">
        <v>3477</v>
      </c>
      <c r="O589">
        <v>18</v>
      </c>
      <c r="P589" t="s">
        <v>3477</v>
      </c>
      <c r="Q589">
        <v>18</v>
      </c>
      <c r="R589" s="13">
        <v>2148</v>
      </c>
      <c r="S589" s="13">
        <v>1503.6</v>
      </c>
    </row>
    <row r="590" spans="1:19">
      <c r="A590" s="9" t="s">
        <v>22</v>
      </c>
      <c r="B590" s="9" t="s">
        <v>26</v>
      </c>
      <c r="C590" s="9" t="s">
        <v>89</v>
      </c>
      <c r="D590" t="s">
        <v>204</v>
      </c>
      <c r="F590" s="12" t="s">
        <v>2094</v>
      </c>
      <c r="G590" s="10" t="s">
        <v>605</v>
      </c>
      <c r="H590" s="10" t="s">
        <v>605</v>
      </c>
      <c r="K590" t="s">
        <v>19</v>
      </c>
      <c r="L590" t="s">
        <v>20</v>
      </c>
      <c r="M590" s="9">
        <v>6906</v>
      </c>
      <c r="N590" t="s">
        <v>3477</v>
      </c>
      <c r="O590">
        <v>18</v>
      </c>
      <c r="P590" t="s">
        <v>3477</v>
      </c>
      <c r="Q590">
        <v>18</v>
      </c>
      <c r="R590" s="13">
        <v>2148</v>
      </c>
      <c r="S590" s="13">
        <v>1503.6</v>
      </c>
    </row>
    <row r="591" spans="1:19">
      <c r="A591" s="9" t="s">
        <v>22</v>
      </c>
      <c r="B591" s="9" t="s">
        <v>26</v>
      </c>
      <c r="C591" s="9" t="s">
        <v>80</v>
      </c>
      <c r="D591" t="s">
        <v>204</v>
      </c>
      <c r="F591" s="12" t="s">
        <v>2095</v>
      </c>
      <c r="G591" s="10" t="s">
        <v>606</v>
      </c>
      <c r="H591" s="10" t="s">
        <v>606</v>
      </c>
      <c r="K591" t="s">
        <v>19</v>
      </c>
      <c r="L591" t="s">
        <v>20</v>
      </c>
      <c r="M591" s="9">
        <v>69101</v>
      </c>
      <c r="N591" t="s">
        <v>3477</v>
      </c>
      <c r="O591">
        <v>18</v>
      </c>
      <c r="P591" t="s">
        <v>3477</v>
      </c>
      <c r="Q591">
        <v>18</v>
      </c>
      <c r="R591" s="13">
        <v>5790</v>
      </c>
      <c r="S591" s="13">
        <v>4052.9999999999995</v>
      </c>
    </row>
    <row r="592" spans="1:19">
      <c r="A592" s="9" t="s">
        <v>22</v>
      </c>
      <c r="B592" s="9" t="s">
        <v>27</v>
      </c>
      <c r="C592" s="9" t="s">
        <v>48</v>
      </c>
      <c r="D592" t="s">
        <v>204</v>
      </c>
      <c r="F592" s="12" t="s">
        <v>2096</v>
      </c>
      <c r="G592" s="10" t="s">
        <v>606</v>
      </c>
      <c r="H592" s="10" t="s">
        <v>606</v>
      </c>
      <c r="K592" t="s">
        <v>19</v>
      </c>
      <c r="L592" t="s">
        <v>20</v>
      </c>
      <c r="M592" s="9">
        <v>8481802</v>
      </c>
      <c r="N592" t="s">
        <v>3477</v>
      </c>
      <c r="O592">
        <v>18</v>
      </c>
      <c r="P592" t="s">
        <v>3477</v>
      </c>
      <c r="Q592">
        <v>18</v>
      </c>
      <c r="R592" s="13">
        <v>7900</v>
      </c>
      <c r="S592" s="13">
        <v>5530</v>
      </c>
    </row>
    <row r="593" spans="1:19">
      <c r="A593" s="9" t="s">
        <v>22</v>
      </c>
      <c r="B593" s="9" t="s">
        <v>27</v>
      </c>
      <c r="C593" s="9" t="s">
        <v>50</v>
      </c>
      <c r="D593" t="s">
        <v>204</v>
      </c>
      <c r="F593" s="12" t="s">
        <v>2097</v>
      </c>
      <c r="G593" s="10" t="s">
        <v>607</v>
      </c>
      <c r="H593" s="10" t="s">
        <v>607</v>
      </c>
      <c r="K593" t="s">
        <v>19</v>
      </c>
      <c r="L593" t="s">
        <v>20</v>
      </c>
      <c r="M593" s="9">
        <v>8481809</v>
      </c>
      <c r="N593" t="s">
        <v>3477</v>
      </c>
      <c r="O593">
        <v>18</v>
      </c>
      <c r="P593" t="s">
        <v>3477</v>
      </c>
      <c r="Q593">
        <v>18</v>
      </c>
      <c r="R593" s="13">
        <v>6767</v>
      </c>
      <c r="S593" s="13">
        <v>4736.8999999999996</v>
      </c>
    </row>
    <row r="594" spans="1:19">
      <c r="A594" s="9" t="s">
        <v>22</v>
      </c>
      <c r="B594" s="9" t="s">
        <v>27</v>
      </c>
      <c r="C594" s="9" t="s">
        <v>114</v>
      </c>
      <c r="D594" t="s">
        <v>204</v>
      </c>
      <c r="F594" s="12" t="s">
        <v>2098</v>
      </c>
      <c r="G594" s="10" t="s">
        <v>608</v>
      </c>
      <c r="H594" s="10" t="s">
        <v>608</v>
      </c>
      <c r="K594" t="s">
        <v>19</v>
      </c>
      <c r="L594" t="s">
        <v>20</v>
      </c>
      <c r="M594" s="9">
        <v>8481909</v>
      </c>
      <c r="N594" t="s">
        <v>3477</v>
      </c>
      <c r="O594">
        <v>18</v>
      </c>
      <c r="P594" t="s">
        <v>3477</v>
      </c>
      <c r="Q594">
        <v>18</v>
      </c>
      <c r="R594" s="13">
        <v>6250</v>
      </c>
      <c r="S594" s="13">
        <v>4375</v>
      </c>
    </row>
    <row r="595" spans="1:19">
      <c r="A595" s="9" t="s">
        <v>22</v>
      </c>
      <c r="B595" s="9" t="s">
        <v>27</v>
      </c>
      <c r="C595" s="9" t="s">
        <v>95</v>
      </c>
      <c r="D595" t="s">
        <v>204</v>
      </c>
      <c r="F595" s="12" t="s">
        <v>2099</v>
      </c>
      <c r="G595" s="10" t="s">
        <v>609</v>
      </c>
      <c r="H595" s="10" t="s">
        <v>609</v>
      </c>
      <c r="K595" t="s">
        <v>19</v>
      </c>
      <c r="L595" t="s">
        <v>20</v>
      </c>
      <c r="M595" s="9">
        <v>8481909</v>
      </c>
      <c r="N595" t="s">
        <v>3477</v>
      </c>
      <c r="O595">
        <v>18</v>
      </c>
      <c r="P595" t="s">
        <v>3477</v>
      </c>
      <c r="Q595">
        <v>18</v>
      </c>
      <c r="R595" s="13">
        <v>4540</v>
      </c>
      <c r="S595" s="13">
        <v>3178</v>
      </c>
    </row>
    <row r="596" spans="1:19">
      <c r="A596" s="9" t="s">
        <v>22</v>
      </c>
      <c r="B596" s="9" t="s">
        <v>29</v>
      </c>
      <c r="C596" s="9" t="s">
        <v>50</v>
      </c>
      <c r="D596" t="s">
        <v>204</v>
      </c>
      <c r="F596" s="12" t="s">
        <v>2100</v>
      </c>
      <c r="G596" s="10" t="s">
        <v>610</v>
      </c>
      <c r="H596" s="10" t="s">
        <v>610</v>
      </c>
      <c r="K596" t="s">
        <v>19</v>
      </c>
      <c r="L596" t="s">
        <v>20</v>
      </c>
      <c r="M596" s="9">
        <v>39221</v>
      </c>
      <c r="N596" t="s">
        <v>3477</v>
      </c>
      <c r="O596">
        <v>18</v>
      </c>
      <c r="P596" t="s">
        <v>3477</v>
      </c>
      <c r="Q596">
        <v>18</v>
      </c>
      <c r="R596" s="13">
        <v>48000</v>
      </c>
      <c r="S596" s="13">
        <v>33600</v>
      </c>
    </row>
    <row r="597" spans="1:19">
      <c r="A597" s="9" t="s">
        <v>24</v>
      </c>
      <c r="B597" s="9" t="s">
        <v>37</v>
      </c>
      <c r="C597" s="9" t="s">
        <v>73</v>
      </c>
      <c r="D597" t="s">
        <v>204</v>
      </c>
      <c r="F597" s="12" t="s">
        <v>2101</v>
      </c>
      <c r="G597" s="10" t="s">
        <v>611</v>
      </c>
      <c r="H597" s="10" t="s">
        <v>611</v>
      </c>
      <c r="K597" t="s">
        <v>19</v>
      </c>
      <c r="L597" t="s">
        <v>20</v>
      </c>
      <c r="M597" s="9">
        <v>94036</v>
      </c>
      <c r="N597" t="s">
        <v>3477</v>
      </c>
      <c r="O597">
        <v>18</v>
      </c>
      <c r="P597" t="s">
        <v>3477</v>
      </c>
      <c r="Q597">
        <v>18</v>
      </c>
      <c r="R597" s="13">
        <v>102850</v>
      </c>
      <c r="S597" s="13">
        <v>77137.5</v>
      </c>
    </row>
    <row r="598" spans="1:19">
      <c r="A598" s="9" t="s">
        <v>24</v>
      </c>
      <c r="B598" s="9" t="s">
        <v>35</v>
      </c>
      <c r="C598" s="9" t="s">
        <v>50</v>
      </c>
      <c r="D598" t="s">
        <v>204</v>
      </c>
      <c r="F598" s="12" t="s">
        <v>2102</v>
      </c>
      <c r="G598" s="10" t="s">
        <v>612</v>
      </c>
      <c r="H598" s="10" t="s">
        <v>612</v>
      </c>
      <c r="K598" t="s">
        <v>19</v>
      </c>
      <c r="L598" t="s">
        <v>20</v>
      </c>
      <c r="M598" s="9">
        <v>6810199</v>
      </c>
      <c r="N598" t="s">
        <v>3477</v>
      </c>
      <c r="O598">
        <v>18</v>
      </c>
      <c r="P598" t="s">
        <v>3477</v>
      </c>
      <c r="Q598">
        <v>18</v>
      </c>
      <c r="R598" s="13">
        <v>4400</v>
      </c>
      <c r="S598" s="13">
        <v>3300</v>
      </c>
    </row>
    <row r="599" spans="1:19">
      <c r="A599" s="9" t="s">
        <v>24</v>
      </c>
      <c r="B599" s="9" t="s">
        <v>35</v>
      </c>
      <c r="C599" s="9" t="s">
        <v>50</v>
      </c>
      <c r="D599" t="s">
        <v>204</v>
      </c>
      <c r="F599" s="12" t="s">
        <v>2103</v>
      </c>
      <c r="G599" s="10" t="s">
        <v>613</v>
      </c>
      <c r="H599" s="10" t="s">
        <v>613</v>
      </c>
      <c r="K599" t="s">
        <v>19</v>
      </c>
      <c r="L599" t="s">
        <v>20</v>
      </c>
      <c r="M599" s="9">
        <v>6810199</v>
      </c>
      <c r="N599" t="s">
        <v>3477</v>
      </c>
      <c r="O599">
        <v>18</v>
      </c>
      <c r="P599" t="s">
        <v>3477</v>
      </c>
      <c r="Q599">
        <v>18</v>
      </c>
      <c r="R599" s="13">
        <v>5300</v>
      </c>
      <c r="S599" s="13">
        <v>3975</v>
      </c>
    </row>
    <row r="600" spans="1:19">
      <c r="A600" s="9" t="s">
        <v>24</v>
      </c>
      <c r="B600" s="9" t="s">
        <v>35</v>
      </c>
      <c r="C600" s="9" t="s">
        <v>50</v>
      </c>
      <c r="D600" t="s">
        <v>204</v>
      </c>
      <c r="F600" s="12" t="s">
        <v>2104</v>
      </c>
      <c r="G600" s="10" t="s">
        <v>614</v>
      </c>
      <c r="H600" s="10" t="s">
        <v>614</v>
      </c>
      <c r="K600" t="s">
        <v>19</v>
      </c>
      <c r="L600" t="s">
        <v>20</v>
      </c>
      <c r="M600" s="9">
        <v>6810199</v>
      </c>
      <c r="N600" t="s">
        <v>3477</v>
      </c>
      <c r="O600">
        <v>18</v>
      </c>
      <c r="P600" t="s">
        <v>3477</v>
      </c>
      <c r="Q600">
        <v>18</v>
      </c>
      <c r="R600" s="13">
        <v>6100</v>
      </c>
      <c r="S600" s="13">
        <v>4575</v>
      </c>
    </row>
    <row r="601" spans="1:19">
      <c r="A601" s="9" t="s">
        <v>24</v>
      </c>
      <c r="B601" s="9" t="s">
        <v>35</v>
      </c>
      <c r="C601" s="9" t="s">
        <v>50</v>
      </c>
      <c r="D601" t="s">
        <v>204</v>
      </c>
      <c r="F601" s="12" t="s">
        <v>2105</v>
      </c>
      <c r="G601" s="10" t="s">
        <v>615</v>
      </c>
      <c r="H601" s="10" t="s">
        <v>615</v>
      </c>
      <c r="K601" t="s">
        <v>19</v>
      </c>
      <c r="L601" t="s">
        <v>20</v>
      </c>
      <c r="M601" s="9">
        <v>6810199</v>
      </c>
      <c r="N601" t="s">
        <v>3477</v>
      </c>
      <c r="O601">
        <v>18</v>
      </c>
      <c r="P601" t="s">
        <v>3477</v>
      </c>
      <c r="Q601">
        <v>18</v>
      </c>
      <c r="R601" s="13">
        <v>6900</v>
      </c>
      <c r="S601" s="13">
        <v>5175</v>
      </c>
    </row>
    <row r="602" spans="1:19">
      <c r="A602" s="9" t="s">
        <v>24</v>
      </c>
      <c r="B602" s="9" t="s">
        <v>27</v>
      </c>
      <c r="C602" s="9" t="s">
        <v>53</v>
      </c>
      <c r="D602" t="s">
        <v>204</v>
      </c>
      <c r="F602" s="12" t="s">
        <v>2106</v>
      </c>
      <c r="G602" s="10" t="s">
        <v>616</v>
      </c>
      <c r="H602" s="10" t="s">
        <v>616</v>
      </c>
      <c r="K602" t="s">
        <v>19</v>
      </c>
      <c r="L602" t="s">
        <v>20</v>
      </c>
      <c r="M602" s="9">
        <v>83025</v>
      </c>
      <c r="N602" t="s">
        <v>3477</v>
      </c>
      <c r="O602">
        <v>18</v>
      </c>
      <c r="P602" t="s">
        <v>3477</v>
      </c>
      <c r="Q602">
        <v>18</v>
      </c>
      <c r="R602" s="13">
        <v>3610</v>
      </c>
      <c r="S602" s="13">
        <v>2707.5</v>
      </c>
    </row>
    <row r="603" spans="1:19">
      <c r="A603" s="9" t="s">
        <v>24</v>
      </c>
      <c r="B603" s="9" t="s">
        <v>27</v>
      </c>
      <c r="C603" s="9" t="s">
        <v>46</v>
      </c>
      <c r="D603" t="s">
        <v>204</v>
      </c>
      <c r="F603" s="12" t="s">
        <v>2107</v>
      </c>
      <c r="G603" s="10" t="s">
        <v>617</v>
      </c>
      <c r="H603" s="10" t="s">
        <v>617</v>
      </c>
      <c r="K603" t="s">
        <v>19</v>
      </c>
      <c r="L603" t="s">
        <v>20</v>
      </c>
      <c r="M603" s="9">
        <v>83025</v>
      </c>
      <c r="N603" t="s">
        <v>3477</v>
      </c>
      <c r="O603">
        <v>18</v>
      </c>
      <c r="P603" t="s">
        <v>3477</v>
      </c>
      <c r="Q603">
        <v>18</v>
      </c>
      <c r="R603" s="13">
        <v>10500</v>
      </c>
      <c r="S603" s="13">
        <v>7875</v>
      </c>
    </row>
    <row r="604" spans="1:19">
      <c r="A604" s="9" t="s">
        <v>24</v>
      </c>
      <c r="B604" s="9" t="s">
        <v>27</v>
      </c>
      <c r="C604" s="9" t="s">
        <v>54</v>
      </c>
      <c r="D604" t="s">
        <v>204</v>
      </c>
      <c r="F604" s="12" t="s">
        <v>2108</v>
      </c>
      <c r="G604" s="10" t="s">
        <v>618</v>
      </c>
      <c r="H604" s="10" t="s">
        <v>618</v>
      </c>
      <c r="K604" t="s">
        <v>19</v>
      </c>
      <c r="L604" t="s">
        <v>20</v>
      </c>
      <c r="M604" s="9">
        <v>83025</v>
      </c>
      <c r="N604" t="s">
        <v>3477</v>
      </c>
      <c r="O604">
        <v>18</v>
      </c>
      <c r="P604" t="s">
        <v>3477</v>
      </c>
      <c r="Q604">
        <v>18</v>
      </c>
      <c r="R604" s="13">
        <v>2760</v>
      </c>
      <c r="S604" s="13">
        <v>2070</v>
      </c>
    </row>
    <row r="605" spans="1:19">
      <c r="A605" s="9" t="s">
        <v>24</v>
      </c>
      <c r="B605" s="9" t="s">
        <v>27</v>
      </c>
      <c r="C605" s="9" t="s">
        <v>57</v>
      </c>
      <c r="D605" t="s">
        <v>204</v>
      </c>
      <c r="F605" s="12" t="s">
        <v>2109</v>
      </c>
      <c r="G605" s="10" t="s">
        <v>619</v>
      </c>
      <c r="H605" s="10" t="s">
        <v>619</v>
      </c>
      <c r="K605" t="s">
        <v>19</v>
      </c>
      <c r="L605" t="s">
        <v>20</v>
      </c>
      <c r="M605" s="9">
        <v>73249</v>
      </c>
      <c r="N605" t="s">
        <v>3477</v>
      </c>
      <c r="O605">
        <v>18</v>
      </c>
      <c r="P605" t="s">
        <v>3477</v>
      </c>
      <c r="Q605">
        <v>18</v>
      </c>
      <c r="R605" s="13">
        <v>1910</v>
      </c>
      <c r="S605" s="13">
        <v>1432.5</v>
      </c>
    </row>
    <row r="606" spans="1:19">
      <c r="A606" s="9" t="s">
        <v>24</v>
      </c>
      <c r="B606" s="9" t="s">
        <v>27</v>
      </c>
      <c r="C606" s="9" t="s">
        <v>57</v>
      </c>
      <c r="D606" t="s">
        <v>204</v>
      </c>
      <c r="F606" s="12" t="s">
        <v>2110</v>
      </c>
      <c r="G606" s="10" t="s">
        <v>620</v>
      </c>
      <c r="H606" s="10" t="s">
        <v>620</v>
      </c>
      <c r="K606" t="s">
        <v>19</v>
      </c>
      <c r="L606" t="s">
        <v>20</v>
      </c>
      <c r="M606" s="9">
        <v>73249</v>
      </c>
      <c r="N606" t="s">
        <v>3477</v>
      </c>
      <c r="O606">
        <v>18</v>
      </c>
      <c r="P606" t="s">
        <v>3477</v>
      </c>
      <c r="Q606">
        <v>18</v>
      </c>
      <c r="R606" s="13">
        <v>1970</v>
      </c>
      <c r="S606" s="13">
        <v>1477.5</v>
      </c>
    </row>
    <row r="607" spans="1:19">
      <c r="A607" s="9" t="s">
        <v>24</v>
      </c>
      <c r="B607" s="9" t="s">
        <v>27</v>
      </c>
      <c r="C607" s="9" t="s">
        <v>56</v>
      </c>
      <c r="D607" t="s">
        <v>204</v>
      </c>
      <c r="F607" s="12" t="s">
        <v>2111</v>
      </c>
      <c r="G607" s="10" t="s">
        <v>621</v>
      </c>
      <c r="H607" s="10" t="s">
        <v>621</v>
      </c>
      <c r="K607" t="s">
        <v>19</v>
      </c>
      <c r="L607" t="s">
        <v>20</v>
      </c>
      <c r="M607" s="9">
        <v>7418201</v>
      </c>
      <c r="N607" t="s">
        <v>3477</v>
      </c>
      <c r="O607">
        <v>18</v>
      </c>
      <c r="P607" t="s">
        <v>3477</v>
      </c>
      <c r="Q607">
        <v>18</v>
      </c>
      <c r="R607" s="13">
        <v>1860</v>
      </c>
      <c r="S607" s="13">
        <v>1395</v>
      </c>
    </row>
    <row r="608" spans="1:19">
      <c r="A608" s="9" t="s">
        <v>24</v>
      </c>
      <c r="B608" s="9" t="s">
        <v>27</v>
      </c>
      <c r="C608" s="9" t="s">
        <v>56</v>
      </c>
      <c r="D608" t="s">
        <v>204</v>
      </c>
      <c r="F608" s="12" t="s">
        <v>2112</v>
      </c>
      <c r="G608" s="10" t="s">
        <v>622</v>
      </c>
      <c r="H608" s="10" t="s">
        <v>622</v>
      </c>
      <c r="K608" t="s">
        <v>19</v>
      </c>
      <c r="L608" t="s">
        <v>20</v>
      </c>
      <c r="M608" s="9">
        <v>7418201</v>
      </c>
      <c r="N608" t="s">
        <v>3477</v>
      </c>
      <c r="O608">
        <v>18</v>
      </c>
      <c r="P608" t="s">
        <v>3477</v>
      </c>
      <c r="Q608">
        <v>18</v>
      </c>
      <c r="R608" s="13">
        <v>2490</v>
      </c>
      <c r="S608" s="13">
        <v>1867.5</v>
      </c>
    </row>
    <row r="609" spans="1:19">
      <c r="A609" s="9" t="s">
        <v>24</v>
      </c>
      <c r="B609" s="9" t="s">
        <v>27</v>
      </c>
      <c r="C609" s="9" t="s">
        <v>55</v>
      </c>
      <c r="D609" t="s">
        <v>204</v>
      </c>
      <c r="F609" s="12" t="s">
        <v>2113</v>
      </c>
      <c r="G609" s="10" t="s">
        <v>623</v>
      </c>
      <c r="H609" s="10" t="s">
        <v>623</v>
      </c>
      <c r="K609" t="s">
        <v>19</v>
      </c>
      <c r="L609" t="s">
        <v>20</v>
      </c>
      <c r="M609" s="9">
        <v>83025</v>
      </c>
      <c r="N609" t="s">
        <v>3477</v>
      </c>
      <c r="O609">
        <v>18</v>
      </c>
      <c r="P609" t="s">
        <v>3477</v>
      </c>
      <c r="Q609">
        <v>18</v>
      </c>
      <c r="R609" s="13">
        <v>1060</v>
      </c>
      <c r="S609" s="13">
        <v>795</v>
      </c>
    </row>
    <row r="610" spans="1:19">
      <c r="A610" s="9" t="s">
        <v>24</v>
      </c>
      <c r="B610" s="9" t="s">
        <v>27</v>
      </c>
      <c r="C610" s="9" t="s">
        <v>55</v>
      </c>
      <c r="D610" t="s">
        <v>204</v>
      </c>
      <c r="F610" s="12" t="s">
        <v>2114</v>
      </c>
      <c r="G610" s="10" t="s">
        <v>624</v>
      </c>
      <c r="H610" s="10" t="s">
        <v>624</v>
      </c>
      <c r="K610" t="s">
        <v>19</v>
      </c>
      <c r="L610" t="s">
        <v>20</v>
      </c>
      <c r="M610" s="9">
        <v>83025</v>
      </c>
      <c r="N610" t="s">
        <v>3477</v>
      </c>
      <c r="O610">
        <v>18</v>
      </c>
      <c r="P610" t="s">
        <v>3477</v>
      </c>
      <c r="Q610">
        <v>18</v>
      </c>
      <c r="R610" s="13">
        <v>1700</v>
      </c>
      <c r="S610" s="13">
        <v>1275</v>
      </c>
    </row>
    <row r="611" spans="1:19">
      <c r="A611" s="9" t="s">
        <v>24</v>
      </c>
      <c r="B611" s="9" t="s">
        <v>27</v>
      </c>
      <c r="C611" s="9" t="s">
        <v>141</v>
      </c>
      <c r="D611" t="s">
        <v>204</v>
      </c>
      <c r="F611" s="12" t="s">
        <v>2115</v>
      </c>
      <c r="G611" s="10" t="s">
        <v>625</v>
      </c>
      <c r="H611" s="10" t="s">
        <v>625</v>
      </c>
      <c r="K611" t="s">
        <v>19</v>
      </c>
      <c r="L611" t="s">
        <v>20</v>
      </c>
      <c r="M611" s="9">
        <v>73249</v>
      </c>
      <c r="N611" t="s">
        <v>3477</v>
      </c>
      <c r="O611">
        <v>18</v>
      </c>
      <c r="P611" t="s">
        <v>3477</v>
      </c>
      <c r="Q611">
        <v>18</v>
      </c>
      <c r="R611" s="13">
        <v>2970</v>
      </c>
      <c r="S611" s="13">
        <v>2227.5</v>
      </c>
    </row>
    <row r="612" spans="1:19">
      <c r="A612" s="9" t="s">
        <v>22</v>
      </c>
      <c r="B612" s="9" t="s">
        <v>27</v>
      </c>
      <c r="C612" s="9" t="s">
        <v>142</v>
      </c>
      <c r="D612" t="s">
        <v>204</v>
      </c>
      <c r="F612" s="12" t="s">
        <v>2116</v>
      </c>
      <c r="G612" s="10" t="s">
        <v>626</v>
      </c>
      <c r="H612" s="10" t="s">
        <v>626</v>
      </c>
      <c r="K612" t="s">
        <v>19</v>
      </c>
      <c r="L612" t="s">
        <v>20</v>
      </c>
      <c r="M612" s="9">
        <v>8481802</v>
      </c>
      <c r="N612" t="s">
        <v>3477</v>
      </c>
      <c r="O612">
        <v>18</v>
      </c>
      <c r="P612" t="s">
        <v>3477</v>
      </c>
      <c r="Q612">
        <v>18</v>
      </c>
      <c r="R612" s="13">
        <v>31220</v>
      </c>
      <c r="S612" s="13">
        <v>21854</v>
      </c>
    </row>
    <row r="613" spans="1:19">
      <c r="A613" s="9" t="s">
        <v>24</v>
      </c>
      <c r="B613" s="9" t="s">
        <v>27</v>
      </c>
      <c r="C613" s="9" t="s">
        <v>63</v>
      </c>
      <c r="D613" t="s">
        <v>204</v>
      </c>
      <c r="F613" s="12" t="s">
        <v>2117</v>
      </c>
      <c r="G613" s="10" t="s">
        <v>627</v>
      </c>
      <c r="H613" s="10" t="s">
        <v>627</v>
      </c>
      <c r="K613" t="s">
        <v>19</v>
      </c>
      <c r="L613" t="s">
        <v>20</v>
      </c>
      <c r="M613" s="9">
        <v>8481802</v>
      </c>
      <c r="N613" t="s">
        <v>3477</v>
      </c>
      <c r="O613">
        <v>18</v>
      </c>
      <c r="P613" t="s">
        <v>3477</v>
      </c>
      <c r="Q613">
        <v>18</v>
      </c>
      <c r="R613" s="13">
        <v>1800</v>
      </c>
      <c r="S613" s="13">
        <v>1350</v>
      </c>
    </row>
    <row r="614" spans="1:19">
      <c r="A614" s="9" t="s">
        <v>24</v>
      </c>
      <c r="B614" s="9" t="s">
        <v>27</v>
      </c>
      <c r="C614" s="9" t="s">
        <v>63</v>
      </c>
      <c r="D614" t="s">
        <v>204</v>
      </c>
      <c r="F614" s="12" t="s">
        <v>2118</v>
      </c>
      <c r="G614" s="10" t="s">
        <v>628</v>
      </c>
      <c r="H614" s="10" t="s">
        <v>628</v>
      </c>
      <c r="K614" t="s">
        <v>19</v>
      </c>
      <c r="L614" t="s">
        <v>20</v>
      </c>
      <c r="M614" s="9">
        <v>8481802</v>
      </c>
      <c r="N614" t="s">
        <v>3477</v>
      </c>
      <c r="O614">
        <v>18</v>
      </c>
      <c r="P614" t="s">
        <v>3477</v>
      </c>
      <c r="Q614">
        <v>18</v>
      </c>
      <c r="R614" s="13">
        <v>3600</v>
      </c>
      <c r="S614" s="13">
        <v>2700</v>
      </c>
    </row>
    <row r="615" spans="1:19">
      <c r="A615" s="9" t="s">
        <v>23</v>
      </c>
      <c r="B615" s="9" t="s">
        <v>29</v>
      </c>
      <c r="C615" s="9" t="s">
        <v>68</v>
      </c>
      <c r="D615" t="s">
        <v>204</v>
      </c>
      <c r="F615" s="12" t="s">
        <v>2119</v>
      </c>
      <c r="G615" s="10" t="s">
        <v>629</v>
      </c>
      <c r="H615" s="10" t="s">
        <v>629</v>
      </c>
      <c r="K615" t="s">
        <v>19</v>
      </c>
      <c r="L615" t="s">
        <v>20</v>
      </c>
      <c r="M615" s="9">
        <v>39221</v>
      </c>
      <c r="N615" t="s">
        <v>3477</v>
      </c>
      <c r="O615">
        <v>18</v>
      </c>
      <c r="P615" t="s">
        <v>3477</v>
      </c>
      <c r="Q615">
        <v>18</v>
      </c>
      <c r="R615" s="13">
        <v>200000</v>
      </c>
      <c r="S615" s="13">
        <v>120000</v>
      </c>
    </row>
    <row r="616" spans="1:19">
      <c r="A616" s="9" t="s">
        <v>23</v>
      </c>
      <c r="B616" s="9" t="s">
        <v>29</v>
      </c>
      <c r="C616" s="9" t="s">
        <v>88</v>
      </c>
      <c r="D616" t="s">
        <v>204</v>
      </c>
      <c r="F616" s="12" t="s">
        <v>2120</v>
      </c>
      <c r="G616" s="10" t="s">
        <v>630</v>
      </c>
      <c r="H616" s="10" t="s">
        <v>630</v>
      </c>
      <c r="K616" t="s">
        <v>19</v>
      </c>
      <c r="L616" t="s">
        <v>20</v>
      </c>
      <c r="M616" s="9">
        <v>39221</v>
      </c>
      <c r="N616" t="s">
        <v>3477</v>
      </c>
      <c r="O616">
        <v>18</v>
      </c>
      <c r="P616" t="s">
        <v>3477</v>
      </c>
      <c r="Q616">
        <v>18</v>
      </c>
      <c r="R616" s="13">
        <v>200000</v>
      </c>
      <c r="S616" s="13">
        <v>120000</v>
      </c>
    </row>
    <row r="617" spans="1:19">
      <c r="A617" s="9" t="s">
        <v>24</v>
      </c>
      <c r="B617" s="9" t="s">
        <v>26</v>
      </c>
      <c r="C617" s="9" t="s">
        <v>80</v>
      </c>
      <c r="D617" t="s">
        <v>204</v>
      </c>
      <c r="F617" s="12" t="s">
        <v>2121</v>
      </c>
      <c r="G617" s="10" t="s">
        <v>631</v>
      </c>
      <c r="H617" s="10" t="s">
        <v>631</v>
      </c>
      <c r="K617" t="s">
        <v>19</v>
      </c>
      <c r="L617" t="s">
        <v>20</v>
      </c>
      <c r="M617" s="9">
        <v>69101</v>
      </c>
      <c r="N617" t="s">
        <v>3477</v>
      </c>
      <c r="O617">
        <v>18</v>
      </c>
      <c r="P617" t="s">
        <v>3477</v>
      </c>
      <c r="Q617">
        <v>18</v>
      </c>
      <c r="R617" s="13">
        <v>7250</v>
      </c>
      <c r="S617" s="13">
        <v>5437.5</v>
      </c>
    </row>
    <row r="618" spans="1:19">
      <c r="A618" s="9" t="s">
        <v>24</v>
      </c>
      <c r="B618" s="9" t="s">
        <v>26</v>
      </c>
      <c r="C618" s="9" t="s">
        <v>70</v>
      </c>
      <c r="D618" t="s">
        <v>204</v>
      </c>
      <c r="F618" s="12" t="s">
        <v>2122</v>
      </c>
      <c r="G618" s="10" t="s">
        <v>632</v>
      </c>
      <c r="H618" s="10" t="s">
        <v>632</v>
      </c>
      <c r="K618" t="s">
        <v>19</v>
      </c>
      <c r="L618" t="s">
        <v>20</v>
      </c>
      <c r="M618" s="9">
        <v>69101</v>
      </c>
      <c r="N618" t="s">
        <v>3477</v>
      </c>
      <c r="O618">
        <v>18</v>
      </c>
      <c r="P618" t="s">
        <v>3477</v>
      </c>
      <c r="Q618">
        <v>18</v>
      </c>
      <c r="R618" s="13">
        <v>6600</v>
      </c>
      <c r="S618" s="13">
        <v>4950</v>
      </c>
    </row>
    <row r="619" spans="1:19">
      <c r="A619" s="9" t="s">
        <v>24</v>
      </c>
      <c r="B619" s="9" t="s">
        <v>26</v>
      </c>
      <c r="C619" s="9" t="s">
        <v>80</v>
      </c>
      <c r="D619" t="s">
        <v>204</v>
      </c>
      <c r="F619" s="12" t="s">
        <v>2123</v>
      </c>
      <c r="G619" s="10" t="s">
        <v>633</v>
      </c>
      <c r="H619" s="10" t="s">
        <v>633</v>
      </c>
      <c r="K619" t="s">
        <v>19</v>
      </c>
      <c r="L619" t="s">
        <v>20</v>
      </c>
      <c r="M619" s="9">
        <v>69101</v>
      </c>
      <c r="N619" t="s">
        <v>3477</v>
      </c>
      <c r="O619">
        <v>18</v>
      </c>
      <c r="P619" t="s">
        <v>3477</v>
      </c>
      <c r="Q619">
        <v>18</v>
      </c>
      <c r="R619" s="13">
        <v>5700</v>
      </c>
      <c r="S619" s="13">
        <v>4275</v>
      </c>
    </row>
    <row r="620" spans="1:19">
      <c r="A620" s="9" t="s">
        <v>22</v>
      </c>
      <c r="B620" s="9" t="s">
        <v>27</v>
      </c>
      <c r="C620" s="9" t="s">
        <v>56</v>
      </c>
      <c r="D620" t="s">
        <v>204</v>
      </c>
      <c r="F620" s="12" t="s">
        <v>2124</v>
      </c>
      <c r="G620" s="10" t="s">
        <v>633</v>
      </c>
      <c r="H620" s="10" t="s">
        <v>633</v>
      </c>
      <c r="K620" t="s">
        <v>19</v>
      </c>
      <c r="L620" t="s">
        <v>20</v>
      </c>
      <c r="M620" s="9">
        <v>7418201</v>
      </c>
      <c r="N620" t="s">
        <v>3477</v>
      </c>
      <c r="O620">
        <v>18</v>
      </c>
      <c r="P620" t="s">
        <v>3477</v>
      </c>
      <c r="Q620">
        <v>18</v>
      </c>
      <c r="R620" s="13">
        <v>2470</v>
      </c>
      <c r="S620" s="13">
        <v>1729</v>
      </c>
    </row>
    <row r="621" spans="1:19">
      <c r="A621" s="9" t="s">
        <v>22</v>
      </c>
      <c r="B621" s="9" t="s">
        <v>27</v>
      </c>
      <c r="C621" s="9" t="s">
        <v>56</v>
      </c>
      <c r="D621" t="s">
        <v>204</v>
      </c>
      <c r="F621" s="12" t="s">
        <v>2125</v>
      </c>
      <c r="G621" s="10" t="s">
        <v>633</v>
      </c>
      <c r="H621" s="10" t="s">
        <v>633</v>
      </c>
      <c r="K621" t="s">
        <v>19</v>
      </c>
      <c r="L621" t="s">
        <v>20</v>
      </c>
      <c r="M621" s="9">
        <v>7418201</v>
      </c>
      <c r="N621" t="s">
        <v>3477</v>
      </c>
      <c r="O621">
        <v>18</v>
      </c>
      <c r="P621" t="s">
        <v>3477</v>
      </c>
      <c r="Q621">
        <v>18</v>
      </c>
      <c r="R621" s="13">
        <v>2770</v>
      </c>
      <c r="S621" s="13">
        <v>1938.9999999999998</v>
      </c>
    </row>
    <row r="622" spans="1:19">
      <c r="A622" s="9" t="s">
        <v>22</v>
      </c>
      <c r="B622" s="9" t="s">
        <v>27</v>
      </c>
      <c r="C622" s="9" t="s">
        <v>56</v>
      </c>
      <c r="D622" t="s">
        <v>204</v>
      </c>
      <c r="F622" s="12" t="s">
        <v>2126</v>
      </c>
      <c r="G622" s="10" t="s">
        <v>633</v>
      </c>
      <c r="H622" s="10" t="s">
        <v>633</v>
      </c>
      <c r="K622" t="s">
        <v>19</v>
      </c>
      <c r="L622" t="s">
        <v>20</v>
      </c>
      <c r="M622" s="9">
        <v>7418201</v>
      </c>
      <c r="N622" t="s">
        <v>3477</v>
      </c>
      <c r="O622">
        <v>18</v>
      </c>
      <c r="P622" t="s">
        <v>3477</v>
      </c>
      <c r="Q622">
        <v>18</v>
      </c>
      <c r="R622" s="13">
        <v>2960</v>
      </c>
      <c r="S622" s="13">
        <v>2072</v>
      </c>
    </row>
    <row r="623" spans="1:19">
      <c r="A623" s="9" t="s">
        <v>22</v>
      </c>
      <c r="B623" s="9" t="s">
        <v>27</v>
      </c>
      <c r="C623" s="9" t="s">
        <v>56</v>
      </c>
      <c r="D623" t="s">
        <v>204</v>
      </c>
      <c r="F623" s="12" t="s">
        <v>2127</v>
      </c>
      <c r="G623" s="10" t="s">
        <v>633</v>
      </c>
      <c r="H623" s="10" t="s">
        <v>633</v>
      </c>
      <c r="K623" t="s">
        <v>19</v>
      </c>
      <c r="L623" t="s">
        <v>20</v>
      </c>
      <c r="M623" s="9">
        <v>7418201</v>
      </c>
      <c r="N623" t="s">
        <v>3477</v>
      </c>
      <c r="O623">
        <v>18</v>
      </c>
      <c r="P623" t="s">
        <v>3477</v>
      </c>
      <c r="Q623">
        <v>18</v>
      </c>
      <c r="R623" s="13">
        <v>2960</v>
      </c>
      <c r="S623" s="13">
        <v>2072</v>
      </c>
    </row>
    <row r="624" spans="1:19">
      <c r="A624" s="9" t="s">
        <v>22</v>
      </c>
      <c r="B624" s="9" t="s">
        <v>27</v>
      </c>
      <c r="C624" s="9" t="s">
        <v>56</v>
      </c>
      <c r="D624" t="s">
        <v>204</v>
      </c>
      <c r="F624" s="12" t="s">
        <v>2128</v>
      </c>
      <c r="G624" s="10" t="s">
        <v>634</v>
      </c>
      <c r="H624" s="10" t="s">
        <v>634</v>
      </c>
      <c r="K624" t="s">
        <v>19</v>
      </c>
      <c r="L624" t="s">
        <v>20</v>
      </c>
      <c r="M624" s="9">
        <v>7418201</v>
      </c>
      <c r="N624" t="s">
        <v>3477</v>
      </c>
      <c r="O624">
        <v>18</v>
      </c>
      <c r="P624" t="s">
        <v>3477</v>
      </c>
      <c r="Q624">
        <v>18</v>
      </c>
      <c r="R624" s="13">
        <v>2770</v>
      </c>
      <c r="S624" s="13">
        <v>1938.9999999999998</v>
      </c>
    </row>
    <row r="625" spans="1:19">
      <c r="A625" s="9" t="s">
        <v>22</v>
      </c>
      <c r="B625" s="9" t="s">
        <v>27</v>
      </c>
      <c r="C625" s="9" t="s">
        <v>54</v>
      </c>
      <c r="D625" t="s">
        <v>204</v>
      </c>
      <c r="F625" s="12" t="s">
        <v>2129</v>
      </c>
      <c r="G625" s="10" t="s">
        <v>634</v>
      </c>
      <c r="H625" s="10" t="s">
        <v>634</v>
      </c>
      <c r="K625" t="s">
        <v>19</v>
      </c>
      <c r="L625" t="s">
        <v>20</v>
      </c>
      <c r="M625" s="9">
        <v>83025</v>
      </c>
      <c r="N625" t="s">
        <v>3477</v>
      </c>
      <c r="O625">
        <v>18</v>
      </c>
      <c r="P625" t="s">
        <v>3477</v>
      </c>
      <c r="Q625">
        <v>18</v>
      </c>
      <c r="R625" s="13">
        <v>3610</v>
      </c>
      <c r="S625" s="13">
        <v>2527</v>
      </c>
    </row>
    <row r="626" spans="1:19">
      <c r="A626" s="9" t="s">
        <v>22</v>
      </c>
      <c r="B626" s="9" t="s">
        <v>27</v>
      </c>
      <c r="C626" s="9" t="s">
        <v>54</v>
      </c>
      <c r="D626" t="s">
        <v>204</v>
      </c>
      <c r="F626" s="12" t="s">
        <v>2130</v>
      </c>
      <c r="G626" s="10" t="s">
        <v>634</v>
      </c>
      <c r="H626" s="10" t="s">
        <v>634</v>
      </c>
      <c r="K626" t="s">
        <v>19</v>
      </c>
      <c r="L626" t="s">
        <v>20</v>
      </c>
      <c r="M626" s="9">
        <v>83025</v>
      </c>
      <c r="N626" t="s">
        <v>3477</v>
      </c>
      <c r="O626">
        <v>18</v>
      </c>
      <c r="P626" t="s">
        <v>3477</v>
      </c>
      <c r="Q626">
        <v>18</v>
      </c>
      <c r="R626" s="13">
        <v>4040</v>
      </c>
      <c r="S626" s="13">
        <v>2828</v>
      </c>
    </row>
    <row r="627" spans="1:19">
      <c r="A627" s="9" t="s">
        <v>22</v>
      </c>
      <c r="B627" s="9" t="s">
        <v>27</v>
      </c>
      <c r="C627" s="9" t="s">
        <v>54</v>
      </c>
      <c r="D627" t="s">
        <v>204</v>
      </c>
      <c r="F627" s="12" t="s">
        <v>2131</v>
      </c>
      <c r="G627" s="10" t="s">
        <v>634</v>
      </c>
      <c r="H627" s="10" t="s">
        <v>634</v>
      </c>
      <c r="K627" t="s">
        <v>19</v>
      </c>
      <c r="L627" t="s">
        <v>20</v>
      </c>
      <c r="M627" s="9">
        <v>83025</v>
      </c>
      <c r="N627" t="s">
        <v>3477</v>
      </c>
      <c r="O627">
        <v>18</v>
      </c>
      <c r="P627" t="s">
        <v>3477</v>
      </c>
      <c r="Q627">
        <v>18</v>
      </c>
      <c r="R627" s="13">
        <v>3500</v>
      </c>
      <c r="S627" s="13">
        <v>2450</v>
      </c>
    </row>
    <row r="628" spans="1:19">
      <c r="A628" s="9" t="s">
        <v>22</v>
      </c>
      <c r="B628" s="9" t="s">
        <v>27</v>
      </c>
      <c r="C628" s="9" t="s">
        <v>54</v>
      </c>
      <c r="D628" t="s">
        <v>204</v>
      </c>
      <c r="F628" s="12" t="s">
        <v>2132</v>
      </c>
      <c r="G628" s="10" t="s">
        <v>634</v>
      </c>
      <c r="H628" s="10" t="s">
        <v>634</v>
      </c>
      <c r="K628" t="s">
        <v>19</v>
      </c>
      <c r="L628" t="s">
        <v>20</v>
      </c>
      <c r="M628" s="9">
        <v>83025</v>
      </c>
      <c r="N628" t="s">
        <v>3477</v>
      </c>
      <c r="O628">
        <v>18</v>
      </c>
      <c r="P628" t="s">
        <v>3477</v>
      </c>
      <c r="Q628">
        <v>18</v>
      </c>
      <c r="R628" s="13">
        <v>4330</v>
      </c>
      <c r="S628" s="13">
        <v>3031</v>
      </c>
    </row>
    <row r="629" spans="1:19">
      <c r="A629" s="9" t="s">
        <v>22</v>
      </c>
      <c r="B629" s="9" t="s">
        <v>27</v>
      </c>
      <c r="C629" s="9" t="s">
        <v>54</v>
      </c>
      <c r="D629" t="s">
        <v>204</v>
      </c>
      <c r="F629" s="12" t="s">
        <v>2133</v>
      </c>
      <c r="G629" s="10" t="s">
        <v>634</v>
      </c>
      <c r="H629" s="10" t="s">
        <v>634</v>
      </c>
      <c r="K629" t="s">
        <v>19</v>
      </c>
      <c r="L629" t="s">
        <v>20</v>
      </c>
      <c r="M629" s="9">
        <v>83025</v>
      </c>
      <c r="N629" t="s">
        <v>3477</v>
      </c>
      <c r="O629">
        <v>18</v>
      </c>
      <c r="P629" t="s">
        <v>3477</v>
      </c>
      <c r="Q629">
        <v>18</v>
      </c>
      <c r="R629" s="13">
        <v>4330</v>
      </c>
      <c r="S629" s="13">
        <v>3031</v>
      </c>
    </row>
    <row r="630" spans="1:19">
      <c r="A630" s="9" t="s">
        <v>22</v>
      </c>
      <c r="B630" s="9" t="s">
        <v>27</v>
      </c>
      <c r="C630" s="9" t="s">
        <v>54</v>
      </c>
      <c r="D630" t="s">
        <v>204</v>
      </c>
      <c r="F630" s="12" t="s">
        <v>2134</v>
      </c>
      <c r="G630" s="10" t="s">
        <v>635</v>
      </c>
      <c r="H630" s="10" t="s">
        <v>635</v>
      </c>
      <c r="K630" t="s">
        <v>19</v>
      </c>
      <c r="L630" t="s">
        <v>20</v>
      </c>
      <c r="M630" s="9">
        <v>83025</v>
      </c>
      <c r="N630" t="s">
        <v>3477</v>
      </c>
      <c r="O630">
        <v>18</v>
      </c>
      <c r="P630" t="s">
        <v>3477</v>
      </c>
      <c r="Q630">
        <v>18</v>
      </c>
      <c r="R630" s="13">
        <v>4040</v>
      </c>
      <c r="S630" s="13">
        <v>2828</v>
      </c>
    </row>
    <row r="631" spans="1:19">
      <c r="A631" s="9" t="s">
        <v>22</v>
      </c>
      <c r="B631" s="9" t="s">
        <v>27</v>
      </c>
      <c r="C631" s="9" t="s">
        <v>53</v>
      </c>
      <c r="D631" t="s">
        <v>204</v>
      </c>
      <c r="F631" s="12" t="s">
        <v>2135</v>
      </c>
      <c r="G631" s="10" t="s">
        <v>635</v>
      </c>
      <c r="H631" s="10" t="s">
        <v>635</v>
      </c>
      <c r="K631" t="s">
        <v>19</v>
      </c>
      <c r="L631" t="s">
        <v>20</v>
      </c>
      <c r="M631" s="9">
        <v>83025</v>
      </c>
      <c r="N631" t="s">
        <v>3477</v>
      </c>
      <c r="O631">
        <v>18</v>
      </c>
      <c r="P631" t="s">
        <v>3477</v>
      </c>
      <c r="Q631">
        <v>18</v>
      </c>
      <c r="R631" s="13">
        <v>4580</v>
      </c>
      <c r="S631" s="13">
        <v>3206</v>
      </c>
    </row>
    <row r="632" spans="1:19">
      <c r="A632" s="9" t="s">
        <v>22</v>
      </c>
      <c r="B632" s="9" t="s">
        <v>27</v>
      </c>
      <c r="C632" s="9" t="s">
        <v>53</v>
      </c>
      <c r="D632" t="s">
        <v>204</v>
      </c>
      <c r="F632" s="12" t="s">
        <v>2136</v>
      </c>
      <c r="G632" s="10" t="s">
        <v>635</v>
      </c>
      <c r="H632" s="10" t="s">
        <v>635</v>
      </c>
      <c r="K632" t="s">
        <v>19</v>
      </c>
      <c r="L632" t="s">
        <v>20</v>
      </c>
      <c r="M632" s="9">
        <v>83025</v>
      </c>
      <c r="N632" t="s">
        <v>3477</v>
      </c>
      <c r="O632">
        <v>18</v>
      </c>
      <c r="P632" t="s">
        <v>3477</v>
      </c>
      <c r="Q632">
        <v>18</v>
      </c>
      <c r="R632" s="13">
        <v>5130</v>
      </c>
      <c r="S632" s="13">
        <v>3590.9999999999995</v>
      </c>
    </row>
    <row r="633" spans="1:19">
      <c r="A633" s="9" t="s">
        <v>22</v>
      </c>
      <c r="B633" s="9" t="s">
        <v>27</v>
      </c>
      <c r="C633" s="9" t="s">
        <v>53</v>
      </c>
      <c r="D633" t="s">
        <v>204</v>
      </c>
      <c r="F633" s="12" t="s">
        <v>2137</v>
      </c>
      <c r="G633" s="10" t="s">
        <v>635</v>
      </c>
      <c r="H633" s="10" t="s">
        <v>635</v>
      </c>
      <c r="K633" t="s">
        <v>19</v>
      </c>
      <c r="L633" t="s">
        <v>20</v>
      </c>
      <c r="M633" s="9">
        <v>83025</v>
      </c>
      <c r="N633" t="s">
        <v>3477</v>
      </c>
      <c r="O633">
        <v>18</v>
      </c>
      <c r="P633" t="s">
        <v>3477</v>
      </c>
      <c r="Q633">
        <v>18</v>
      </c>
      <c r="R633" s="13">
        <v>4450</v>
      </c>
      <c r="S633" s="13">
        <v>3115</v>
      </c>
    </row>
    <row r="634" spans="1:19">
      <c r="A634" s="9" t="s">
        <v>22</v>
      </c>
      <c r="B634" s="9" t="s">
        <v>27</v>
      </c>
      <c r="C634" s="9" t="s">
        <v>53</v>
      </c>
      <c r="D634" t="s">
        <v>204</v>
      </c>
      <c r="F634" s="12" t="s">
        <v>2138</v>
      </c>
      <c r="G634" s="10" t="s">
        <v>635</v>
      </c>
      <c r="H634" s="10" t="s">
        <v>635</v>
      </c>
      <c r="K634" t="s">
        <v>19</v>
      </c>
      <c r="L634" t="s">
        <v>20</v>
      </c>
      <c r="M634" s="9">
        <v>83025</v>
      </c>
      <c r="N634" t="s">
        <v>3477</v>
      </c>
      <c r="O634">
        <v>18</v>
      </c>
      <c r="P634" t="s">
        <v>3477</v>
      </c>
      <c r="Q634">
        <v>18</v>
      </c>
      <c r="R634" s="13">
        <v>5500</v>
      </c>
      <c r="S634" s="13">
        <v>3849.9999999999995</v>
      </c>
    </row>
    <row r="635" spans="1:19">
      <c r="A635" s="9" t="s">
        <v>22</v>
      </c>
      <c r="B635" s="9" t="s">
        <v>27</v>
      </c>
      <c r="C635" s="9" t="s">
        <v>53</v>
      </c>
      <c r="D635" t="s">
        <v>204</v>
      </c>
      <c r="F635" s="12" t="s">
        <v>2139</v>
      </c>
      <c r="G635" s="10" t="s">
        <v>635</v>
      </c>
      <c r="H635" s="10" t="s">
        <v>635</v>
      </c>
      <c r="K635" t="s">
        <v>19</v>
      </c>
      <c r="L635" t="s">
        <v>20</v>
      </c>
      <c r="M635" s="9">
        <v>83025</v>
      </c>
      <c r="N635" t="s">
        <v>3477</v>
      </c>
      <c r="O635">
        <v>18</v>
      </c>
      <c r="P635" t="s">
        <v>3477</v>
      </c>
      <c r="Q635">
        <v>18</v>
      </c>
      <c r="R635" s="13">
        <v>5500</v>
      </c>
      <c r="S635" s="13">
        <v>3849.9999999999995</v>
      </c>
    </row>
    <row r="636" spans="1:19">
      <c r="A636" s="9" t="s">
        <v>22</v>
      </c>
      <c r="B636" s="9" t="s">
        <v>27</v>
      </c>
      <c r="C636" s="9" t="s">
        <v>53</v>
      </c>
      <c r="D636" t="s">
        <v>204</v>
      </c>
      <c r="F636" s="12" t="s">
        <v>2140</v>
      </c>
      <c r="G636" s="10" t="s">
        <v>636</v>
      </c>
      <c r="H636" s="10" t="s">
        <v>636</v>
      </c>
      <c r="K636" t="s">
        <v>19</v>
      </c>
      <c r="L636" t="s">
        <v>20</v>
      </c>
      <c r="M636" s="9">
        <v>83025</v>
      </c>
      <c r="N636" t="s">
        <v>3477</v>
      </c>
      <c r="O636">
        <v>18</v>
      </c>
      <c r="P636" t="s">
        <v>3477</v>
      </c>
      <c r="Q636">
        <v>18</v>
      </c>
      <c r="R636" s="13">
        <v>5130</v>
      </c>
      <c r="S636" s="13">
        <v>3590.9999999999995</v>
      </c>
    </row>
    <row r="637" spans="1:19">
      <c r="A637" s="9" t="s">
        <v>22</v>
      </c>
      <c r="B637" s="9" t="s">
        <v>27</v>
      </c>
      <c r="C637" s="9" t="s">
        <v>55</v>
      </c>
      <c r="D637" t="s">
        <v>204</v>
      </c>
      <c r="F637" s="12" t="s">
        <v>2141</v>
      </c>
      <c r="G637" s="10" t="s">
        <v>636</v>
      </c>
      <c r="H637" s="10" t="s">
        <v>636</v>
      </c>
      <c r="K637" t="s">
        <v>19</v>
      </c>
      <c r="L637" t="s">
        <v>20</v>
      </c>
      <c r="M637" s="9">
        <v>83025</v>
      </c>
      <c r="N637" t="s">
        <v>3477</v>
      </c>
      <c r="O637">
        <v>18</v>
      </c>
      <c r="P637" t="s">
        <v>3477</v>
      </c>
      <c r="Q637">
        <v>18</v>
      </c>
      <c r="R637" s="13">
        <v>1320</v>
      </c>
      <c r="S637" s="13">
        <v>923.99999999999989</v>
      </c>
    </row>
    <row r="638" spans="1:19">
      <c r="A638" s="9" t="s">
        <v>22</v>
      </c>
      <c r="B638" s="9" t="s">
        <v>27</v>
      </c>
      <c r="C638" s="9" t="s">
        <v>55</v>
      </c>
      <c r="D638" t="s">
        <v>204</v>
      </c>
      <c r="F638" s="12" t="s">
        <v>2142</v>
      </c>
      <c r="G638" s="10" t="s">
        <v>636</v>
      </c>
      <c r="H638" s="10" t="s">
        <v>636</v>
      </c>
      <c r="K638" t="s">
        <v>19</v>
      </c>
      <c r="L638" t="s">
        <v>20</v>
      </c>
      <c r="M638" s="9">
        <v>83025</v>
      </c>
      <c r="N638" t="s">
        <v>3477</v>
      </c>
      <c r="O638">
        <v>18</v>
      </c>
      <c r="P638" t="s">
        <v>3477</v>
      </c>
      <c r="Q638">
        <v>18</v>
      </c>
      <c r="R638" s="13">
        <v>1480</v>
      </c>
      <c r="S638" s="13">
        <v>1036</v>
      </c>
    </row>
    <row r="639" spans="1:19">
      <c r="A639" s="9" t="s">
        <v>22</v>
      </c>
      <c r="B639" s="9" t="s">
        <v>27</v>
      </c>
      <c r="C639" s="9" t="s">
        <v>55</v>
      </c>
      <c r="D639" t="s">
        <v>204</v>
      </c>
      <c r="F639" s="12" t="s">
        <v>2143</v>
      </c>
      <c r="G639" s="10" t="s">
        <v>636</v>
      </c>
      <c r="H639" s="10" t="s">
        <v>636</v>
      </c>
      <c r="K639" t="s">
        <v>19</v>
      </c>
      <c r="L639" t="s">
        <v>20</v>
      </c>
      <c r="M639" s="9">
        <v>83025</v>
      </c>
      <c r="N639" t="s">
        <v>3477</v>
      </c>
      <c r="O639">
        <v>18</v>
      </c>
      <c r="P639" t="s">
        <v>3477</v>
      </c>
      <c r="Q639">
        <v>18</v>
      </c>
      <c r="R639" s="13">
        <v>1280</v>
      </c>
      <c r="S639" s="13">
        <v>896</v>
      </c>
    </row>
    <row r="640" spans="1:19">
      <c r="A640" s="9" t="s">
        <v>22</v>
      </c>
      <c r="B640" s="9" t="s">
        <v>27</v>
      </c>
      <c r="C640" s="9" t="s">
        <v>55</v>
      </c>
      <c r="D640" t="s">
        <v>204</v>
      </c>
      <c r="F640" s="12" t="s">
        <v>2144</v>
      </c>
      <c r="G640" s="10" t="s">
        <v>636</v>
      </c>
      <c r="H640" s="10" t="s">
        <v>636</v>
      </c>
      <c r="K640" t="s">
        <v>19</v>
      </c>
      <c r="L640" t="s">
        <v>20</v>
      </c>
      <c r="M640" s="9">
        <v>83025</v>
      </c>
      <c r="N640" t="s">
        <v>3477</v>
      </c>
      <c r="O640">
        <v>18</v>
      </c>
      <c r="P640" t="s">
        <v>3477</v>
      </c>
      <c r="Q640">
        <v>18</v>
      </c>
      <c r="R640" s="13">
        <v>1580</v>
      </c>
      <c r="S640" s="13">
        <v>1106</v>
      </c>
    </row>
    <row r="641" spans="1:19">
      <c r="A641" s="9" t="s">
        <v>22</v>
      </c>
      <c r="B641" s="9" t="s">
        <v>27</v>
      </c>
      <c r="C641" s="9" t="s">
        <v>55</v>
      </c>
      <c r="D641" t="s">
        <v>204</v>
      </c>
      <c r="F641" s="12" t="s">
        <v>2145</v>
      </c>
      <c r="G641" s="10" t="s">
        <v>636</v>
      </c>
      <c r="H641" s="10" t="s">
        <v>636</v>
      </c>
      <c r="K641" t="s">
        <v>19</v>
      </c>
      <c r="L641" t="s">
        <v>20</v>
      </c>
      <c r="M641" s="9">
        <v>83025</v>
      </c>
      <c r="N641" t="s">
        <v>3477</v>
      </c>
      <c r="O641">
        <v>18</v>
      </c>
      <c r="P641" t="s">
        <v>3477</v>
      </c>
      <c r="Q641">
        <v>18</v>
      </c>
      <c r="R641" s="13">
        <v>1580</v>
      </c>
      <c r="S641" s="13">
        <v>1106</v>
      </c>
    </row>
    <row r="642" spans="1:19">
      <c r="A642" s="9" t="s">
        <v>22</v>
      </c>
      <c r="B642" s="9" t="s">
        <v>27</v>
      </c>
      <c r="C642" s="9" t="s">
        <v>55</v>
      </c>
      <c r="D642" t="s">
        <v>204</v>
      </c>
      <c r="F642" s="12" t="s">
        <v>2146</v>
      </c>
      <c r="G642" s="10" t="s">
        <v>143</v>
      </c>
      <c r="H642" s="10" t="s">
        <v>143</v>
      </c>
      <c r="K642" t="s">
        <v>19</v>
      </c>
      <c r="L642" t="s">
        <v>20</v>
      </c>
      <c r="M642" s="9">
        <v>83025</v>
      </c>
      <c r="N642" t="s">
        <v>3477</v>
      </c>
      <c r="O642">
        <v>18</v>
      </c>
      <c r="P642" t="s">
        <v>3477</v>
      </c>
      <c r="Q642">
        <v>18</v>
      </c>
      <c r="R642" s="13">
        <v>1480</v>
      </c>
      <c r="S642" s="13">
        <v>1036</v>
      </c>
    </row>
    <row r="643" spans="1:19">
      <c r="A643" s="9" t="s">
        <v>22</v>
      </c>
      <c r="B643" s="9" t="s">
        <v>27</v>
      </c>
      <c r="C643" s="9" t="s">
        <v>143</v>
      </c>
      <c r="D643" t="s">
        <v>204</v>
      </c>
      <c r="F643" s="12" t="s">
        <v>2147</v>
      </c>
      <c r="G643" s="10" t="s">
        <v>637</v>
      </c>
      <c r="H643" s="10" t="s">
        <v>637</v>
      </c>
      <c r="K643" t="s">
        <v>19</v>
      </c>
      <c r="L643" t="s">
        <v>20</v>
      </c>
      <c r="M643" s="9">
        <v>83025</v>
      </c>
      <c r="N643" t="s">
        <v>3477</v>
      </c>
      <c r="O643">
        <v>18</v>
      </c>
      <c r="P643" t="s">
        <v>3477</v>
      </c>
      <c r="Q643">
        <v>18</v>
      </c>
      <c r="R643" s="13">
        <v>23520</v>
      </c>
      <c r="S643" s="13">
        <v>16464</v>
      </c>
    </row>
    <row r="644" spans="1:19">
      <c r="A644" s="9" t="s">
        <v>22</v>
      </c>
      <c r="B644" s="9" t="s">
        <v>36</v>
      </c>
      <c r="C644" s="9" t="s">
        <v>144</v>
      </c>
      <c r="D644" t="s">
        <v>204</v>
      </c>
      <c r="F644" s="12" t="s">
        <v>2148</v>
      </c>
      <c r="G644" s="10" t="s">
        <v>638</v>
      </c>
      <c r="H644" s="10" t="s">
        <v>638</v>
      </c>
      <c r="K644" t="s">
        <v>19</v>
      </c>
      <c r="L644" t="s">
        <v>20</v>
      </c>
      <c r="M644" s="9">
        <v>8421219</v>
      </c>
      <c r="N644" t="s">
        <v>3477</v>
      </c>
      <c r="O644">
        <v>18</v>
      </c>
      <c r="P644" t="s">
        <v>3477</v>
      </c>
      <c r="Q644">
        <v>18</v>
      </c>
      <c r="R644" s="13">
        <v>28000</v>
      </c>
      <c r="S644" s="13">
        <v>19600</v>
      </c>
    </row>
    <row r="645" spans="1:19">
      <c r="A645" s="9" t="s">
        <v>22</v>
      </c>
      <c r="B645" s="9" t="s">
        <v>27</v>
      </c>
      <c r="C645" s="9" t="s">
        <v>135</v>
      </c>
      <c r="D645" t="s">
        <v>204</v>
      </c>
      <c r="F645" s="12" t="s">
        <v>2149</v>
      </c>
      <c r="G645" s="10" t="s">
        <v>639</v>
      </c>
      <c r="H645" s="10" t="s">
        <v>639</v>
      </c>
      <c r="K645" t="s">
        <v>19</v>
      </c>
      <c r="L645" t="s">
        <v>20</v>
      </c>
      <c r="M645" s="9">
        <v>8481802</v>
      </c>
      <c r="N645" t="s">
        <v>3477</v>
      </c>
      <c r="O645">
        <v>18</v>
      </c>
      <c r="P645" t="s">
        <v>3477</v>
      </c>
      <c r="Q645">
        <v>18</v>
      </c>
      <c r="R645" s="13">
        <v>12500</v>
      </c>
      <c r="S645" s="13">
        <v>8750</v>
      </c>
    </row>
    <row r="646" spans="1:19">
      <c r="A646" s="9" t="s">
        <v>22</v>
      </c>
      <c r="B646" s="9" t="s">
        <v>27</v>
      </c>
      <c r="C646" s="9" t="s">
        <v>141</v>
      </c>
      <c r="D646" t="s">
        <v>204</v>
      </c>
      <c r="F646" s="12" t="s">
        <v>2150</v>
      </c>
      <c r="G646" s="10" t="s">
        <v>639</v>
      </c>
      <c r="H646" s="10" t="s">
        <v>639</v>
      </c>
      <c r="K646" t="s">
        <v>19</v>
      </c>
      <c r="L646" t="s">
        <v>20</v>
      </c>
      <c r="M646" s="9">
        <v>7418202</v>
      </c>
      <c r="N646" t="s">
        <v>3477</v>
      </c>
      <c r="O646">
        <v>18</v>
      </c>
      <c r="P646" t="s">
        <v>3477</v>
      </c>
      <c r="Q646">
        <v>18</v>
      </c>
      <c r="R646" s="13">
        <v>2690</v>
      </c>
      <c r="S646" s="13">
        <v>1882.9999999999998</v>
      </c>
    </row>
    <row r="647" spans="1:19">
      <c r="A647" s="9" t="s">
        <v>22</v>
      </c>
      <c r="B647" s="9" t="s">
        <v>27</v>
      </c>
      <c r="C647" s="9" t="s">
        <v>141</v>
      </c>
      <c r="D647" t="s">
        <v>204</v>
      </c>
      <c r="F647" s="12" t="s">
        <v>2151</v>
      </c>
      <c r="G647" s="10" t="s">
        <v>639</v>
      </c>
      <c r="H647" s="10" t="s">
        <v>639</v>
      </c>
      <c r="K647" t="s">
        <v>19</v>
      </c>
      <c r="L647" t="s">
        <v>20</v>
      </c>
      <c r="M647" s="9">
        <v>7418202</v>
      </c>
      <c r="N647" t="s">
        <v>3477</v>
      </c>
      <c r="O647">
        <v>18</v>
      </c>
      <c r="P647" t="s">
        <v>3477</v>
      </c>
      <c r="Q647">
        <v>18</v>
      </c>
      <c r="R647" s="13">
        <v>3010</v>
      </c>
      <c r="S647" s="13">
        <v>2107</v>
      </c>
    </row>
    <row r="648" spans="1:19">
      <c r="A648" s="9" t="s">
        <v>22</v>
      </c>
      <c r="B648" s="9" t="s">
        <v>27</v>
      </c>
      <c r="C648" s="9" t="s">
        <v>141</v>
      </c>
      <c r="D648" t="s">
        <v>204</v>
      </c>
      <c r="F648" s="12" t="s">
        <v>2152</v>
      </c>
      <c r="G648" s="10" t="s">
        <v>639</v>
      </c>
      <c r="H648" s="10" t="s">
        <v>639</v>
      </c>
      <c r="K648" t="s">
        <v>19</v>
      </c>
      <c r="L648" t="s">
        <v>20</v>
      </c>
      <c r="M648" s="9">
        <v>7418202</v>
      </c>
      <c r="N648" t="s">
        <v>3477</v>
      </c>
      <c r="O648">
        <v>18</v>
      </c>
      <c r="P648" t="s">
        <v>3477</v>
      </c>
      <c r="Q648">
        <v>18</v>
      </c>
      <c r="R648" s="13">
        <v>3230</v>
      </c>
      <c r="S648" s="13">
        <v>2261</v>
      </c>
    </row>
    <row r="649" spans="1:19">
      <c r="A649" s="9" t="s">
        <v>22</v>
      </c>
      <c r="B649" s="9" t="s">
        <v>27</v>
      </c>
      <c r="C649" s="9" t="s">
        <v>141</v>
      </c>
      <c r="D649" t="s">
        <v>204</v>
      </c>
      <c r="F649" s="12" t="s">
        <v>2153</v>
      </c>
      <c r="G649" s="10" t="s">
        <v>639</v>
      </c>
      <c r="H649" s="10" t="s">
        <v>639</v>
      </c>
      <c r="K649" t="s">
        <v>19</v>
      </c>
      <c r="L649" t="s">
        <v>20</v>
      </c>
      <c r="M649" s="9">
        <v>7418202</v>
      </c>
      <c r="N649" t="s">
        <v>3477</v>
      </c>
      <c r="O649">
        <v>18</v>
      </c>
      <c r="P649" t="s">
        <v>3477</v>
      </c>
      <c r="Q649">
        <v>18</v>
      </c>
      <c r="R649" s="13">
        <v>3230</v>
      </c>
      <c r="S649" s="13">
        <v>2261</v>
      </c>
    </row>
    <row r="650" spans="1:19">
      <c r="A650" s="9" t="s">
        <v>22</v>
      </c>
      <c r="B650" s="9" t="s">
        <v>27</v>
      </c>
      <c r="C650" s="9" t="s">
        <v>141</v>
      </c>
      <c r="D650" t="s">
        <v>204</v>
      </c>
      <c r="F650" s="12" t="s">
        <v>2154</v>
      </c>
      <c r="G650" s="10" t="s">
        <v>640</v>
      </c>
      <c r="H650" s="10" t="s">
        <v>640</v>
      </c>
      <c r="K650" t="s">
        <v>19</v>
      </c>
      <c r="L650" t="s">
        <v>20</v>
      </c>
      <c r="M650" s="9">
        <v>7418202</v>
      </c>
      <c r="N650" t="s">
        <v>3477</v>
      </c>
      <c r="O650">
        <v>18</v>
      </c>
      <c r="P650" t="s">
        <v>3477</v>
      </c>
      <c r="Q650">
        <v>18</v>
      </c>
      <c r="R650" s="13">
        <v>3010</v>
      </c>
      <c r="S650" s="13">
        <v>2107</v>
      </c>
    </row>
    <row r="651" spans="1:19">
      <c r="A651" s="9" t="s">
        <v>22</v>
      </c>
      <c r="B651" s="9" t="s">
        <v>27</v>
      </c>
      <c r="C651" s="9" t="s">
        <v>57</v>
      </c>
      <c r="D651" t="s">
        <v>204</v>
      </c>
      <c r="F651" s="12" t="s">
        <v>2155</v>
      </c>
      <c r="G651" s="10" t="s">
        <v>640</v>
      </c>
      <c r="H651" s="10" t="s">
        <v>640</v>
      </c>
      <c r="K651" t="s">
        <v>19</v>
      </c>
      <c r="L651" t="s">
        <v>20</v>
      </c>
      <c r="M651" s="9">
        <v>7418201</v>
      </c>
      <c r="N651" t="s">
        <v>3477</v>
      </c>
      <c r="O651">
        <v>18</v>
      </c>
      <c r="P651" t="s">
        <v>3477</v>
      </c>
      <c r="Q651">
        <v>18</v>
      </c>
      <c r="R651" s="13">
        <v>2470</v>
      </c>
      <c r="S651" s="13">
        <v>1729</v>
      </c>
    </row>
    <row r="652" spans="1:19">
      <c r="A652" s="9" t="s">
        <v>22</v>
      </c>
      <c r="B652" s="9" t="s">
        <v>27</v>
      </c>
      <c r="C652" s="9" t="s">
        <v>57</v>
      </c>
      <c r="D652" t="s">
        <v>204</v>
      </c>
      <c r="F652" s="12" t="s">
        <v>2156</v>
      </c>
      <c r="G652" s="10" t="s">
        <v>640</v>
      </c>
      <c r="H652" s="10" t="s">
        <v>640</v>
      </c>
      <c r="K652" t="s">
        <v>19</v>
      </c>
      <c r="L652" t="s">
        <v>20</v>
      </c>
      <c r="M652" s="9">
        <v>7418201</v>
      </c>
      <c r="N652" t="s">
        <v>3477</v>
      </c>
      <c r="O652">
        <v>18</v>
      </c>
      <c r="P652" t="s">
        <v>3477</v>
      </c>
      <c r="Q652">
        <v>18</v>
      </c>
      <c r="R652" s="13">
        <v>2770</v>
      </c>
      <c r="S652" s="13">
        <v>1938.9999999999998</v>
      </c>
    </row>
    <row r="653" spans="1:19">
      <c r="A653" s="9" t="s">
        <v>22</v>
      </c>
      <c r="B653" s="9" t="s">
        <v>27</v>
      </c>
      <c r="C653" s="9" t="s">
        <v>57</v>
      </c>
      <c r="D653" t="s">
        <v>204</v>
      </c>
      <c r="F653" s="12" t="s">
        <v>2157</v>
      </c>
      <c r="G653" s="10" t="s">
        <v>640</v>
      </c>
      <c r="H653" s="10" t="s">
        <v>640</v>
      </c>
      <c r="K653" t="s">
        <v>19</v>
      </c>
      <c r="L653" t="s">
        <v>20</v>
      </c>
      <c r="M653" s="9">
        <v>7418201</v>
      </c>
      <c r="N653" t="s">
        <v>3477</v>
      </c>
      <c r="O653">
        <v>18</v>
      </c>
      <c r="P653" t="s">
        <v>3477</v>
      </c>
      <c r="Q653">
        <v>18</v>
      </c>
      <c r="R653" s="13">
        <v>2400</v>
      </c>
      <c r="S653" s="13">
        <v>1680</v>
      </c>
    </row>
    <row r="654" spans="1:19">
      <c r="A654" s="9" t="s">
        <v>22</v>
      </c>
      <c r="B654" s="9" t="s">
        <v>27</v>
      </c>
      <c r="C654" s="9" t="s">
        <v>57</v>
      </c>
      <c r="D654" t="s">
        <v>204</v>
      </c>
      <c r="F654" s="12" t="s">
        <v>2158</v>
      </c>
      <c r="G654" s="10" t="s">
        <v>640</v>
      </c>
      <c r="H654" s="10" t="s">
        <v>640</v>
      </c>
      <c r="K654" t="s">
        <v>19</v>
      </c>
      <c r="L654" t="s">
        <v>20</v>
      </c>
      <c r="M654" s="9">
        <v>7418201</v>
      </c>
      <c r="N654" t="s">
        <v>3477</v>
      </c>
      <c r="O654">
        <v>18</v>
      </c>
      <c r="P654" t="s">
        <v>3477</v>
      </c>
      <c r="Q654">
        <v>18</v>
      </c>
      <c r="R654" s="13">
        <v>2960</v>
      </c>
      <c r="S654" s="13">
        <v>2072</v>
      </c>
    </row>
    <row r="655" spans="1:19">
      <c r="A655" s="9" t="s">
        <v>22</v>
      </c>
      <c r="B655" s="9" t="s">
        <v>27</v>
      </c>
      <c r="C655" s="9" t="s">
        <v>57</v>
      </c>
      <c r="D655" t="s">
        <v>204</v>
      </c>
      <c r="F655" s="12" t="s">
        <v>2159</v>
      </c>
      <c r="G655" s="10" t="s">
        <v>640</v>
      </c>
      <c r="H655" s="10" t="s">
        <v>640</v>
      </c>
      <c r="K655" t="s">
        <v>19</v>
      </c>
      <c r="L655" t="s">
        <v>20</v>
      </c>
      <c r="M655" s="9">
        <v>7418201</v>
      </c>
      <c r="N655" t="s">
        <v>3477</v>
      </c>
      <c r="O655">
        <v>18</v>
      </c>
      <c r="P655" t="s">
        <v>3477</v>
      </c>
      <c r="Q655">
        <v>18</v>
      </c>
      <c r="R655" s="13">
        <v>2960</v>
      </c>
      <c r="S655" s="13">
        <v>2072</v>
      </c>
    </row>
    <row r="656" spans="1:19">
      <c r="A656" s="9" t="s">
        <v>22</v>
      </c>
      <c r="B656" s="9" t="s">
        <v>27</v>
      </c>
      <c r="C656" s="9" t="s">
        <v>57</v>
      </c>
      <c r="D656" t="s">
        <v>204</v>
      </c>
      <c r="F656" s="12" t="s">
        <v>2160</v>
      </c>
      <c r="G656" s="10" t="s">
        <v>641</v>
      </c>
      <c r="H656" s="10" t="s">
        <v>641</v>
      </c>
      <c r="K656" t="s">
        <v>19</v>
      </c>
      <c r="L656" t="s">
        <v>20</v>
      </c>
      <c r="M656" s="9">
        <v>7418201</v>
      </c>
      <c r="N656" t="s">
        <v>3477</v>
      </c>
      <c r="O656">
        <v>18</v>
      </c>
      <c r="P656" t="s">
        <v>3477</v>
      </c>
      <c r="Q656">
        <v>18</v>
      </c>
      <c r="R656" s="13">
        <v>2770</v>
      </c>
      <c r="S656" s="13">
        <v>1938.9999999999998</v>
      </c>
    </row>
    <row r="657" spans="1:19">
      <c r="A657" s="9" t="s">
        <v>22</v>
      </c>
      <c r="B657" s="9" t="s">
        <v>27</v>
      </c>
      <c r="C657" s="9" t="s">
        <v>45</v>
      </c>
      <c r="D657" t="s">
        <v>204</v>
      </c>
      <c r="F657" s="12" t="s">
        <v>2161</v>
      </c>
      <c r="G657" s="10" t="s">
        <v>641</v>
      </c>
      <c r="H657" s="10" t="s">
        <v>641</v>
      </c>
      <c r="K657" t="s">
        <v>19</v>
      </c>
      <c r="L657" t="s">
        <v>20</v>
      </c>
      <c r="M657" s="9">
        <v>7418201</v>
      </c>
      <c r="N657" t="s">
        <v>3477</v>
      </c>
      <c r="O657">
        <v>18</v>
      </c>
      <c r="P657" t="s">
        <v>3477</v>
      </c>
      <c r="Q657">
        <v>18</v>
      </c>
      <c r="R657" s="13">
        <v>4060</v>
      </c>
      <c r="S657" s="13">
        <v>2842</v>
      </c>
    </row>
    <row r="658" spans="1:19">
      <c r="A658" s="9" t="s">
        <v>22</v>
      </c>
      <c r="B658" s="9" t="s">
        <v>27</v>
      </c>
      <c r="C658" s="9" t="s">
        <v>45</v>
      </c>
      <c r="D658" t="s">
        <v>204</v>
      </c>
      <c r="F658" s="12" t="s">
        <v>2162</v>
      </c>
      <c r="G658" s="10" t="s">
        <v>641</v>
      </c>
      <c r="H658" s="10" t="s">
        <v>641</v>
      </c>
      <c r="K658" t="s">
        <v>19</v>
      </c>
      <c r="L658" t="s">
        <v>20</v>
      </c>
      <c r="M658" s="9">
        <v>7418201</v>
      </c>
      <c r="N658" t="s">
        <v>3477</v>
      </c>
      <c r="O658">
        <v>18</v>
      </c>
      <c r="P658" t="s">
        <v>3477</v>
      </c>
      <c r="Q658">
        <v>18</v>
      </c>
      <c r="R658" s="13">
        <v>4550</v>
      </c>
      <c r="S658" s="13">
        <v>3185</v>
      </c>
    </row>
    <row r="659" spans="1:19">
      <c r="A659" s="9" t="s">
        <v>22</v>
      </c>
      <c r="B659" s="9" t="s">
        <v>27</v>
      </c>
      <c r="C659" s="9" t="s">
        <v>45</v>
      </c>
      <c r="D659" t="s">
        <v>204</v>
      </c>
      <c r="F659" s="12" t="s">
        <v>2163</v>
      </c>
      <c r="G659" s="10" t="s">
        <v>641</v>
      </c>
      <c r="H659" s="10" t="s">
        <v>641</v>
      </c>
      <c r="K659" t="s">
        <v>19</v>
      </c>
      <c r="L659" t="s">
        <v>20</v>
      </c>
      <c r="M659" s="9">
        <v>7418201</v>
      </c>
      <c r="N659" t="s">
        <v>3477</v>
      </c>
      <c r="O659">
        <v>18</v>
      </c>
      <c r="P659" t="s">
        <v>3477</v>
      </c>
      <c r="Q659">
        <v>18</v>
      </c>
      <c r="R659" s="13">
        <v>3940</v>
      </c>
      <c r="S659" s="13">
        <v>2758</v>
      </c>
    </row>
    <row r="660" spans="1:19">
      <c r="A660" s="9" t="s">
        <v>22</v>
      </c>
      <c r="B660" s="9" t="s">
        <v>27</v>
      </c>
      <c r="C660" s="9" t="s">
        <v>45</v>
      </c>
      <c r="D660" t="s">
        <v>204</v>
      </c>
      <c r="F660" s="12" t="s">
        <v>2164</v>
      </c>
      <c r="G660" s="10" t="s">
        <v>641</v>
      </c>
      <c r="H660" s="10" t="s">
        <v>641</v>
      </c>
      <c r="K660" t="s">
        <v>19</v>
      </c>
      <c r="L660" t="s">
        <v>20</v>
      </c>
      <c r="M660" s="9">
        <v>7418201</v>
      </c>
      <c r="N660" t="s">
        <v>3477</v>
      </c>
      <c r="O660">
        <v>18</v>
      </c>
      <c r="P660" t="s">
        <v>3477</v>
      </c>
      <c r="Q660">
        <v>18</v>
      </c>
      <c r="R660" s="13">
        <v>4870</v>
      </c>
      <c r="S660" s="13">
        <v>3409</v>
      </c>
    </row>
    <row r="661" spans="1:19">
      <c r="A661" s="9" t="s">
        <v>22</v>
      </c>
      <c r="B661" s="9" t="s">
        <v>27</v>
      </c>
      <c r="C661" s="9" t="s">
        <v>45</v>
      </c>
      <c r="D661" t="s">
        <v>204</v>
      </c>
      <c r="F661" s="12" t="s">
        <v>2165</v>
      </c>
      <c r="G661" s="10" t="s">
        <v>641</v>
      </c>
      <c r="H661" s="10" t="s">
        <v>641</v>
      </c>
      <c r="K661" t="s">
        <v>19</v>
      </c>
      <c r="L661" t="s">
        <v>20</v>
      </c>
      <c r="M661" s="9">
        <v>7418201</v>
      </c>
      <c r="N661" t="s">
        <v>3477</v>
      </c>
      <c r="O661">
        <v>18</v>
      </c>
      <c r="P661" t="s">
        <v>3477</v>
      </c>
      <c r="Q661">
        <v>18</v>
      </c>
      <c r="R661" s="13">
        <v>4870</v>
      </c>
      <c r="S661" s="13">
        <v>3409</v>
      </c>
    </row>
    <row r="662" spans="1:19">
      <c r="A662" s="9" t="s">
        <v>22</v>
      </c>
      <c r="B662" s="9" t="s">
        <v>27</v>
      </c>
      <c r="C662" s="9" t="s">
        <v>45</v>
      </c>
      <c r="D662" t="s">
        <v>204</v>
      </c>
      <c r="F662" s="12" t="s">
        <v>2166</v>
      </c>
      <c r="G662" s="10" t="s">
        <v>642</v>
      </c>
      <c r="H662" s="10" t="s">
        <v>642</v>
      </c>
      <c r="K662" t="s">
        <v>19</v>
      </c>
      <c r="L662" t="s">
        <v>20</v>
      </c>
      <c r="M662" s="9">
        <v>7418201</v>
      </c>
      <c r="N662" t="s">
        <v>3477</v>
      </c>
      <c r="O662">
        <v>18</v>
      </c>
      <c r="P662" t="s">
        <v>3477</v>
      </c>
      <c r="Q662">
        <v>18</v>
      </c>
      <c r="R662" s="13">
        <v>4550</v>
      </c>
      <c r="S662" s="13">
        <v>3185</v>
      </c>
    </row>
    <row r="663" spans="1:19">
      <c r="A663" s="9" t="s">
        <v>22</v>
      </c>
      <c r="B663" s="9" t="s">
        <v>26</v>
      </c>
      <c r="C663" s="9" t="s">
        <v>85</v>
      </c>
      <c r="D663" t="s">
        <v>204</v>
      </c>
      <c r="F663" s="12" t="s">
        <v>2167</v>
      </c>
      <c r="G663" s="10" t="s">
        <v>643</v>
      </c>
      <c r="H663" s="10" t="s">
        <v>643</v>
      </c>
      <c r="K663" t="s">
        <v>19</v>
      </c>
      <c r="L663" t="s">
        <v>20</v>
      </c>
      <c r="M663" s="9">
        <v>69101</v>
      </c>
      <c r="N663" t="s">
        <v>3477</v>
      </c>
      <c r="O663">
        <v>18</v>
      </c>
      <c r="P663" t="s">
        <v>3477</v>
      </c>
      <c r="Q663">
        <v>18</v>
      </c>
      <c r="R663" s="13">
        <v>255000</v>
      </c>
      <c r="S663" s="13">
        <v>178500</v>
      </c>
    </row>
    <row r="664" spans="1:19">
      <c r="A664" s="9" t="s">
        <v>23</v>
      </c>
      <c r="B664" s="9" t="s">
        <v>27</v>
      </c>
      <c r="C664" s="9" t="s">
        <v>48</v>
      </c>
      <c r="D664" t="s">
        <v>204</v>
      </c>
      <c r="F664" s="12" t="s">
        <v>2168</v>
      </c>
      <c r="G664" s="10" t="s">
        <v>643</v>
      </c>
      <c r="H664" s="10" t="s">
        <v>643</v>
      </c>
      <c r="K664" t="s">
        <v>19</v>
      </c>
      <c r="L664" t="s">
        <v>20</v>
      </c>
      <c r="M664" s="9">
        <v>83025</v>
      </c>
      <c r="N664" t="s">
        <v>3477</v>
      </c>
      <c r="O664">
        <v>18</v>
      </c>
      <c r="P664" t="s">
        <v>3477</v>
      </c>
      <c r="Q664">
        <v>18</v>
      </c>
      <c r="R664" s="13">
        <v>30000</v>
      </c>
      <c r="S664" s="13">
        <v>18000</v>
      </c>
    </row>
    <row r="665" spans="1:19">
      <c r="A665" s="9" t="s">
        <v>23</v>
      </c>
      <c r="B665" s="9" t="s">
        <v>27</v>
      </c>
      <c r="C665" s="9" t="s">
        <v>48</v>
      </c>
      <c r="D665" t="s">
        <v>204</v>
      </c>
      <c r="F665" s="12" t="s">
        <v>2169</v>
      </c>
      <c r="G665" s="10" t="s">
        <v>643</v>
      </c>
      <c r="H665" s="10" t="s">
        <v>643</v>
      </c>
      <c r="K665" t="s">
        <v>19</v>
      </c>
      <c r="L665" t="s">
        <v>20</v>
      </c>
      <c r="M665" s="9">
        <v>83025</v>
      </c>
      <c r="N665" t="s">
        <v>3477</v>
      </c>
      <c r="O665">
        <v>18</v>
      </c>
      <c r="P665" t="s">
        <v>3477</v>
      </c>
      <c r="Q665">
        <v>18</v>
      </c>
      <c r="R665" s="13">
        <v>33600</v>
      </c>
      <c r="S665" s="13">
        <v>20160</v>
      </c>
    </row>
    <row r="666" spans="1:19">
      <c r="A666" s="9" t="s">
        <v>23</v>
      </c>
      <c r="B666" s="9" t="s">
        <v>27</v>
      </c>
      <c r="C666" s="9" t="s">
        <v>48</v>
      </c>
      <c r="D666" t="s">
        <v>204</v>
      </c>
      <c r="F666" s="12" t="s">
        <v>2170</v>
      </c>
      <c r="G666" s="10" t="s">
        <v>643</v>
      </c>
      <c r="H666" s="10" t="s">
        <v>643</v>
      </c>
      <c r="K666" t="s">
        <v>19</v>
      </c>
      <c r="L666" t="s">
        <v>20</v>
      </c>
      <c r="M666" s="9">
        <v>83025</v>
      </c>
      <c r="N666" t="s">
        <v>3477</v>
      </c>
      <c r="O666">
        <v>18</v>
      </c>
      <c r="P666" t="s">
        <v>3477</v>
      </c>
      <c r="Q666">
        <v>18</v>
      </c>
      <c r="R666" s="13">
        <v>24000</v>
      </c>
      <c r="S666" s="13">
        <v>14400</v>
      </c>
    </row>
    <row r="667" spans="1:19">
      <c r="A667" s="9" t="s">
        <v>23</v>
      </c>
      <c r="B667" s="9" t="s">
        <v>27</v>
      </c>
      <c r="C667" s="9" t="s">
        <v>48</v>
      </c>
      <c r="D667" t="s">
        <v>204</v>
      </c>
      <c r="F667" s="12" t="s">
        <v>2171</v>
      </c>
      <c r="G667" s="10" t="s">
        <v>644</v>
      </c>
      <c r="H667" s="10" t="s">
        <v>644</v>
      </c>
      <c r="K667" t="s">
        <v>19</v>
      </c>
      <c r="L667" t="s">
        <v>20</v>
      </c>
      <c r="M667" s="9">
        <v>83025</v>
      </c>
      <c r="N667" t="s">
        <v>3477</v>
      </c>
      <c r="O667">
        <v>18</v>
      </c>
      <c r="P667" t="s">
        <v>3477</v>
      </c>
      <c r="Q667">
        <v>18</v>
      </c>
      <c r="R667" s="13">
        <v>33600</v>
      </c>
      <c r="S667" s="13">
        <v>20160</v>
      </c>
    </row>
    <row r="668" spans="1:19">
      <c r="A668" s="9" t="s">
        <v>23</v>
      </c>
      <c r="B668" s="9" t="s">
        <v>27</v>
      </c>
      <c r="C668" s="9" t="s">
        <v>49</v>
      </c>
      <c r="D668" t="s">
        <v>204</v>
      </c>
      <c r="F668" s="12" t="s">
        <v>2172</v>
      </c>
      <c r="G668" s="10" t="s">
        <v>644</v>
      </c>
      <c r="H668" s="10" t="s">
        <v>644</v>
      </c>
      <c r="K668" t="s">
        <v>19</v>
      </c>
      <c r="L668" t="s">
        <v>20</v>
      </c>
      <c r="M668" s="9">
        <v>83025</v>
      </c>
      <c r="N668" t="s">
        <v>3477</v>
      </c>
      <c r="O668">
        <v>18</v>
      </c>
      <c r="P668" t="s">
        <v>3477</v>
      </c>
      <c r="Q668">
        <v>18</v>
      </c>
      <c r="R668" s="13">
        <v>37500</v>
      </c>
      <c r="S668" s="13">
        <v>22500</v>
      </c>
    </row>
    <row r="669" spans="1:19">
      <c r="A669" s="9" t="s">
        <v>23</v>
      </c>
      <c r="B669" s="9" t="s">
        <v>27</v>
      </c>
      <c r="C669" s="9" t="s">
        <v>49</v>
      </c>
      <c r="D669" t="s">
        <v>204</v>
      </c>
      <c r="F669" s="12" t="s">
        <v>2173</v>
      </c>
      <c r="G669" s="10" t="s">
        <v>644</v>
      </c>
      <c r="H669" s="10" t="s">
        <v>644</v>
      </c>
      <c r="K669" t="s">
        <v>19</v>
      </c>
      <c r="L669" t="s">
        <v>20</v>
      </c>
      <c r="M669" s="9">
        <v>83025</v>
      </c>
      <c r="N669" t="s">
        <v>3477</v>
      </c>
      <c r="O669">
        <v>18</v>
      </c>
      <c r="P669" t="s">
        <v>3477</v>
      </c>
      <c r="Q669">
        <v>18</v>
      </c>
      <c r="R669" s="13">
        <v>42000</v>
      </c>
      <c r="S669" s="13">
        <v>25200</v>
      </c>
    </row>
    <row r="670" spans="1:19">
      <c r="A670" s="9" t="s">
        <v>23</v>
      </c>
      <c r="B670" s="9" t="s">
        <v>27</v>
      </c>
      <c r="C670" s="9" t="s">
        <v>49</v>
      </c>
      <c r="D670" t="s">
        <v>204</v>
      </c>
      <c r="F670" s="12" t="s">
        <v>2174</v>
      </c>
      <c r="G670" s="10" t="s">
        <v>644</v>
      </c>
      <c r="H670" s="10" t="s">
        <v>644</v>
      </c>
      <c r="K670" t="s">
        <v>19</v>
      </c>
      <c r="L670" t="s">
        <v>20</v>
      </c>
      <c r="M670" s="9">
        <v>83025</v>
      </c>
      <c r="N670" t="s">
        <v>3477</v>
      </c>
      <c r="O670">
        <v>18</v>
      </c>
      <c r="P670" t="s">
        <v>3477</v>
      </c>
      <c r="Q670">
        <v>18</v>
      </c>
      <c r="R670" s="13">
        <v>30000</v>
      </c>
      <c r="S670" s="13">
        <v>18000</v>
      </c>
    </row>
    <row r="671" spans="1:19">
      <c r="A671" s="9" t="s">
        <v>23</v>
      </c>
      <c r="B671" s="9" t="s">
        <v>27</v>
      </c>
      <c r="C671" s="9" t="s">
        <v>49</v>
      </c>
      <c r="D671" t="s">
        <v>204</v>
      </c>
      <c r="F671" s="12" t="s">
        <v>2175</v>
      </c>
      <c r="G671" s="10" t="s">
        <v>645</v>
      </c>
      <c r="H671" s="10" t="s">
        <v>645</v>
      </c>
      <c r="K671" t="s">
        <v>19</v>
      </c>
      <c r="L671" t="s">
        <v>20</v>
      </c>
      <c r="M671" s="9">
        <v>83025</v>
      </c>
      <c r="N671" t="s">
        <v>3477</v>
      </c>
      <c r="O671">
        <v>18</v>
      </c>
      <c r="P671" t="s">
        <v>3477</v>
      </c>
      <c r="Q671">
        <v>18</v>
      </c>
      <c r="R671" s="13">
        <v>42000</v>
      </c>
      <c r="S671" s="13">
        <v>25200</v>
      </c>
    </row>
    <row r="672" spans="1:19">
      <c r="A672" s="9" t="s">
        <v>23</v>
      </c>
      <c r="B672" s="9" t="s">
        <v>27</v>
      </c>
      <c r="C672" s="9" t="s">
        <v>49</v>
      </c>
      <c r="D672" t="s">
        <v>204</v>
      </c>
      <c r="F672" s="12" t="s">
        <v>2176</v>
      </c>
      <c r="G672" s="10" t="s">
        <v>646</v>
      </c>
      <c r="H672" s="10" t="s">
        <v>646</v>
      </c>
      <c r="K672" t="s">
        <v>19</v>
      </c>
      <c r="L672" t="s">
        <v>20</v>
      </c>
      <c r="M672" s="9">
        <v>83025</v>
      </c>
      <c r="N672" t="s">
        <v>3477</v>
      </c>
      <c r="O672">
        <v>18</v>
      </c>
      <c r="P672" t="s">
        <v>3477</v>
      </c>
      <c r="Q672">
        <v>18</v>
      </c>
      <c r="R672" s="13">
        <v>46200</v>
      </c>
      <c r="S672" s="13">
        <v>27720</v>
      </c>
    </row>
    <row r="673" spans="1:19">
      <c r="A673" s="9" t="s">
        <v>23</v>
      </c>
      <c r="B673" s="9" t="s">
        <v>27</v>
      </c>
      <c r="C673" s="9" t="s">
        <v>114</v>
      </c>
      <c r="D673" t="s">
        <v>204</v>
      </c>
      <c r="F673" s="12" t="s">
        <v>2177</v>
      </c>
      <c r="G673" s="10" t="s">
        <v>646</v>
      </c>
      <c r="H673" s="10" t="s">
        <v>646</v>
      </c>
      <c r="K673" t="s">
        <v>19</v>
      </c>
      <c r="L673" t="s">
        <v>20</v>
      </c>
      <c r="M673" s="9">
        <v>83025</v>
      </c>
      <c r="N673" t="s">
        <v>3477</v>
      </c>
      <c r="O673">
        <v>18</v>
      </c>
      <c r="P673" t="s">
        <v>3477</v>
      </c>
      <c r="Q673">
        <v>18</v>
      </c>
      <c r="R673" s="13">
        <v>31750</v>
      </c>
      <c r="S673" s="13">
        <v>19050</v>
      </c>
    </row>
    <row r="674" spans="1:19">
      <c r="A674" s="9" t="s">
        <v>23</v>
      </c>
      <c r="B674" s="9" t="s">
        <v>27</v>
      </c>
      <c r="C674" s="9" t="s">
        <v>114</v>
      </c>
      <c r="D674" t="s">
        <v>204</v>
      </c>
      <c r="F674" s="12" t="s">
        <v>2178</v>
      </c>
      <c r="G674" s="10" t="s">
        <v>646</v>
      </c>
      <c r="H674" s="10" t="s">
        <v>646</v>
      </c>
      <c r="K674" t="s">
        <v>19</v>
      </c>
      <c r="L674" t="s">
        <v>20</v>
      </c>
      <c r="M674" s="9">
        <v>83025</v>
      </c>
      <c r="N674" t="s">
        <v>3477</v>
      </c>
      <c r="O674">
        <v>18</v>
      </c>
      <c r="P674" t="s">
        <v>3477</v>
      </c>
      <c r="Q674">
        <v>18</v>
      </c>
      <c r="R674" s="13">
        <v>35560</v>
      </c>
      <c r="S674" s="13">
        <v>21336</v>
      </c>
    </row>
    <row r="675" spans="1:19">
      <c r="A675" s="9" t="s">
        <v>23</v>
      </c>
      <c r="B675" s="9" t="s">
        <v>27</v>
      </c>
      <c r="C675" s="9" t="s">
        <v>114</v>
      </c>
      <c r="D675" t="s">
        <v>204</v>
      </c>
      <c r="F675" s="12" t="s">
        <v>2179</v>
      </c>
      <c r="G675" s="10" t="s">
        <v>647</v>
      </c>
      <c r="H675" s="10" t="s">
        <v>647</v>
      </c>
      <c r="K675" t="s">
        <v>19</v>
      </c>
      <c r="L675" t="s">
        <v>20</v>
      </c>
      <c r="M675" s="9">
        <v>83025</v>
      </c>
      <c r="N675" t="s">
        <v>3477</v>
      </c>
      <c r="O675">
        <v>18</v>
      </c>
      <c r="P675" t="s">
        <v>3477</v>
      </c>
      <c r="Q675">
        <v>18</v>
      </c>
      <c r="R675" s="13">
        <v>25400</v>
      </c>
      <c r="S675" s="13">
        <v>15240</v>
      </c>
    </row>
    <row r="676" spans="1:19">
      <c r="A676" s="9" t="s">
        <v>23</v>
      </c>
      <c r="B676" s="9" t="s">
        <v>27</v>
      </c>
      <c r="C676" s="9" t="s">
        <v>95</v>
      </c>
      <c r="D676" t="s">
        <v>204</v>
      </c>
      <c r="F676" s="12" t="s">
        <v>2180</v>
      </c>
      <c r="G676" s="10" t="s">
        <v>647</v>
      </c>
      <c r="H676" s="10" t="s">
        <v>647</v>
      </c>
      <c r="K676" t="s">
        <v>19</v>
      </c>
      <c r="L676" t="s">
        <v>20</v>
      </c>
      <c r="M676" s="9">
        <v>8481802</v>
      </c>
      <c r="N676" t="s">
        <v>3477</v>
      </c>
      <c r="O676">
        <v>18</v>
      </c>
      <c r="P676" t="s">
        <v>3477</v>
      </c>
      <c r="Q676">
        <v>18</v>
      </c>
      <c r="R676" s="13">
        <v>20400</v>
      </c>
      <c r="S676" s="13">
        <v>12240</v>
      </c>
    </row>
    <row r="677" spans="1:19">
      <c r="A677" s="9" t="s">
        <v>23</v>
      </c>
      <c r="B677" s="9" t="s">
        <v>27</v>
      </c>
      <c r="C677" s="9" t="s">
        <v>95</v>
      </c>
      <c r="D677" t="s">
        <v>204</v>
      </c>
      <c r="F677" s="12" t="s">
        <v>2181</v>
      </c>
      <c r="G677" s="10" t="s">
        <v>647</v>
      </c>
      <c r="H677" s="10" t="s">
        <v>647</v>
      </c>
      <c r="K677" t="s">
        <v>19</v>
      </c>
      <c r="L677" t="s">
        <v>20</v>
      </c>
      <c r="M677" s="9">
        <v>8481802</v>
      </c>
      <c r="N677" t="s">
        <v>3477</v>
      </c>
      <c r="O677">
        <v>18</v>
      </c>
      <c r="P677" t="s">
        <v>3477</v>
      </c>
      <c r="Q677">
        <v>18</v>
      </c>
      <c r="R677" s="13">
        <v>22800</v>
      </c>
      <c r="S677" s="13">
        <v>13680</v>
      </c>
    </row>
    <row r="678" spans="1:19">
      <c r="A678" s="9" t="s">
        <v>23</v>
      </c>
      <c r="B678" s="9" t="s">
        <v>27</v>
      </c>
      <c r="C678" s="9" t="s">
        <v>95</v>
      </c>
      <c r="D678" t="s">
        <v>204</v>
      </c>
      <c r="F678" s="12" t="s">
        <v>2182</v>
      </c>
      <c r="G678" s="10" t="s">
        <v>647</v>
      </c>
      <c r="H678" s="10" t="s">
        <v>647</v>
      </c>
      <c r="K678" t="s">
        <v>19</v>
      </c>
      <c r="L678" t="s">
        <v>20</v>
      </c>
      <c r="M678" s="9">
        <v>8481802</v>
      </c>
      <c r="N678" t="s">
        <v>3477</v>
      </c>
      <c r="O678">
        <v>18</v>
      </c>
      <c r="P678" t="s">
        <v>3477</v>
      </c>
      <c r="Q678">
        <v>18</v>
      </c>
      <c r="R678" s="13">
        <v>16300</v>
      </c>
      <c r="S678" s="13">
        <v>9780</v>
      </c>
    </row>
    <row r="679" spans="1:19">
      <c r="A679" s="9" t="s">
        <v>23</v>
      </c>
      <c r="B679" s="9" t="s">
        <v>27</v>
      </c>
      <c r="C679" s="9" t="s">
        <v>95</v>
      </c>
      <c r="D679" t="s">
        <v>204</v>
      </c>
      <c r="F679" s="12" t="s">
        <v>2183</v>
      </c>
      <c r="G679" s="10" t="s">
        <v>648</v>
      </c>
      <c r="H679" s="10" t="s">
        <v>648</v>
      </c>
      <c r="K679" t="s">
        <v>19</v>
      </c>
      <c r="L679" t="s">
        <v>20</v>
      </c>
      <c r="M679" s="9">
        <v>8481802</v>
      </c>
      <c r="N679" t="s">
        <v>3477</v>
      </c>
      <c r="O679">
        <v>18</v>
      </c>
      <c r="P679" t="s">
        <v>3477</v>
      </c>
      <c r="Q679">
        <v>18</v>
      </c>
      <c r="R679" s="13">
        <v>22800</v>
      </c>
      <c r="S679" s="13">
        <v>13680</v>
      </c>
    </row>
    <row r="680" spans="1:19">
      <c r="A680" s="9" t="s">
        <v>23</v>
      </c>
      <c r="B680" s="9" t="s">
        <v>27</v>
      </c>
      <c r="C680" s="9" t="s">
        <v>51</v>
      </c>
      <c r="D680" t="s">
        <v>204</v>
      </c>
      <c r="F680" s="12" t="s">
        <v>2184</v>
      </c>
      <c r="G680" s="10" t="s">
        <v>648</v>
      </c>
      <c r="H680" s="10" t="s">
        <v>648</v>
      </c>
      <c r="K680" t="s">
        <v>19</v>
      </c>
      <c r="L680" t="s">
        <v>20</v>
      </c>
      <c r="M680" s="9">
        <v>83025</v>
      </c>
      <c r="N680" t="s">
        <v>3477</v>
      </c>
      <c r="O680">
        <v>18</v>
      </c>
      <c r="P680" t="s">
        <v>3477</v>
      </c>
      <c r="Q680">
        <v>18</v>
      </c>
      <c r="R680" s="13">
        <v>13125</v>
      </c>
      <c r="S680" s="13">
        <v>7875</v>
      </c>
    </row>
    <row r="681" spans="1:19">
      <c r="A681" s="9" t="s">
        <v>23</v>
      </c>
      <c r="B681" s="9" t="s">
        <v>27</v>
      </c>
      <c r="C681" s="9" t="s">
        <v>51</v>
      </c>
      <c r="D681" t="s">
        <v>204</v>
      </c>
      <c r="F681" s="12" t="s">
        <v>2185</v>
      </c>
      <c r="G681" s="10" t="s">
        <v>648</v>
      </c>
      <c r="H681" s="10" t="s">
        <v>648</v>
      </c>
      <c r="K681" t="s">
        <v>19</v>
      </c>
      <c r="L681" t="s">
        <v>20</v>
      </c>
      <c r="M681" s="9">
        <v>83025</v>
      </c>
      <c r="N681" t="s">
        <v>3477</v>
      </c>
      <c r="O681">
        <v>18</v>
      </c>
      <c r="P681" t="s">
        <v>3477</v>
      </c>
      <c r="Q681">
        <v>18</v>
      </c>
      <c r="R681" s="13">
        <v>14700</v>
      </c>
      <c r="S681" s="13">
        <v>8820</v>
      </c>
    </row>
    <row r="682" spans="1:19">
      <c r="A682" s="9" t="s">
        <v>23</v>
      </c>
      <c r="B682" s="9" t="s">
        <v>27</v>
      </c>
      <c r="C682" s="9" t="s">
        <v>51</v>
      </c>
      <c r="D682" t="s">
        <v>204</v>
      </c>
      <c r="F682" s="12" t="s">
        <v>2186</v>
      </c>
      <c r="G682" s="10" t="s">
        <v>648</v>
      </c>
      <c r="H682" s="10" t="s">
        <v>648</v>
      </c>
      <c r="K682" t="s">
        <v>19</v>
      </c>
      <c r="L682" t="s">
        <v>20</v>
      </c>
      <c r="M682" s="9">
        <v>83025</v>
      </c>
      <c r="N682" t="s">
        <v>3477</v>
      </c>
      <c r="O682">
        <v>18</v>
      </c>
      <c r="P682" t="s">
        <v>3477</v>
      </c>
      <c r="Q682">
        <v>18</v>
      </c>
      <c r="R682" s="13">
        <v>10500</v>
      </c>
      <c r="S682" s="13">
        <v>6300</v>
      </c>
    </row>
    <row r="683" spans="1:19">
      <c r="A683" s="9" t="s">
        <v>23</v>
      </c>
      <c r="B683" s="9" t="s">
        <v>27</v>
      </c>
      <c r="C683" s="9" t="s">
        <v>51</v>
      </c>
      <c r="D683" t="s">
        <v>204</v>
      </c>
      <c r="F683" s="12" t="s">
        <v>2187</v>
      </c>
      <c r="G683" s="10" t="s">
        <v>649</v>
      </c>
      <c r="H683" s="10" t="s">
        <v>649</v>
      </c>
      <c r="K683" t="s">
        <v>19</v>
      </c>
      <c r="L683" t="s">
        <v>20</v>
      </c>
      <c r="M683" s="9">
        <v>83025</v>
      </c>
      <c r="N683" t="s">
        <v>3477</v>
      </c>
      <c r="O683">
        <v>18</v>
      </c>
      <c r="P683" t="s">
        <v>3477</v>
      </c>
      <c r="Q683">
        <v>18</v>
      </c>
      <c r="R683" s="13">
        <v>14700</v>
      </c>
      <c r="S683" s="13">
        <v>8820</v>
      </c>
    </row>
    <row r="684" spans="1:19">
      <c r="A684" s="9" t="s">
        <v>23</v>
      </c>
      <c r="B684" s="9" t="s">
        <v>27</v>
      </c>
      <c r="C684" s="9" t="s">
        <v>51</v>
      </c>
      <c r="D684" t="s">
        <v>204</v>
      </c>
      <c r="F684" s="12" t="s">
        <v>2188</v>
      </c>
      <c r="G684" s="10" t="s">
        <v>649</v>
      </c>
      <c r="H684" s="10" t="s">
        <v>649</v>
      </c>
      <c r="K684" t="s">
        <v>19</v>
      </c>
      <c r="L684" t="s">
        <v>20</v>
      </c>
      <c r="M684" s="9">
        <v>83025</v>
      </c>
      <c r="N684" t="s">
        <v>3477</v>
      </c>
      <c r="O684">
        <v>18</v>
      </c>
      <c r="P684" t="s">
        <v>3477</v>
      </c>
      <c r="Q684">
        <v>18</v>
      </c>
      <c r="R684" s="13">
        <v>11250</v>
      </c>
      <c r="S684" s="13">
        <v>6750</v>
      </c>
    </row>
    <row r="685" spans="1:19">
      <c r="A685" s="9" t="s">
        <v>23</v>
      </c>
      <c r="B685" s="9" t="s">
        <v>27</v>
      </c>
      <c r="C685" s="9" t="s">
        <v>51</v>
      </c>
      <c r="D685" t="s">
        <v>204</v>
      </c>
      <c r="F685" s="12" t="s">
        <v>2189</v>
      </c>
      <c r="G685" s="10" t="s">
        <v>649</v>
      </c>
      <c r="H685" s="10" t="s">
        <v>649</v>
      </c>
      <c r="K685" t="s">
        <v>19</v>
      </c>
      <c r="L685" t="s">
        <v>20</v>
      </c>
      <c r="M685" s="9">
        <v>83025</v>
      </c>
      <c r="N685" t="s">
        <v>3477</v>
      </c>
      <c r="O685">
        <v>18</v>
      </c>
      <c r="P685" t="s">
        <v>3477</v>
      </c>
      <c r="Q685">
        <v>18</v>
      </c>
      <c r="R685" s="13">
        <v>12600</v>
      </c>
      <c r="S685" s="13">
        <v>7560</v>
      </c>
    </row>
    <row r="686" spans="1:19">
      <c r="A686" s="9" t="s">
        <v>23</v>
      </c>
      <c r="B686" s="9" t="s">
        <v>27</v>
      </c>
      <c r="C686" s="9" t="s">
        <v>51</v>
      </c>
      <c r="D686" t="s">
        <v>204</v>
      </c>
      <c r="F686" s="12" t="s">
        <v>2190</v>
      </c>
      <c r="G686" s="10" t="s">
        <v>649</v>
      </c>
      <c r="H686" s="10" t="s">
        <v>649</v>
      </c>
      <c r="K686" t="s">
        <v>19</v>
      </c>
      <c r="L686" t="s">
        <v>20</v>
      </c>
      <c r="M686" s="9">
        <v>83025</v>
      </c>
      <c r="N686" t="s">
        <v>3477</v>
      </c>
      <c r="O686">
        <v>18</v>
      </c>
      <c r="P686" t="s">
        <v>3477</v>
      </c>
      <c r="Q686">
        <v>18</v>
      </c>
      <c r="R686" s="13">
        <v>9000</v>
      </c>
      <c r="S686" s="13">
        <v>5400</v>
      </c>
    </row>
    <row r="687" spans="1:19">
      <c r="A687" s="9" t="s">
        <v>23</v>
      </c>
      <c r="B687" s="9" t="s">
        <v>27</v>
      </c>
      <c r="C687" s="9" t="s">
        <v>51</v>
      </c>
      <c r="D687" t="s">
        <v>204</v>
      </c>
      <c r="F687" s="12" t="s">
        <v>2191</v>
      </c>
      <c r="G687" s="10" t="s">
        <v>650</v>
      </c>
      <c r="H687" s="10" t="s">
        <v>650</v>
      </c>
      <c r="K687" t="s">
        <v>19</v>
      </c>
      <c r="L687" t="s">
        <v>20</v>
      </c>
      <c r="M687" s="9">
        <v>83025</v>
      </c>
      <c r="N687" t="s">
        <v>3477</v>
      </c>
      <c r="O687">
        <v>18</v>
      </c>
      <c r="P687" t="s">
        <v>3477</v>
      </c>
      <c r="Q687">
        <v>18</v>
      </c>
      <c r="R687" s="13">
        <v>12600</v>
      </c>
      <c r="S687" s="13">
        <v>7560</v>
      </c>
    </row>
    <row r="688" spans="1:19">
      <c r="A688" s="9" t="s">
        <v>23</v>
      </c>
      <c r="B688" s="9" t="s">
        <v>25</v>
      </c>
      <c r="C688" s="9" t="s">
        <v>145</v>
      </c>
      <c r="D688" t="s">
        <v>204</v>
      </c>
      <c r="F688" s="12" t="s">
        <v>2192</v>
      </c>
      <c r="G688" s="10" t="s">
        <v>651</v>
      </c>
      <c r="H688" s="10" t="s">
        <v>651</v>
      </c>
      <c r="K688" t="s">
        <v>19</v>
      </c>
      <c r="L688" t="s">
        <v>20</v>
      </c>
      <c r="M688" s="9">
        <v>6810999</v>
      </c>
      <c r="N688" t="s">
        <v>3477</v>
      </c>
      <c r="O688">
        <v>18</v>
      </c>
      <c r="P688" t="s">
        <v>3477</v>
      </c>
      <c r="Q688">
        <v>18</v>
      </c>
      <c r="R688" s="13">
        <v>103000</v>
      </c>
      <c r="S688" s="13">
        <v>61800</v>
      </c>
    </row>
    <row r="689" spans="1:19">
      <c r="A689" s="9" t="s">
        <v>22</v>
      </c>
      <c r="B689" s="9" t="s">
        <v>26</v>
      </c>
      <c r="C689" s="9" t="s">
        <v>43</v>
      </c>
      <c r="D689" t="s">
        <v>204</v>
      </c>
      <c r="F689" s="12" t="s">
        <v>2193</v>
      </c>
      <c r="G689" s="10" t="s">
        <v>652</v>
      </c>
      <c r="H689" s="10" t="s">
        <v>652</v>
      </c>
      <c r="K689" t="s">
        <v>19</v>
      </c>
      <c r="L689" t="s">
        <v>20</v>
      </c>
      <c r="M689" s="9">
        <v>69101</v>
      </c>
      <c r="N689" t="s">
        <v>3477</v>
      </c>
      <c r="O689">
        <v>18</v>
      </c>
      <c r="P689" t="s">
        <v>3477</v>
      </c>
      <c r="Q689">
        <v>18</v>
      </c>
      <c r="R689" s="13">
        <v>27420</v>
      </c>
      <c r="S689" s="13">
        <v>19194</v>
      </c>
    </row>
    <row r="690" spans="1:19">
      <c r="A690" s="9" t="s">
        <v>23</v>
      </c>
      <c r="B690" s="9" t="s">
        <v>26</v>
      </c>
      <c r="C690" s="9" t="s">
        <v>43</v>
      </c>
      <c r="D690" t="s">
        <v>204</v>
      </c>
      <c r="F690" s="12" t="s">
        <v>2194</v>
      </c>
      <c r="G690" s="10" t="s">
        <v>653</v>
      </c>
      <c r="H690" s="10" t="s">
        <v>653</v>
      </c>
      <c r="K690" t="s">
        <v>19</v>
      </c>
      <c r="L690" t="s">
        <v>20</v>
      </c>
      <c r="M690" s="9">
        <v>69101</v>
      </c>
      <c r="N690" t="s">
        <v>3477</v>
      </c>
      <c r="O690">
        <v>18</v>
      </c>
      <c r="P690" t="s">
        <v>3477</v>
      </c>
      <c r="Q690">
        <v>18</v>
      </c>
      <c r="R690" s="13">
        <v>20740</v>
      </c>
      <c r="S690" s="13">
        <v>12444</v>
      </c>
    </row>
    <row r="691" spans="1:19">
      <c r="A691" s="9" t="s">
        <v>23</v>
      </c>
      <c r="B691" s="9" t="s">
        <v>26</v>
      </c>
      <c r="C691" s="9" t="s">
        <v>43</v>
      </c>
      <c r="D691" t="s">
        <v>204</v>
      </c>
      <c r="F691" s="12" t="s">
        <v>2195</v>
      </c>
      <c r="G691" s="10" t="s">
        <v>654</v>
      </c>
      <c r="H691" s="10" t="s">
        <v>654</v>
      </c>
      <c r="K691" t="s">
        <v>19</v>
      </c>
      <c r="L691" t="s">
        <v>20</v>
      </c>
      <c r="M691" s="9">
        <v>69101</v>
      </c>
      <c r="N691" t="s">
        <v>3477</v>
      </c>
      <c r="O691">
        <v>18</v>
      </c>
      <c r="P691" t="s">
        <v>3477</v>
      </c>
      <c r="Q691">
        <v>18</v>
      </c>
      <c r="R691" s="13">
        <v>16980</v>
      </c>
      <c r="S691" s="13">
        <v>10188</v>
      </c>
    </row>
    <row r="692" spans="1:19">
      <c r="A692" s="9" t="s">
        <v>22</v>
      </c>
      <c r="B692" s="9" t="s">
        <v>27</v>
      </c>
      <c r="C692" s="9" t="s">
        <v>146</v>
      </c>
      <c r="D692" t="s">
        <v>204</v>
      </c>
      <c r="F692" s="12" t="s">
        <v>2196</v>
      </c>
      <c r="G692" s="10" t="s">
        <v>655</v>
      </c>
      <c r="H692" s="10" t="s">
        <v>655</v>
      </c>
      <c r="K692" t="s">
        <v>19</v>
      </c>
      <c r="L692" t="s">
        <v>20</v>
      </c>
      <c r="M692" s="9">
        <v>8481802</v>
      </c>
      <c r="N692" t="s">
        <v>3477</v>
      </c>
      <c r="O692">
        <v>18</v>
      </c>
      <c r="P692" t="s">
        <v>3477</v>
      </c>
      <c r="Q692">
        <v>18</v>
      </c>
      <c r="R692" s="13">
        <v>62220</v>
      </c>
      <c r="S692" s="13">
        <v>43554</v>
      </c>
    </row>
    <row r="693" spans="1:19">
      <c r="A693" s="9" t="s">
        <v>22</v>
      </c>
      <c r="B693" s="9" t="s">
        <v>27</v>
      </c>
      <c r="C693" s="9" t="s">
        <v>146</v>
      </c>
      <c r="D693" t="s">
        <v>204</v>
      </c>
      <c r="F693" s="12" t="s">
        <v>2197</v>
      </c>
      <c r="G693" s="10" t="s">
        <v>656</v>
      </c>
      <c r="H693" s="10" t="s">
        <v>656</v>
      </c>
      <c r="K693" t="s">
        <v>19</v>
      </c>
      <c r="L693" t="s">
        <v>20</v>
      </c>
      <c r="M693" s="9">
        <v>8481802</v>
      </c>
      <c r="N693" t="s">
        <v>3477</v>
      </c>
      <c r="O693">
        <v>18</v>
      </c>
      <c r="P693" t="s">
        <v>3477</v>
      </c>
      <c r="Q693">
        <v>18</v>
      </c>
      <c r="R693" s="13">
        <v>77780</v>
      </c>
      <c r="S693" s="13">
        <v>54446</v>
      </c>
    </row>
    <row r="694" spans="1:19">
      <c r="A694" s="9" t="s">
        <v>23</v>
      </c>
      <c r="B694" s="9" t="s">
        <v>27</v>
      </c>
      <c r="C694" s="9" t="s">
        <v>83</v>
      </c>
      <c r="D694" t="s">
        <v>204</v>
      </c>
      <c r="F694" s="12" t="s">
        <v>2198</v>
      </c>
      <c r="G694" s="10" t="s">
        <v>657</v>
      </c>
      <c r="H694" s="10" t="s">
        <v>657</v>
      </c>
      <c r="K694" t="s">
        <v>19</v>
      </c>
      <c r="L694" t="s">
        <v>20</v>
      </c>
      <c r="M694" s="9">
        <v>8481802</v>
      </c>
      <c r="N694" t="s">
        <v>3477</v>
      </c>
      <c r="O694">
        <v>18</v>
      </c>
      <c r="P694" t="s">
        <v>3477</v>
      </c>
      <c r="Q694">
        <v>18</v>
      </c>
      <c r="R694" s="13">
        <v>30630</v>
      </c>
      <c r="S694" s="13">
        <v>18378</v>
      </c>
    </row>
    <row r="695" spans="1:19">
      <c r="A695" s="9" t="s">
        <v>22</v>
      </c>
      <c r="B695" s="9" t="s">
        <v>26</v>
      </c>
      <c r="C695" s="9" t="s">
        <v>137</v>
      </c>
      <c r="D695" t="s">
        <v>204</v>
      </c>
      <c r="F695" s="12" t="s">
        <v>2199</v>
      </c>
      <c r="G695" s="10" t="s">
        <v>658</v>
      </c>
      <c r="H695" s="10" t="s">
        <v>658</v>
      </c>
      <c r="K695" t="s">
        <v>19</v>
      </c>
      <c r="L695" t="s">
        <v>20</v>
      </c>
      <c r="M695" s="9">
        <v>69101</v>
      </c>
      <c r="N695" t="s">
        <v>3477</v>
      </c>
      <c r="O695">
        <v>18</v>
      </c>
      <c r="P695" t="s">
        <v>3477</v>
      </c>
      <c r="Q695">
        <v>18</v>
      </c>
      <c r="R695" s="13">
        <v>50550</v>
      </c>
      <c r="S695" s="13">
        <v>35385</v>
      </c>
    </row>
    <row r="696" spans="1:19">
      <c r="A696" s="9" t="s">
        <v>24</v>
      </c>
      <c r="B696" s="9" t="s">
        <v>33</v>
      </c>
      <c r="C696" s="9" t="s">
        <v>147</v>
      </c>
      <c r="D696" t="s">
        <v>204</v>
      </c>
      <c r="F696" s="12" t="s">
        <v>2200</v>
      </c>
      <c r="G696" s="10" t="s">
        <v>658</v>
      </c>
      <c r="H696" s="10" t="s">
        <v>658</v>
      </c>
      <c r="K696" t="s">
        <v>19</v>
      </c>
      <c r="L696" t="s">
        <v>20</v>
      </c>
      <c r="M696" s="9">
        <v>700991</v>
      </c>
      <c r="N696" t="s">
        <v>3477</v>
      </c>
      <c r="O696">
        <v>18</v>
      </c>
      <c r="P696" t="s">
        <v>3477</v>
      </c>
      <c r="Q696">
        <v>18</v>
      </c>
      <c r="R696" s="13">
        <v>12500</v>
      </c>
      <c r="S696" s="13">
        <v>9375</v>
      </c>
    </row>
    <row r="697" spans="1:19">
      <c r="A697" s="9" t="s">
        <v>24</v>
      </c>
      <c r="B697" s="9" t="s">
        <v>33</v>
      </c>
      <c r="C697" s="9" t="s">
        <v>147</v>
      </c>
      <c r="D697" t="s">
        <v>204</v>
      </c>
      <c r="F697" s="12" t="s">
        <v>2201</v>
      </c>
      <c r="G697" s="10" t="s">
        <v>658</v>
      </c>
      <c r="H697" s="10" t="s">
        <v>658</v>
      </c>
      <c r="K697" t="s">
        <v>19</v>
      </c>
      <c r="L697" t="s">
        <v>20</v>
      </c>
      <c r="M697" s="9">
        <v>700991</v>
      </c>
      <c r="N697" t="s">
        <v>3477</v>
      </c>
      <c r="O697">
        <v>18</v>
      </c>
      <c r="P697" t="s">
        <v>3477</v>
      </c>
      <c r="Q697">
        <v>18</v>
      </c>
      <c r="R697" s="13">
        <v>12500</v>
      </c>
      <c r="S697" s="13">
        <v>9375</v>
      </c>
    </row>
    <row r="698" spans="1:19">
      <c r="A698" s="9" t="s">
        <v>22</v>
      </c>
      <c r="B698" s="9" t="s">
        <v>33</v>
      </c>
      <c r="C698" s="9" t="s">
        <v>147</v>
      </c>
      <c r="D698" t="s">
        <v>204</v>
      </c>
      <c r="F698" s="12" t="s">
        <v>2202</v>
      </c>
      <c r="G698" s="10" t="s">
        <v>659</v>
      </c>
      <c r="H698" s="10" t="s">
        <v>659</v>
      </c>
      <c r="K698" t="s">
        <v>19</v>
      </c>
      <c r="L698" t="s">
        <v>20</v>
      </c>
      <c r="M698" s="9">
        <v>700991</v>
      </c>
      <c r="N698" t="s">
        <v>3477</v>
      </c>
      <c r="O698">
        <v>18</v>
      </c>
      <c r="P698" t="s">
        <v>3477</v>
      </c>
      <c r="Q698">
        <v>18</v>
      </c>
      <c r="R698" s="13">
        <v>16000</v>
      </c>
      <c r="S698" s="13">
        <v>11200</v>
      </c>
    </row>
    <row r="699" spans="1:19">
      <c r="A699" s="9" t="s">
        <v>24</v>
      </c>
      <c r="B699" s="9" t="s">
        <v>33</v>
      </c>
      <c r="C699" s="9" t="s">
        <v>147</v>
      </c>
      <c r="D699" t="s">
        <v>204</v>
      </c>
      <c r="F699" s="12" t="s">
        <v>2203</v>
      </c>
      <c r="G699" s="10" t="s">
        <v>660</v>
      </c>
      <c r="H699" s="10" t="s">
        <v>660</v>
      </c>
      <c r="K699" t="s">
        <v>19</v>
      </c>
      <c r="L699" t="s">
        <v>20</v>
      </c>
      <c r="M699" s="9">
        <v>700991</v>
      </c>
      <c r="N699" t="s">
        <v>3477</v>
      </c>
      <c r="O699">
        <v>18</v>
      </c>
      <c r="P699" t="s">
        <v>3477</v>
      </c>
      <c r="Q699">
        <v>18</v>
      </c>
      <c r="R699" s="13">
        <v>13500</v>
      </c>
      <c r="S699" s="13">
        <v>10125</v>
      </c>
    </row>
    <row r="700" spans="1:19">
      <c r="A700" s="9" t="s">
        <v>24</v>
      </c>
      <c r="B700" s="9" t="s">
        <v>33</v>
      </c>
      <c r="C700" s="9" t="s">
        <v>147</v>
      </c>
      <c r="D700" t="s">
        <v>204</v>
      </c>
      <c r="F700" s="12" t="s">
        <v>2204</v>
      </c>
      <c r="G700" s="10" t="s">
        <v>660</v>
      </c>
      <c r="H700" s="10" t="s">
        <v>660</v>
      </c>
      <c r="K700" t="s">
        <v>19</v>
      </c>
      <c r="L700" t="s">
        <v>20</v>
      </c>
      <c r="M700" s="9">
        <v>700991</v>
      </c>
      <c r="N700" t="s">
        <v>3477</v>
      </c>
      <c r="O700">
        <v>18</v>
      </c>
      <c r="P700" t="s">
        <v>3477</v>
      </c>
      <c r="Q700">
        <v>18</v>
      </c>
      <c r="R700" s="13">
        <v>13500</v>
      </c>
      <c r="S700" s="13">
        <v>10125</v>
      </c>
    </row>
    <row r="701" spans="1:19">
      <c r="A701" s="9" t="s">
        <v>22</v>
      </c>
      <c r="B701" s="9" t="s">
        <v>33</v>
      </c>
      <c r="C701" s="9" t="s">
        <v>147</v>
      </c>
      <c r="D701" t="s">
        <v>204</v>
      </c>
      <c r="F701" s="12" t="s">
        <v>2205</v>
      </c>
      <c r="G701" s="10" t="s">
        <v>661</v>
      </c>
      <c r="H701" s="10" t="s">
        <v>661</v>
      </c>
      <c r="K701" t="s">
        <v>19</v>
      </c>
      <c r="L701" t="s">
        <v>20</v>
      </c>
      <c r="M701" s="9">
        <v>700991</v>
      </c>
      <c r="N701" t="s">
        <v>3477</v>
      </c>
      <c r="O701">
        <v>18</v>
      </c>
      <c r="P701" t="s">
        <v>3477</v>
      </c>
      <c r="Q701">
        <v>18</v>
      </c>
      <c r="R701" s="13">
        <v>16500</v>
      </c>
      <c r="S701" s="13">
        <v>11550</v>
      </c>
    </row>
    <row r="702" spans="1:19">
      <c r="A702" s="9" t="s">
        <v>24</v>
      </c>
      <c r="B702" s="9" t="s">
        <v>33</v>
      </c>
      <c r="C702" s="9" t="s">
        <v>147</v>
      </c>
      <c r="D702" t="s">
        <v>204</v>
      </c>
      <c r="F702" s="12" t="s">
        <v>2206</v>
      </c>
      <c r="G702" s="10" t="s">
        <v>661</v>
      </c>
      <c r="H702" s="10" t="s">
        <v>661</v>
      </c>
      <c r="K702" t="s">
        <v>19</v>
      </c>
      <c r="L702" t="s">
        <v>20</v>
      </c>
      <c r="M702" s="9">
        <v>700991</v>
      </c>
      <c r="N702" t="s">
        <v>3477</v>
      </c>
      <c r="O702">
        <v>18</v>
      </c>
      <c r="P702" t="s">
        <v>3477</v>
      </c>
      <c r="Q702">
        <v>18</v>
      </c>
      <c r="R702" s="13">
        <v>11500</v>
      </c>
      <c r="S702" s="13">
        <v>8625</v>
      </c>
    </row>
    <row r="703" spans="1:19">
      <c r="A703" s="9" t="s">
        <v>24</v>
      </c>
      <c r="B703" s="9" t="s">
        <v>33</v>
      </c>
      <c r="C703" s="9" t="s">
        <v>147</v>
      </c>
      <c r="D703" t="s">
        <v>204</v>
      </c>
      <c r="F703" s="12" t="s">
        <v>2207</v>
      </c>
      <c r="G703" s="10" t="s">
        <v>661</v>
      </c>
      <c r="H703" s="10" t="s">
        <v>661</v>
      </c>
      <c r="K703" t="s">
        <v>19</v>
      </c>
      <c r="L703" t="s">
        <v>20</v>
      </c>
      <c r="M703" s="9">
        <v>700991</v>
      </c>
      <c r="N703" t="s">
        <v>3477</v>
      </c>
      <c r="O703">
        <v>18</v>
      </c>
      <c r="P703" t="s">
        <v>3477</v>
      </c>
      <c r="Q703">
        <v>18</v>
      </c>
      <c r="R703" s="13">
        <v>11500</v>
      </c>
      <c r="S703" s="13">
        <v>8625</v>
      </c>
    </row>
    <row r="704" spans="1:19">
      <c r="A704" s="9" t="s">
        <v>22</v>
      </c>
      <c r="B704" s="9" t="s">
        <v>33</v>
      </c>
      <c r="C704" s="9" t="s">
        <v>147</v>
      </c>
      <c r="D704" t="s">
        <v>204</v>
      </c>
      <c r="F704" s="12" t="s">
        <v>2208</v>
      </c>
      <c r="G704" s="10" t="s">
        <v>662</v>
      </c>
      <c r="H704" s="10" t="s">
        <v>662</v>
      </c>
      <c r="K704" t="s">
        <v>19</v>
      </c>
      <c r="L704" t="s">
        <v>20</v>
      </c>
      <c r="M704" s="9">
        <v>700991</v>
      </c>
      <c r="N704" t="s">
        <v>3477</v>
      </c>
      <c r="O704">
        <v>18</v>
      </c>
      <c r="P704" t="s">
        <v>3477</v>
      </c>
      <c r="Q704">
        <v>18</v>
      </c>
      <c r="R704" s="13">
        <v>15500</v>
      </c>
      <c r="S704" s="13">
        <v>10850</v>
      </c>
    </row>
    <row r="705" spans="1:19">
      <c r="A705" s="9" t="s">
        <v>22</v>
      </c>
      <c r="B705" s="9" t="s">
        <v>27</v>
      </c>
      <c r="C705" s="9" t="s">
        <v>134</v>
      </c>
      <c r="D705" t="s">
        <v>204</v>
      </c>
      <c r="F705" s="12" t="s">
        <v>2209</v>
      </c>
      <c r="G705" s="10" t="s">
        <v>663</v>
      </c>
      <c r="H705" s="10" t="s">
        <v>663</v>
      </c>
      <c r="K705" t="s">
        <v>19</v>
      </c>
      <c r="L705" t="s">
        <v>20</v>
      </c>
      <c r="M705" s="9">
        <v>8481802</v>
      </c>
      <c r="N705" t="s">
        <v>3477</v>
      </c>
      <c r="O705">
        <v>18</v>
      </c>
      <c r="P705" t="s">
        <v>3477</v>
      </c>
      <c r="Q705">
        <v>18</v>
      </c>
      <c r="R705" s="13">
        <v>73550</v>
      </c>
      <c r="S705" s="13">
        <v>51485</v>
      </c>
    </row>
    <row r="706" spans="1:19">
      <c r="A706" s="9" t="s">
        <v>22</v>
      </c>
      <c r="B706" s="9" t="s">
        <v>26</v>
      </c>
      <c r="C706" s="9" t="s">
        <v>80</v>
      </c>
      <c r="D706" t="s">
        <v>204</v>
      </c>
      <c r="F706" s="12" t="s">
        <v>2210</v>
      </c>
      <c r="G706" s="10" t="s">
        <v>664</v>
      </c>
      <c r="H706" s="10" t="s">
        <v>664</v>
      </c>
      <c r="K706" t="s">
        <v>19</v>
      </c>
      <c r="L706" t="s">
        <v>20</v>
      </c>
      <c r="M706" s="9">
        <v>69101</v>
      </c>
      <c r="N706" t="s">
        <v>3477</v>
      </c>
      <c r="O706">
        <v>18</v>
      </c>
      <c r="P706" t="s">
        <v>3477</v>
      </c>
      <c r="Q706">
        <v>18</v>
      </c>
      <c r="R706" s="13">
        <v>18000</v>
      </c>
      <c r="S706" s="13">
        <v>12600</v>
      </c>
    </row>
    <row r="707" spans="1:19">
      <c r="A707" s="9" t="s">
        <v>22</v>
      </c>
      <c r="B707" s="9" t="s">
        <v>26</v>
      </c>
      <c r="C707" s="9" t="s">
        <v>80</v>
      </c>
      <c r="D707" t="s">
        <v>204</v>
      </c>
      <c r="F707" s="12" t="s">
        <v>2211</v>
      </c>
      <c r="G707" s="10" t="s">
        <v>664</v>
      </c>
      <c r="H707" s="10" t="s">
        <v>664</v>
      </c>
      <c r="K707" t="s">
        <v>19</v>
      </c>
      <c r="L707" t="s">
        <v>20</v>
      </c>
      <c r="M707" s="9">
        <v>69101</v>
      </c>
      <c r="N707" t="s">
        <v>3477</v>
      </c>
      <c r="O707">
        <v>18</v>
      </c>
      <c r="P707" t="s">
        <v>3477</v>
      </c>
      <c r="Q707">
        <v>18</v>
      </c>
      <c r="R707" s="13">
        <v>12500</v>
      </c>
      <c r="S707" s="13">
        <v>8750</v>
      </c>
    </row>
    <row r="708" spans="1:19">
      <c r="A708" s="9" t="s">
        <v>22</v>
      </c>
      <c r="B708" s="9" t="s">
        <v>26</v>
      </c>
      <c r="C708" s="9" t="s">
        <v>80</v>
      </c>
      <c r="D708" t="s">
        <v>204</v>
      </c>
      <c r="F708" s="12" t="s">
        <v>2211</v>
      </c>
      <c r="G708" s="10" t="s">
        <v>665</v>
      </c>
      <c r="H708" s="10" t="s">
        <v>665</v>
      </c>
      <c r="K708" t="s">
        <v>19</v>
      </c>
      <c r="L708" t="s">
        <v>20</v>
      </c>
      <c r="M708" s="9">
        <v>69101</v>
      </c>
      <c r="N708" t="s">
        <v>3477</v>
      </c>
      <c r="O708">
        <v>18</v>
      </c>
      <c r="P708" t="s">
        <v>3477</v>
      </c>
      <c r="Q708">
        <v>18</v>
      </c>
      <c r="R708" s="13">
        <v>12500</v>
      </c>
      <c r="S708" s="13">
        <v>8750</v>
      </c>
    </row>
    <row r="709" spans="1:19">
      <c r="A709" s="9" t="s">
        <v>22</v>
      </c>
      <c r="B709" s="9" t="s">
        <v>26</v>
      </c>
      <c r="C709" s="9" t="s">
        <v>80</v>
      </c>
      <c r="D709" t="s">
        <v>204</v>
      </c>
      <c r="F709" s="12" t="s">
        <v>2212</v>
      </c>
      <c r="G709" s="10" t="s">
        <v>665</v>
      </c>
      <c r="H709" s="10" t="s">
        <v>665</v>
      </c>
      <c r="K709" t="s">
        <v>19</v>
      </c>
      <c r="L709" t="s">
        <v>20</v>
      </c>
      <c r="M709" s="9">
        <v>69101</v>
      </c>
      <c r="N709" t="s">
        <v>3477</v>
      </c>
      <c r="O709">
        <v>18</v>
      </c>
      <c r="P709" t="s">
        <v>3477</v>
      </c>
      <c r="Q709">
        <v>18</v>
      </c>
      <c r="R709" s="13">
        <v>16000</v>
      </c>
      <c r="S709" s="13">
        <v>11200</v>
      </c>
    </row>
    <row r="710" spans="1:19">
      <c r="A710" s="9" t="s">
        <v>22</v>
      </c>
      <c r="B710" s="9" t="s">
        <v>26</v>
      </c>
      <c r="C710" s="9" t="s">
        <v>80</v>
      </c>
      <c r="D710" t="s">
        <v>204</v>
      </c>
      <c r="F710" s="12" t="s">
        <v>2212</v>
      </c>
      <c r="G710" s="10" t="s">
        <v>666</v>
      </c>
      <c r="H710" s="10" t="s">
        <v>666</v>
      </c>
      <c r="K710" t="s">
        <v>19</v>
      </c>
      <c r="L710" t="s">
        <v>20</v>
      </c>
      <c r="M710" s="9">
        <v>69101</v>
      </c>
      <c r="N710" t="s">
        <v>3477</v>
      </c>
      <c r="O710">
        <v>18</v>
      </c>
      <c r="P710" t="s">
        <v>3477</v>
      </c>
      <c r="Q710">
        <v>18</v>
      </c>
      <c r="R710" s="13">
        <v>16000</v>
      </c>
      <c r="S710" s="13">
        <v>11200</v>
      </c>
    </row>
    <row r="711" spans="1:19">
      <c r="A711" s="9" t="s">
        <v>22</v>
      </c>
      <c r="B711" s="9" t="s">
        <v>27</v>
      </c>
      <c r="C711" s="9" t="s">
        <v>65</v>
      </c>
      <c r="D711" t="s">
        <v>204</v>
      </c>
      <c r="F711" s="12" t="s">
        <v>2213</v>
      </c>
      <c r="G711" s="10" t="s">
        <v>666</v>
      </c>
      <c r="H711" s="10" t="s">
        <v>666</v>
      </c>
      <c r="K711" t="s">
        <v>19</v>
      </c>
      <c r="L711" t="s">
        <v>20</v>
      </c>
      <c r="M711" s="9">
        <v>39229</v>
      </c>
      <c r="N711" t="s">
        <v>3477</v>
      </c>
      <c r="O711">
        <v>18</v>
      </c>
      <c r="P711" t="s">
        <v>3477</v>
      </c>
      <c r="Q711">
        <v>18</v>
      </c>
      <c r="R711" s="13">
        <v>9700</v>
      </c>
      <c r="S711" s="13">
        <v>6790</v>
      </c>
    </row>
    <row r="712" spans="1:19">
      <c r="A712" s="9" t="s">
        <v>22</v>
      </c>
      <c r="B712" s="9" t="s">
        <v>27</v>
      </c>
      <c r="C712" s="9" t="s">
        <v>65</v>
      </c>
      <c r="D712" t="s">
        <v>204</v>
      </c>
      <c r="F712" s="12" t="s">
        <v>2214</v>
      </c>
      <c r="G712" s="10" t="s">
        <v>666</v>
      </c>
      <c r="H712" s="10" t="s">
        <v>666</v>
      </c>
      <c r="K712" t="s">
        <v>19</v>
      </c>
      <c r="L712" t="s">
        <v>20</v>
      </c>
      <c r="M712" s="9">
        <v>39229</v>
      </c>
      <c r="N712" t="s">
        <v>3477</v>
      </c>
      <c r="O712">
        <v>18</v>
      </c>
      <c r="P712" t="s">
        <v>3477</v>
      </c>
      <c r="Q712">
        <v>18</v>
      </c>
      <c r="R712" s="13">
        <v>10350</v>
      </c>
      <c r="S712" s="13">
        <v>7244.9999999999991</v>
      </c>
    </row>
    <row r="713" spans="1:19">
      <c r="A713" s="9" t="s">
        <v>23</v>
      </c>
      <c r="B713" s="9" t="s">
        <v>27</v>
      </c>
      <c r="C713" s="9" t="s">
        <v>65</v>
      </c>
      <c r="D713" t="s">
        <v>204</v>
      </c>
      <c r="F713" s="12" t="s">
        <v>2215</v>
      </c>
      <c r="G713" s="10" t="s">
        <v>667</v>
      </c>
      <c r="H713" s="10" t="s">
        <v>667</v>
      </c>
      <c r="K713" t="s">
        <v>19</v>
      </c>
      <c r="L713" t="s">
        <v>20</v>
      </c>
      <c r="M713" s="9">
        <v>39229</v>
      </c>
      <c r="N713" t="s">
        <v>3477</v>
      </c>
      <c r="O713">
        <v>18</v>
      </c>
      <c r="P713" t="s">
        <v>3477</v>
      </c>
      <c r="Q713">
        <v>18</v>
      </c>
      <c r="R713" s="13">
        <v>10000</v>
      </c>
      <c r="S713" s="13">
        <v>6000</v>
      </c>
    </row>
    <row r="714" spans="1:19">
      <c r="A714" s="9" t="s">
        <v>22</v>
      </c>
      <c r="B714" s="9" t="s">
        <v>27</v>
      </c>
      <c r="C714" s="9" t="s">
        <v>65</v>
      </c>
      <c r="D714" t="s">
        <v>204</v>
      </c>
      <c r="F714" s="12" t="s">
        <v>2216</v>
      </c>
      <c r="G714" s="10" t="s">
        <v>667</v>
      </c>
      <c r="H714" s="10" t="s">
        <v>667</v>
      </c>
      <c r="K714" t="s">
        <v>19</v>
      </c>
      <c r="L714" t="s">
        <v>20</v>
      </c>
      <c r="M714" s="9">
        <v>39229</v>
      </c>
      <c r="N714" t="s">
        <v>3477</v>
      </c>
      <c r="O714">
        <v>18</v>
      </c>
      <c r="P714" t="s">
        <v>3477</v>
      </c>
      <c r="Q714">
        <v>18</v>
      </c>
      <c r="R714" s="13">
        <v>5300</v>
      </c>
      <c r="S714" s="13">
        <v>3709.9999999999995</v>
      </c>
    </row>
    <row r="715" spans="1:19">
      <c r="A715" s="9" t="s">
        <v>22</v>
      </c>
      <c r="B715" s="9" t="s">
        <v>27</v>
      </c>
      <c r="C715" s="9" t="s">
        <v>65</v>
      </c>
      <c r="D715" t="s">
        <v>204</v>
      </c>
      <c r="F715" s="12" t="s">
        <v>2217</v>
      </c>
      <c r="G715" s="10" t="s">
        <v>668</v>
      </c>
      <c r="H715" s="10" t="s">
        <v>668</v>
      </c>
      <c r="K715" t="s">
        <v>19</v>
      </c>
      <c r="L715" t="s">
        <v>20</v>
      </c>
      <c r="M715" s="9">
        <v>39229</v>
      </c>
      <c r="N715" t="s">
        <v>3477</v>
      </c>
      <c r="O715">
        <v>18</v>
      </c>
      <c r="P715" t="s">
        <v>3477</v>
      </c>
      <c r="Q715">
        <v>18</v>
      </c>
      <c r="R715" s="13">
        <v>6000</v>
      </c>
      <c r="S715" s="13">
        <v>4200</v>
      </c>
    </row>
    <row r="716" spans="1:19">
      <c r="A716" s="9" t="s">
        <v>22</v>
      </c>
      <c r="B716" s="9" t="s">
        <v>27</v>
      </c>
      <c r="C716" s="9" t="s">
        <v>65</v>
      </c>
      <c r="D716" t="s">
        <v>204</v>
      </c>
      <c r="F716" s="12" t="s">
        <v>2218</v>
      </c>
      <c r="G716" s="10" t="s">
        <v>667</v>
      </c>
      <c r="H716" s="10" t="s">
        <v>667</v>
      </c>
      <c r="K716" t="s">
        <v>19</v>
      </c>
      <c r="L716" t="s">
        <v>20</v>
      </c>
      <c r="M716" s="9">
        <v>39229</v>
      </c>
      <c r="N716" t="s">
        <v>3477</v>
      </c>
      <c r="O716">
        <v>18</v>
      </c>
      <c r="P716" t="s">
        <v>3477</v>
      </c>
      <c r="Q716">
        <v>18</v>
      </c>
      <c r="R716" s="13">
        <v>6400</v>
      </c>
      <c r="S716" s="13">
        <v>4480</v>
      </c>
    </row>
    <row r="717" spans="1:19">
      <c r="A717" s="9" t="s">
        <v>22</v>
      </c>
      <c r="B717" s="9" t="s">
        <v>27</v>
      </c>
      <c r="C717" s="9" t="s">
        <v>65</v>
      </c>
      <c r="D717" t="s">
        <v>204</v>
      </c>
      <c r="F717" s="12" t="s">
        <v>2219</v>
      </c>
      <c r="G717" s="10" t="s">
        <v>667</v>
      </c>
      <c r="H717" s="10" t="s">
        <v>667</v>
      </c>
      <c r="K717" t="s">
        <v>19</v>
      </c>
      <c r="L717" t="s">
        <v>20</v>
      </c>
      <c r="M717" s="9">
        <v>39229</v>
      </c>
      <c r="N717" t="s">
        <v>3477</v>
      </c>
      <c r="O717">
        <v>18</v>
      </c>
      <c r="P717" t="s">
        <v>3477</v>
      </c>
      <c r="Q717">
        <v>18</v>
      </c>
      <c r="R717" s="13">
        <v>6400</v>
      </c>
      <c r="S717" s="13">
        <v>4480</v>
      </c>
    </row>
    <row r="718" spans="1:19">
      <c r="A718" s="9" t="s">
        <v>22</v>
      </c>
      <c r="B718" s="9" t="s">
        <v>27</v>
      </c>
      <c r="C718" s="9" t="s">
        <v>65</v>
      </c>
      <c r="D718" t="s">
        <v>204</v>
      </c>
      <c r="F718" s="12" t="s">
        <v>2220</v>
      </c>
      <c r="G718" s="10" t="s">
        <v>667</v>
      </c>
      <c r="H718" s="10" t="s">
        <v>667</v>
      </c>
      <c r="K718" t="s">
        <v>19</v>
      </c>
      <c r="L718" t="s">
        <v>20</v>
      </c>
      <c r="M718" s="9">
        <v>39229</v>
      </c>
      <c r="N718" t="s">
        <v>3477</v>
      </c>
      <c r="O718">
        <v>18</v>
      </c>
      <c r="P718" t="s">
        <v>3477</v>
      </c>
      <c r="Q718">
        <v>18</v>
      </c>
      <c r="R718" s="13">
        <v>4250</v>
      </c>
      <c r="S718" s="13">
        <v>2975</v>
      </c>
    </row>
    <row r="719" spans="1:19">
      <c r="A719" s="9" t="s">
        <v>22</v>
      </c>
      <c r="B719" s="9" t="s">
        <v>27</v>
      </c>
      <c r="C719" s="9" t="s">
        <v>65</v>
      </c>
      <c r="D719" t="s">
        <v>204</v>
      </c>
      <c r="F719" s="12" t="s">
        <v>2221</v>
      </c>
      <c r="G719" s="10" t="s">
        <v>669</v>
      </c>
      <c r="H719" s="10" t="s">
        <v>669</v>
      </c>
      <c r="K719" t="s">
        <v>19</v>
      </c>
      <c r="L719" t="s">
        <v>20</v>
      </c>
      <c r="M719" s="9">
        <v>39229</v>
      </c>
      <c r="N719" t="s">
        <v>3477</v>
      </c>
      <c r="O719">
        <v>18</v>
      </c>
      <c r="P719" t="s">
        <v>3477</v>
      </c>
      <c r="Q719">
        <v>18</v>
      </c>
      <c r="R719" s="13">
        <v>6000</v>
      </c>
      <c r="S719" s="13">
        <v>4200</v>
      </c>
    </row>
    <row r="720" spans="1:19">
      <c r="A720" s="9" t="s">
        <v>22</v>
      </c>
      <c r="B720" s="9" t="s">
        <v>27</v>
      </c>
      <c r="C720" s="9" t="s">
        <v>64</v>
      </c>
      <c r="D720" t="s">
        <v>204</v>
      </c>
      <c r="F720" s="12" t="s">
        <v>2222</v>
      </c>
      <c r="G720" s="10" t="s">
        <v>669</v>
      </c>
      <c r="H720" s="10" t="s">
        <v>669</v>
      </c>
      <c r="K720" t="s">
        <v>19</v>
      </c>
      <c r="L720" t="s">
        <v>20</v>
      </c>
      <c r="M720" s="9">
        <v>39229</v>
      </c>
      <c r="N720" t="s">
        <v>3477</v>
      </c>
      <c r="O720">
        <v>18</v>
      </c>
      <c r="P720" t="s">
        <v>3477</v>
      </c>
      <c r="Q720">
        <v>18</v>
      </c>
      <c r="R720" s="13">
        <v>9400</v>
      </c>
      <c r="S720" s="13">
        <v>6580</v>
      </c>
    </row>
    <row r="721" spans="1:19">
      <c r="A721" s="9" t="s">
        <v>22</v>
      </c>
      <c r="B721" s="9" t="s">
        <v>27</v>
      </c>
      <c r="C721" s="9" t="s">
        <v>64</v>
      </c>
      <c r="D721" t="s">
        <v>204</v>
      </c>
      <c r="F721" s="12" t="s">
        <v>2223</v>
      </c>
      <c r="G721" s="10" t="s">
        <v>669</v>
      </c>
      <c r="H721" s="10" t="s">
        <v>669</v>
      </c>
      <c r="K721" t="s">
        <v>19</v>
      </c>
      <c r="L721" t="s">
        <v>20</v>
      </c>
      <c r="M721" s="9">
        <v>39229</v>
      </c>
      <c r="N721" t="s">
        <v>3477</v>
      </c>
      <c r="O721">
        <v>18</v>
      </c>
      <c r="P721" t="s">
        <v>3477</v>
      </c>
      <c r="Q721">
        <v>18</v>
      </c>
      <c r="R721" s="13">
        <v>10500</v>
      </c>
      <c r="S721" s="13">
        <v>7349.9999999999991</v>
      </c>
    </row>
    <row r="722" spans="1:19">
      <c r="A722" s="9" t="s">
        <v>22</v>
      </c>
      <c r="B722" s="9" t="s">
        <v>27</v>
      </c>
      <c r="C722" s="9" t="s">
        <v>64</v>
      </c>
      <c r="D722" t="s">
        <v>204</v>
      </c>
      <c r="F722" s="12" t="s">
        <v>2224</v>
      </c>
      <c r="G722" s="10" t="s">
        <v>669</v>
      </c>
      <c r="H722" s="10" t="s">
        <v>669</v>
      </c>
      <c r="K722" t="s">
        <v>19</v>
      </c>
      <c r="L722" t="s">
        <v>20</v>
      </c>
      <c r="M722" s="9">
        <v>39229</v>
      </c>
      <c r="N722" t="s">
        <v>3477</v>
      </c>
      <c r="O722">
        <v>18</v>
      </c>
      <c r="P722" t="s">
        <v>3477</v>
      </c>
      <c r="Q722">
        <v>18</v>
      </c>
      <c r="R722" s="13">
        <v>11250</v>
      </c>
      <c r="S722" s="13">
        <v>7874.9999999999991</v>
      </c>
    </row>
    <row r="723" spans="1:19">
      <c r="A723" s="9" t="s">
        <v>22</v>
      </c>
      <c r="B723" s="9" t="s">
        <v>27</v>
      </c>
      <c r="C723" s="9" t="s">
        <v>64</v>
      </c>
      <c r="D723" t="s">
        <v>204</v>
      </c>
      <c r="F723" s="12" t="s">
        <v>2225</v>
      </c>
      <c r="G723" s="10" t="s">
        <v>669</v>
      </c>
      <c r="H723" s="10" t="s">
        <v>669</v>
      </c>
      <c r="K723" t="s">
        <v>19</v>
      </c>
      <c r="L723" t="s">
        <v>20</v>
      </c>
      <c r="M723" s="9">
        <v>39229</v>
      </c>
      <c r="N723" t="s">
        <v>3477</v>
      </c>
      <c r="O723">
        <v>18</v>
      </c>
      <c r="P723" t="s">
        <v>3477</v>
      </c>
      <c r="Q723">
        <v>18</v>
      </c>
      <c r="R723" s="13">
        <v>11250</v>
      </c>
      <c r="S723" s="13">
        <v>7874.9999999999991</v>
      </c>
    </row>
    <row r="724" spans="1:19">
      <c r="A724" s="9" t="s">
        <v>22</v>
      </c>
      <c r="B724" s="9" t="s">
        <v>27</v>
      </c>
      <c r="C724" s="9" t="s">
        <v>64</v>
      </c>
      <c r="D724" t="s">
        <v>204</v>
      </c>
      <c r="F724" s="12" t="s">
        <v>2226</v>
      </c>
      <c r="G724" s="10" t="s">
        <v>669</v>
      </c>
      <c r="H724" s="10" t="s">
        <v>669</v>
      </c>
      <c r="K724" t="s">
        <v>19</v>
      </c>
      <c r="L724" t="s">
        <v>20</v>
      </c>
      <c r="M724" s="9">
        <v>39229</v>
      </c>
      <c r="N724" t="s">
        <v>3477</v>
      </c>
      <c r="O724">
        <v>18</v>
      </c>
      <c r="P724" t="s">
        <v>3477</v>
      </c>
      <c r="Q724">
        <v>18</v>
      </c>
      <c r="R724" s="13">
        <v>7500</v>
      </c>
      <c r="S724" s="13">
        <v>5250</v>
      </c>
    </row>
    <row r="725" spans="1:19">
      <c r="A725" s="9" t="s">
        <v>22</v>
      </c>
      <c r="B725" s="9" t="s">
        <v>27</v>
      </c>
      <c r="C725" s="9" t="s">
        <v>64</v>
      </c>
      <c r="D725" t="s">
        <v>204</v>
      </c>
      <c r="F725" s="12" t="s">
        <v>2227</v>
      </c>
      <c r="G725" s="10" t="s">
        <v>669</v>
      </c>
      <c r="H725" s="10" t="s">
        <v>669</v>
      </c>
      <c r="K725" t="s">
        <v>19</v>
      </c>
      <c r="L725" t="s">
        <v>20</v>
      </c>
      <c r="M725" s="9">
        <v>39229</v>
      </c>
      <c r="N725" t="s">
        <v>3477</v>
      </c>
      <c r="O725">
        <v>18</v>
      </c>
      <c r="P725" t="s">
        <v>3477</v>
      </c>
      <c r="Q725">
        <v>18</v>
      </c>
      <c r="R725" s="13">
        <v>10500</v>
      </c>
      <c r="S725" s="13">
        <v>7349.9999999999991</v>
      </c>
    </row>
    <row r="726" spans="1:19">
      <c r="A726" s="9" t="s">
        <v>23</v>
      </c>
      <c r="B726" s="9" t="s">
        <v>27</v>
      </c>
      <c r="C726" s="9" t="s">
        <v>64</v>
      </c>
      <c r="D726" t="s">
        <v>204</v>
      </c>
      <c r="F726" s="12" t="s">
        <v>2228</v>
      </c>
      <c r="G726" s="10" t="s">
        <v>670</v>
      </c>
      <c r="H726" s="10" t="s">
        <v>670</v>
      </c>
      <c r="K726" t="s">
        <v>19</v>
      </c>
      <c r="L726" t="s">
        <v>20</v>
      </c>
      <c r="M726" s="9">
        <v>8481802</v>
      </c>
      <c r="N726" t="s">
        <v>3477</v>
      </c>
      <c r="O726">
        <v>18</v>
      </c>
      <c r="P726" t="s">
        <v>3477</v>
      </c>
      <c r="Q726">
        <v>18</v>
      </c>
      <c r="R726" s="13">
        <v>20000</v>
      </c>
      <c r="S726" s="13">
        <v>12000</v>
      </c>
    </row>
    <row r="727" spans="1:19">
      <c r="A727" s="9" t="s">
        <v>23</v>
      </c>
      <c r="B727" s="9" t="s">
        <v>27</v>
      </c>
      <c r="C727" s="9" t="s">
        <v>90</v>
      </c>
      <c r="D727" t="s">
        <v>204</v>
      </c>
      <c r="F727" s="12" t="s">
        <v>2229</v>
      </c>
      <c r="G727" s="10" t="s">
        <v>670</v>
      </c>
      <c r="H727" s="10" t="s">
        <v>670</v>
      </c>
      <c r="K727" t="s">
        <v>19</v>
      </c>
      <c r="L727" t="s">
        <v>20</v>
      </c>
      <c r="M727" s="9">
        <v>8481802</v>
      </c>
      <c r="N727" t="s">
        <v>3477</v>
      </c>
      <c r="O727">
        <v>18</v>
      </c>
      <c r="P727" t="s">
        <v>3477</v>
      </c>
      <c r="Q727">
        <v>18</v>
      </c>
      <c r="R727" s="13">
        <v>55000</v>
      </c>
      <c r="S727" s="13">
        <v>33000</v>
      </c>
    </row>
    <row r="728" spans="1:19">
      <c r="A728" s="9" t="s">
        <v>23</v>
      </c>
      <c r="B728" s="9" t="s">
        <v>27</v>
      </c>
      <c r="C728" s="9" t="s">
        <v>90</v>
      </c>
      <c r="D728" t="s">
        <v>204</v>
      </c>
      <c r="F728" s="12" t="s">
        <v>2230</v>
      </c>
      <c r="G728" s="10" t="s">
        <v>671</v>
      </c>
      <c r="H728" s="10" t="s">
        <v>671</v>
      </c>
      <c r="K728" t="s">
        <v>19</v>
      </c>
      <c r="L728" t="s">
        <v>20</v>
      </c>
      <c r="M728" s="9">
        <v>8481802</v>
      </c>
      <c r="N728" t="s">
        <v>3477</v>
      </c>
      <c r="O728">
        <v>18</v>
      </c>
      <c r="P728" t="s">
        <v>3477</v>
      </c>
      <c r="Q728">
        <v>18</v>
      </c>
      <c r="R728" s="13">
        <v>102000</v>
      </c>
      <c r="S728" s="13">
        <v>61200</v>
      </c>
    </row>
    <row r="729" spans="1:19">
      <c r="A729" s="9" t="s">
        <v>23</v>
      </c>
      <c r="B729" s="9" t="s">
        <v>27</v>
      </c>
      <c r="C729" s="9" t="s">
        <v>90</v>
      </c>
      <c r="D729" t="s">
        <v>204</v>
      </c>
      <c r="F729" s="12" t="s">
        <v>2231</v>
      </c>
      <c r="G729" s="10" t="s">
        <v>671</v>
      </c>
      <c r="H729" s="10" t="s">
        <v>671</v>
      </c>
      <c r="K729" t="s">
        <v>19</v>
      </c>
      <c r="L729" t="s">
        <v>20</v>
      </c>
      <c r="M729" s="9">
        <v>39229</v>
      </c>
      <c r="N729" t="s">
        <v>3477</v>
      </c>
      <c r="O729">
        <v>18</v>
      </c>
      <c r="P729" t="s">
        <v>3477</v>
      </c>
      <c r="Q729">
        <v>18</v>
      </c>
      <c r="R729" s="13">
        <v>46500</v>
      </c>
      <c r="S729" s="13">
        <v>27900</v>
      </c>
    </row>
    <row r="730" spans="1:19">
      <c r="A730" s="9" t="s">
        <v>23</v>
      </c>
      <c r="B730" s="9" t="s">
        <v>27</v>
      </c>
      <c r="C730" s="9" t="s">
        <v>90</v>
      </c>
      <c r="D730" t="s">
        <v>204</v>
      </c>
      <c r="F730" s="12" t="s">
        <v>2232</v>
      </c>
      <c r="G730" s="10" t="s">
        <v>671</v>
      </c>
      <c r="H730" s="10" t="s">
        <v>671</v>
      </c>
      <c r="K730" t="s">
        <v>19</v>
      </c>
      <c r="L730" t="s">
        <v>20</v>
      </c>
      <c r="M730" s="9">
        <v>39229</v>
      </c>
      <c r="N730" t="s">
        <v>3477</v>
      </c>
      <c r="O730">
        <v>18</v>
      </c>
      <c r="P730" t="s">
        <v>3477</v>
      </c>
      <c r="Q730">
        <v>18</v>
      </c>
      <c r="R730" s="13">
        <v>52000</v>
      </c>
      <c r="S730" s="13">
        <v>31200</v>
      </c>
    </row>
    <row r="731" spans="1:19">
      <c r="A731" s="9" t="s">
        <v>23</v>
      </c>
      <c r="B731" s="9" t="s">
        <v>27</v>
      </c>
      <c r="C731" s="9" t="s">
        <v>90</v>
      </c>
      <c r="D731" t="s">
        <v>204</v>
      </c>
      <c r="F731" s="12" t="s">
        <v>2233</v>
      </c>
      <c r="G731" s="10" t="s">
        <v>671</v>
      </c>
      <c r="H731" s="10" t="s">
        <v>671</v>
      </c>
      <c r="K731" t="s">
        <v>19</v>
      </c>
      <c r="L731" t="s">
        <v>20</v>
      </c>
      <c r="M731" s="9">
        <v>39229</v>
      </c>
      <c r="N731" t="s">
        <v>3477</v>
      </c>
      <c r="O731">
        <v>18</v>
      </c>
      <c r="P731" t="s">
        <v>3477</v>
      </c>
      <c r="Q731">
        <v>18</v>
      </c>
      <c r="R731" s="13">
        <v>55500</v>
      </c>
      <c r="S731" s="13">
        <v>33300</v>
      </c>
    </row>
    <row r="732" spans="1:19">
      <c r="A732" s="9" t="s">
        <v>23</v>
      </c>
      <c r="B732" s="9" t="s">
        <v>27</v>
      </c>
      <c r="C732" s="9" t="s">
        <v>90</v>
      </c>
      <c r="D732" t="s">
        <v>204</v>
      </c>
      <c r="F732" s="12" t="s">
        <v>2234</v>
      </c>
      <c r="G732" s="10" t="s">
        <v>671</v>
      </c>
      <c r="H732" s="10" t="s">
        <v>671</v>
      </c>
      <c r="K732" t="s">
        <v>19</v>
      </c>
      <c r="L732" t="s">
        <v>20</v>
      </c>
      <c r="M732" s="9">
        <v>39229</v>
      </c>
      <c r="N732" t="s">
        <v>3477</v>
      </c>
      <c r="O732">
        <v>18</v>
      </c>
      <c r="P732" t="s">
        <v>3477</v>
      </c>
      <c r="Q732">
        <v>18</v>
      </c>
      <c r="R732" s="13">
        <v>55500</v>
      </c>
      <c r="S732" s="13">
        <v>33300</v>
      </c>
    </row>
    <row r="733" spans="1:19">
      <c r="A733" s="9" t="s">
        <v>23</v>
      </c>
      <c r="B733" s="9" t="s">
        <v>27</v>
      </c>
      <c r="C733" s="9" t="s">
        <v>90</v>
      </c>
      <c r="D733" t="s">
        <v>204</v>
      </c>
      <c r="F733" s="12" t="s">
        <v>2235</v>
      </c>
      <c r="G733" s="10" t="s">
        <v>671</v>
      </c>
      <c r="H733" s="10" t="s">
        <v>671</v>
      </c>
      <c r="K733" t="s">
        <v>19</v>
      </c>
      <c r="L733" t="s">
        <v>20</v>
      </c>
      <c r="M733" s="9">
        <v>39229</v>
      </c>
      <c r="N733" t="s">
        <v>3477</v>
      </c>
      <c r="O733">
        <v>18</v>
      </c>
      <c r="P733" t="s">
        <v>3477</v>
      </c>
      <c r="Q733">
        <v>18</v>
      </c>
      <c r="R733" s="13">
        <v>37000</v>
      </c>
      <c r="S733" s="13">
        <v>22200</v>
      </c>
    </row>
    <row r="734" spans="1:19">
      <c r="A734" s="9" t="s">
        <v>23</v>
      </c>
      <c r="B734" s="9" t="s">
        <v>27</v>
      </c>
      <c r="C734" s="9" t="s">
        <v>90</v>
      </c>
      <c r="D734" t="s">
        <v>204</v>
      </c>
      <c r="F734" s="12" t="s">
        <v>2236</v>
      </c>
      <c r="G734" s="10" t="s">
        <v>671</v>
      </c>
      <c r="H734" s="10" t="s">
        <v>671</v>
      </c>
      <c r="K734" t="s">
        <v>19</v>
      </c>
      <c r="L734" t="s">
        <v>20</v>
      </c>
      <c r="M734" s="9">
        <v>39229</v>
      </c>
      <c r="N734" t="s">
        <v>3477</v>
      </c>
      <c r="O734">
        <v>18</v>
      </c>
      <c r="P734" t="s">
        <v>3477</v>
      </c>
      <c r="Q734">
        <v>18</v>
      </c>
      <c r="R734" s="13">
        <v>52000</v>
      </c>
      <c r="S734" s="13">
        <v>31200</v>
      </c>
    </row>
    <row r="735" spans="1:19">
      <c r="A735" s="9" t="s">
        <v>23</v>
      </c>
      <c r="B735" s="9" t="s">
        <v>27</v>
      </c>
      <c r="C735" s="9" t="s">
        <v>90</v>
      </c>
      <c r="D735" t="s">
        <v>204</v>
      </c>
      <c r="F735" s="12" t="s">
        <v>2237</v>
      </c>
      <c r="G735" s="10" t="s">
        <v>672</v>
      </c>
      <c r="H735" s="10" t="s">
        <v>672</v>
      </c>
      <c r="K735" t="s">
        <v>19</v>
      </c>
      <c r="L735" t="s">
        <v>20</v>
      </c>
      <c r="M735" s="9">
        <v>39229</v>
      </c>
      <c r="N735" t="s">
        <v>3477</v>
      </c>
      <c r="O735">
        <v>18</v>
      </c>
      <c r="P735" t="s">
        <v>3477</v>
      </c>
      <c r="Q735">
        <v>18</v>
      </c>
      <c r="R735" s="13">
        <v>75000</v>
      </c>
      <c r="S735" s="13">
        <v>45000</v>
      </c>
    </row>
    <row r="736" spans="1:19">
      <c r="A736" s="9" t="s">
        <v>23</v>
      </c>
      <c r="B736" s="9" t="s">
        <v>27</v>
      </c>
      <c r="C736" s="9" t="s">
        <v>90</v>
      </c>
      <c r="D736" t="s">
        <v>204</v>
      </c>
      <c r="F736" s="12" t="s">
        <v>2238</v>
      </c>
      <c r="G736" s="10" t="s">
        <v>673</v>
      </c>
      <c r="H736" s="10" t="s">
        <v>673</v>
      </c>
      <c r="K736" t="s">
        <v>19</v>
      </c>
      <c r="L736" t="s">
        <v>20</v>
      </c>
      <c r="M736" s="9">
        <v>39229</v>
      </c>
      <c r="N736" t="s">
        <v>3477</v>
      </c>
      <c r="O736">
        <v>18</v>
      </c>
      <c r="P736" t="s">
        <v>3477</v>
      </c>
      <c r="Q736">
        <v>18</v>
      </c>
      <c r="R736" s="13">
        <v>112500</v>
      </c>
      <c r="S736" s="13">
        <v>67500</v>
      </c>
    </row>
    <row r="737" spans="1:19">
      <c r="A737" s="9" t="s">
        <v>23</v>
      </c>
      <c r="B737" s="9" t="s">
        <v>27</v>
      </c>
      <c r="C737" s="9" t="s">
        <v>90</v>
      </c>
      <c r="D737" t="s">
        <v>204</v>
      </c>
      <c r="F737" s="12" t="s">
        <v>2239</v>
      </c>
      <c r="G737" s="10" t="s">
        <v>673</v>
      </c>
      <c r="H737" s="10" t="s">
        <v>673</v>
      </c>
      <c r="K737" t="s">
        <v>19</v>
      </c>
      <c r="L737" t="s">
        <v>20</v>
      </c>
      <c r="M737" s="9">
        <v>8481801</v>
      </c>
      <c r="N737" t="s">
        <v>3477</v>
      </c>
      <c r="O737">
        <v>18</v>
      </c>
      <c r="P737" t="s">
        <v>3477</v>
      </c>
      <c r="Q737">
        <v>18</v>
      </c>
      <c r="R737" s="13">
        <v>71500</v>
      </c>
      <c r="S737" s="13">
        <v>42900</v>
      </c>
    </row>
    <row r="738" spans="1:19">
      <c r="A738" s="9" t="s">
        <v>23</v>
      </c>
      <c r="B738" s="9" t="s">
        <v>27</v>
      </c>
      <c r="C738" s="9" t="s">
        <v>90</v>
      </c>
      <c r="D738" t="s">
        <v>204</v>
      </c>
      <c r="F738" s="12" t="s">
        <v>2240</v>
      </c>
      <c r="G738" s="10" t="s">
        <v>673</v>
      </c>
      <c r="H738" s="10" t="s">
        <v>673</v>
      </c>
      <c r="K738" t="s">
        <v>19</v>
      </c>
      <c r="L738" t="s">
        <v>20</v>
      </c>
      <c r="M738" s="9">
        <v>39229</v>
      </c>
      <c r="N738" t="s">
        <v>3477</v>
      </c>
      <c r="O738">
        <v>18</v>
      </c>
      <c r="P738" t="s">
        <v>3477</v>
      </c>
      <c r="Q738">
        <v>18</v>
      </c>
      <c r="R738" s="13">
        <v>80000</v>
      </c>
      <c r="S738" s="13">
        <v>48000</v>
      </c>
    </row>
    <row r="739" spans="1:19">
      <c r="A739" s="9" t="s">
        <v>23</v>
      </c>
      <c r="B739" s="9" t="s">
        <v>27</v>
      </c>
      <c r="C739" s="9" t="s">
        <v>90</v>
      </c>
      <c r="D739" t="s">
        <v>204</v>
      </c>
      <c r="F739" s="12" t="s">
        <v>2241</v>
      </c>
      <c r="G739" s="10" t="s">
        <v>673</v>
      </c>
      <c r="H739" s="10" t="s">
        <v>673</v>
      </c>
      <c r="K739" t="s">
        <v>19</v>
      </c>
      <c r="L739" t="s">
        <v>20</v>
      </c>
      <c r="M739" s="9">
        <v>39229</v>
      </c>
      <c r="N739" t="s">
        <v>3477</v>
      </c>
      <c r="O739">
        <v>18</v>
      </c>
      <c r="P739" t="s">
        <v>3477</v>
      </c>
      <c r="Q739">
        <v>18</v>
      </c>
      <c r="R739" s="13">
        <v>85500</v>
      </c>
      <c r="S739" s="13">
        <v>51300</v>
      </c>
    </row>
    <row r="740" spans="1:19">
      <c r="A740" s="9" t="s">
        <v>23</v>
      </c>
      <c r="B740" s="9" t="s">
        <v>27</v>
      </c>
      <c r="C740" s="9" t="s">
        <v>90</v>
      </c>
      <c r="D740" t="s">
        <v>204</v>
      </c>
      <c r="F740" s="12" t="s">
        <v>2242</v>
      </c>
      <c r="G740" s="10" t="s">
        <v>673</v>
      </c>
      <c r="H740" s="10" t="s">
        <v>673</v>
      </c>
      <c r="K740" t="s">
        <v>19</v>
      </c>
      <c r="L740" t="s">
        <v>20</v>
      </c>
      <c r="M740" s="9">
        <v>8481801</v>
      </c>
      <c r="N740" t="s">
        <v>3477</v>
      </c>
      <c r="O740">
        <v>18</v>
      </c>
      <c r="P740" t="s">
        <v>3477</v>
      </c>
      <c r="Q740">
        <v>18</v>
      </c>
      <c r="R740" s="13">
        <v>85500</v>
      </c>
      <c r="S740" s="13">
        <v>51300</v>
      </c>
    </row>
    <row r="741" spans="1:19">
      <c r="A741" s="9" t="s">
        <v>23</v>
      </c>
      <c r="B741" s="9" t="s">
        <v>27</v>
      </c>
      <c r="C741" s="9" t="s">
        <v>90</v>
      </c>
      <c r="D741" t="s">
        <v>204</v>
      </c>
      <c r="F741" s="12" t="s">
        <v>2243</v>
      </c>
      <c r="G741" s="10" t="s">
        <v>673</v>
      </c>
      <c r="H741" s="10" t="s">
        <v>673</v>
      </c>
      <c r="K741" t="s">
        <v>19</v>
      </c>
      <c r="L741" t="s">
        <v>20</v>
      </c>
      <c r="M741" s="9">
        <v>39229</v>
      </c>
      <c r="N741" t="s">
        <v>3477</v>
      </c>
      <c r="O741">
        <v>18</v>
      </c>
      <c r="P741" t="s">
        <v>3477</v>
      </c>
      <c r="Q741">
        <v>18</v>
      </c>
      <c r="R741" s="13">
        <v>57000</v>
      </c>
      <c r="S741" s="13">
        <v>34200</v>
      </c>
    </row>
    <row r="742" spans="1:19">
      <c r="A742" s="9" t="s">
        <v>23</v>
      </c>
      <c r="B742" s="9" t="s">
        <v>27</v>
      </c>
      <c r="C742" s="9" t="s">
        <v>90</v>
      </c>
      <c r="D742" t="s">
        <v>204</v>
      </c>
      <c r="F742" s="12" t="s">
        <v>2244</v>
      </c>
      <c r="G742" s="10" t="s">
        <v>674</v>
      </c>
      <c r="H742" s="10" t="s">
        <v>674</v>
      </c>
      <c r="K742" t="s">
        <v>19</v>
      </c>
      <c r="L742" t="s">
        <v>20</v>
      </c>
      <c r="M742" s="9">
        <v>39229</v>
      </c>
      <c r="N742" t="s">
        <v>3477</v>
      </c>
      <c r="O742">
        <v>18</v>
      </c>
      <c r="P742" t="s">
        <v>3477</v>
      </c>
      <c r="Q742">
        <v>18</v>
      </c>
      <c r="R742" s="13">
        <v>80000</v>
      </c>
      <c r="S742" s="13">
        <v>48000</v>
      </c>
    </row>
    <row r="743" spans="1:19">
      <c r="A743" s="9" t="s">
        <v>23</v>
      </c>
      <c r="B743" s="9" t="s">
        <v>27</v>
      </c>
      <c r="C743" s="9" t="s">
        <v>90</v>
      </c>
      <c r="D743" t="s">
        <v>204</v>
      </c>
      <c r="F743" s="12" t="s">
        <v>2245</v>
      </c>
      <c r="G743" s="10" t="s">
        <v>675</v>
      </c>
      <c r="H743" s="10" t="s">
        <v>675</v>
      </c>
      <c r="K743" t="s">
        <v>19</v>
      </c>
      <c r="L743" t="s">
        <v>20</v>
      </c>
      <c r="M743" s="9">
        <v>39229</v>
      </c>
      <c r="N743" t="s">
        <v>3477</v>
      </c>
      <c r="O743">
        <v>18</v>
      </c>
      <c r="P743" t="s">
        <v>3477</v>
      </c>
      <c r="Q743">
        <v>18</v>
      </c>
      <c r="R743" s="13">
        <v>112500</v>
      </c>
      <c r="S743" s="13">
        <v>67500</v>
      </c>
    </row>
    <row r="744" spans="1:19">
      <c r="A744" s="9" t="s">
        <v>23</v>
      </c>
      <c r="B744" s="9" t="s">
        <v>27</v>
      </c>
      <c r="C744" s="9" t="s">
        <v>90</v>
      </c>
      <c r="D744" t="s">
        <v>204</v>
      </c>
      <c r="F744" s="12" t="s">
        <v>2246</v>
      </c>
      <c r="G744" s="10" t="s">
        <v>675</v>
      </c>
      <c r="H744" s="10" t="s">
        <v>675</v>
      </c>
      <c r="K744" t="s">
        <v>19</v>
      </c>
      <c r="L744" t="s">
        <v>20</v>
      </c>
      <c r="M744" s="9">
        <v>39229</v>
      </c>
      <c r="N744" t="s">
        <v>3477</v>
      </c>
      <c r="O744">
        <v>18</v>
      </c>
      <c r="P744" t="s">
        <v>3477</v>
      </c>
      <c r="Q744">
        <v>18</v>
      </c>
      <c r="R744" s="13">
        <v>84500</v>
      </c>
      <c r="S744" s="13">
        <v>50700</v>
      </c>
    </row>
    <row r="745" spans="1:19">
      <c r="A745" s="9" t="s">
        <v>23</v>
      </c>
      <c r="B745" s="9" t="s">
        <v>27</v>
      </c>
      <c r="C745" s="9" t="s">
        <v>90</v>
      </c>
      <c r="D745" t="s">
        <v>204</v>
      </c>
      <c r="F745" s="12" t="s">
        <v>2247</v>
      </c>
      <c r="G745" s="10" t="s">
        <v>675</v>
      </c>
      <c r="H745" s="10" t="s">
        <v>675</v>
      </c>
      <c r="K745" t="s">
        <v>19</v>
      </c>
      <c r="L745" t="s">
        <v>20</v>
      </c>
      <c r="M745" s="9">
        <v>39229</v>
      </c>
      <c r="N745" t="s">
        <v>3477</v>
      </c>
      <c r="O745">
        <v>18</v>
      </c>
      <c r="P745" t="s">
        <v>3477</v>
      </c>
      <c r="Q745">
        <v>18</v>
      </c>
      <c r="R745" s="13">
        <v>94500</v>
      </c>
      <c r="S745" s="13">
        <v>56700</v>
      </c>
    </row>
    <row r="746" spans="1:19">
      <c r="A746" s="9" t="s">
        <v>23</v>
      </c>
      <c r="B746" s="9" t="s">
        <v>27</v>
      </c>
      <c r="C746" s="9" t="s">
        <v>90</v>
      </c>
      <c r="D746" t="s">
        <v>204</v>
      </c>
      <c r="F746" s="12" t="s">
        <v>2248</v>
      </c>
      <c r="G746" s="10" t="s">
        <v>675</v>
      </c>
      <c r="H746" s="10" t="s">
        <v>675</v>
      </c>
      <c r="K746" t="s">
        <v>19</v>
      </c>
      <c r="L746" t="s">
        <v>20</v>
      </c>
      <c r="M746" s="9">
        <v>39229</v>
      </c>
      <c r="N746" t="s">
        <v>3477</v>
      </c>
      <c r="O746">
        <v>18</v>
      </c>
      <c r="P746" t="s">
        <v>3477</v>
      </c>
      <c r="Q746">
        <v>18</v>
      </c>
      <c r="R746" s="13">
        <v>101000</v>
      </c>
      <c r="S746" s="13">
        <v>60600</v>
      </c>
    </row>
    <row r="747" spans="1:19">
      <c r="A747" s="9" t="s">
        <v>23</v>
      </c>
      <c r="B747" s="9" t="s">
        <v>27</v>
      </c>
      <c r="C747" s="9" t="s">
        <v>90</v>
      </c>
      <c r="D747" t="s">
        <v>204</v>
      </c>
      <c r="F747" s="12" t="s">
        <v>2249</v>
      </c>
      <c r="G747" s="10" t="s">
        <v>675</v>
      </c>
      <c r="H747" s="10" t="s">
        <v>675</v>
      </c>
      <c r="K747" t="s">
        <v>19</v>
      </c>
      <c r="L747" t="s">
        <v>20</v>
      </c>
      <c r="M747" s="9">
        <v>8481801</v>
      </c>
      <c r="N747" t="s">
        <v>3477</v>
      </c>
      <c r="O747">
        <v>18</v>
      </c>
      <c r="P747" t="s">
        <v>3477</v>
      </c>
      <c r="Q747">
        <v>18</v>
      </c>
      <c r="R747" s="13">
        <v>101000</v>
      </c>
      <c r="S747" s="13">
        <v>60600</v>
      </c>
    </row>
    <row r="748" spans="1:19">
      <c r="A748" s="9" t="s">
        <v>23</v>
      </c>
      <c r="B748" s="9" t="s">
        <v>27</v>
      </c>
      <c r="C748" s="9" t="s">
        <v>90</v>
      </c>
      <c r="D748" t="s">
        <v>204</v>
      </c>
      <c r="F748" s="12" t="s">
        <v>2250</v>
      </c>
      <c r="G748" s="10" t="s">
        <v>675</v>
      </c>
      <c r="H748" s="10" t="s">
        <v>675</v>
      </c>
      <c r="K748" t="s">
        <v>19</v>
      </c>
      <c r="L748" t="s">
        <v>20</v>
      </c>
      <c r="M748" s="9">
        <v>39229</v>
      </c>
      <c r="N748" t="s">
        <v>3477</v>
      </c>
      <c r="O748">
        <v>18</v>
      </c>
      <c r="P748" t="s">
        <v>3477</v>
      </c>
      <c r="Q748">
        <v>18</v>
      </c>
      <c r="R748" s="13">
        <v>67500</v>
      </c>
      <c r="S748" s="13">
        <v>40500</v>
      </c>
    </row>
    <row r="749" spans="1:19">
      <c r="A749" s="9" t="s">
        <v>23</v>
      </c>
      <c r="B749" s="9" t="s">
        <v>27</v>
      </c>
      <c r="C749" s="9" t="s">
        <v>90</v>
      </c>
      <c r="D749" t="s">
        <v>204</v>
      </c>
      <c r="F749" s="12" t="s">
        <v>2251</v>
      </c>
      <c r="G749" s="10" t="s">
        <v>676</v>
      </c>
      <c r="H749" s="10" t="s">
        <v>676</v>
      </c>
      <c r="K749" t="s">
        <v>19</v>
      </c>
      <c r="L749" t="s">
        <v>20</v>
      </c>
      <c r="M749" s="9">
        <v>39229</v>
      </c>
      <c r="N749" t="s">
        <v>3477</v>
      </c>
      <c r="O749">
        <v>18</v>
      </c>
      <c r="P749" t="s">
        <v>3477</v>
      </c>
      <c r="Q749">
        <v>18</v>
      </c>
      <c r="R749" s="13">
        <v>94500</v>
      </c>
      <c r="S749" s="13">
        <v>56700</v>
      </c>
    </row>
    <row r="750" spans="1:19">
      <c r="A750" s="9" t="s">
        <v>23</v>
      </c>
      <c r="B750" s="9" t="s">
        <v>27</v>
      </c>
      <c r="C750" s="9" t="s">
        <v>135</v>
      </c>
      <c r="D750" t="s">
        <v>204</v>
      </c>
      <c r="F750" s="12" t="s">
        <v>2252</v>
      </c>
      <c r="G750" s="10" t="s">
        <v>676</v>
      </c>
      <c r="H750" s="10" t="s">
        <v>676</v>
      </c>
      <c r="K750" t="s">
        <v>19</v>
      </c>
      <c r="L750" t="s">
        <v>20</v>
      </c>
      <c r="M750" s="9">
        <v>7418201</v>
      </c>
      <c r="N750" t="s">
        <v>3477</v>
      </c>
      <c r="O750">
        <v>18</v>
      </c>
      <c r="P750" t="s">
        <v>3477</v>
      </c>
      <c r="Q750">
        <v>18</v>
      </c>
      <c r="R750" s="13">
        <v>11900</v>
      </c>
      <c r="S750" s="13">
        <v>7140</v>
      </c>
    </row>
    <row r="751" spans="1:19">
      <c r="A751" s="9" t="s">
        <v>23</v>
      </c>
      <c r="B751" s="9" t="s">
        <v>27</v>
      </c>
      <c r="C751" s="9" t="s">
        <v>135</v>
      </c>
      <c r="D751" t="s">
        <v>204</v>
      </c>
      <c r="F751" s="12" t="s">
        <v>2253</v>
      </c>
      <c r="G751" s="10" t="s">
        <v>676</v>
      </c>
      <c r="H751" s="10" t="s">
        <v>676</v>
      </c>
      <c r="K751" t="s">
        <v>19</v>
      </c>
      <c r="L751" t="s">
        <v>20</v>
      </c>
      <c r="M751" s="9">
        <v>39229</v>
      </c>
      <c r="N751" t="s">
        <v>3477</v>
      </c>
      <c r="O751">
        <v>18</v>
      </c>
      <c r="P751" t="s">
        <v>3477</v>
      </c>
      <c r="Q751">
        <v>18</v>
      </c>
      <c r="R751" s="13">
        <v>13300</v>
      </c>
      <c r="S751" s="13">
        <v>7980</v>
      </c>
    </row>
    <row r="752" spans="1:19">
      <c r="A752" s="9" t="s">
        <v>23</v>
      </c>
      <c r="B752" s="9" t="s">
        <v>27</v>
      </c>
      <c r="C752" s="9" t="s">
        <v>135</v>
      </c>
      <c r="D752" t="s">
        <v>204</v>
      </c>
      <c r="F752" s="12" t="s">
        <v>2254</v>
      </c>
      <c r="G752" s="10" t="s">
        <v>676</v>
      </c>
      <c r="H752" s="10" t="s">
        <v>676</v>
      </c>
      <c r="K752" t="s">
        <v>19</v>
      </c>
      <c r="L752" t="s">
        <v>20</v>
      </c>
      <c r="M752" s="9">
        <v>39229</v>
      </c>
      <c r="N752" t="s">
        <v>3477</v>
      </c>
      <c r="O752">
        <v>18</v>
      </c>
      <c r="P752" t="s">
        <v>3477</v>
      </c>
      <c r="Q752">
        <v>18</v>
      </c>
      <c r="R752" s="13">
        <v>14300</v>
      </c>
      <c r="S752" s="13">
        <v>8580</v>
      </c>
    </row>
    <row r="753" spans="1:19">
      <c r="A753" s="9" t="s">
        <v>23</v>
      </c>
      <c r="B753" s="9" t="s">
        <v>27</v>
      </c>
      <c r="C753" s="9" t="s">
        <v>135</v>
      </c>
      <c r="D753" t="s">
        <v>204</v>
      </c>
      <c r="F753" s="12" t="s">
        <v>2255</v>
      </c>
      <c r="G753" s="10" t="s">
        <v>676</v>
      </c>
      <c r="H753" s="10" t="s">
        <v>676</v>
      </c>
      <c r="K753" t="s">
        <v>19</v>
      </c>
      <c r="L753" t="s">
        <v>20</v>
      </c>
      <c r="M753" s="9">
        <v>39229</v>
      </c>
      <c r="N753" t="s">
        <v>3477</v>
      </c>
      <c r="O753">
        <v>18</v>
      </c>
      <c r="P753" t="s">
        <v>3477</v>
      </c>
      <c r="Q753">
        <v>18</v>
      </c>
      <c r="R753" s="13">
        <v>14300</v>
      </c>
      <c r="S753" s="13">
        <v>8580</v>
      </c>
    </row>
    <row r="754" spans="1:19">
      <c r="A754" s="9" t="s">
        <v>23</v>
      </c>
      <c r="B754" s="9" t="s">
        <v>27</v>
      </c>
      <c r="C754" s="9" t="s">
        <v>135</v>
      </c>
      <c r="D754" t="s">
        <v>204</v>
      </c>
      <c r="F754" s="12" t="s">
        <v>2256</v>
      </c>
      <c r="G754" s="10" t="s">
        <v>676</v>
      </c>
      <c r="H754" s="10" t="s">
        <v>676</v>
      </c>
      <c r="K754" t="s">
        <v>19</v>
      </c>
      <c r="L754" t="s">
        <v>20</v>
      </c>
      <c r="M754" s="9">
        <v>39229</v>
      </c>
      <c r="N754" t="s">
        <v>3477</v>
      </c>
      <c r="O754">
        <v>18</v>
      </c>
      <c r="P754" t="s">
        <v>3477</v>
      </c>
      <c r="Q754">
        <v>18</v>
      </c>
      <c r="R754" s="13">
        <v>9500</v>
      </c>
      <c r="S754" s="13">
        <v>5700</v>
      </c>
    </row>
    <row r="755" spans="1:19">
      <c r="A755" s="9" t="s">
        <v>23</v>
      </c>
      <c r="B755" s="9" t="s">
        <v>27</v>
      </c>
      <c r="C755" s="9" t="s">
        <v>135</v>
      </c>
      <c r="D755" t="s">
        <v>204</v>
      </c>
      <c r="F755" s="12" t="s">
        <v>2257</v>
      </c>
      <c r="G755" s="10" t="s">
        <v>676</v>
      </c>
      <c r="H755" s="10" t="s">
        <v>676</v>
      </c>
      <c r="K755" t="s">
        <v>19</v>
      </c>
      <c r="L755" t="s">
        <v>20</v>
      </c>
      <c r="M755" s="9">
        <v>7418201</v>
      </c>
      <c r="N755" t="s">
        <v>3477</v>
      </c>
      <c r="O755">
        <v>18</v>
      </c>
      <c r="P755" t="s">
        <v>3477</v>
      </c>
      <c r="Q755">
        <v>18</v>
      </c>
      <c r="R755" s="13">
        <v>13300</v>
      </c>
      <c r="S755" s="13">
        <v>7980</v>
      </c>
    </row>
    <row r="756" spans="1:19">
      <c r="A756" s="9" t="s">
        <v>23</v>
      </c>
      <c r="B756" s="9" t="s">
        <v>27</v>
      </c>
      <c r="C756" s="9" t="s">
        <v>135</v>
      </c>
      <c r="D756" t="s">
        <v>204</v>
      </c>
      <c r="F756" s="12" t="s">
        <v>2258</v>
      </c>
      <c r="G756" s="10" t="s">
        <v>677</v>
      </c>
      <c r="H756" s="10" t="s">
        <v>677</v>
      </c>
      <c r="K756" t="s">
        <v>19</v>
      </c>
      <c r="L756" t="s">
        <v>20</v>
      </c>
      <c r="M756" s="9">
        <v>39229</v>
      </c>
      <c r="N756" t="s">
        <v>3477</v>
      </c>
      <c r="O756">
        <v>18</v>
      </c>
      <c r="P756" t="s">
        <v>3477</v>
      </c>
      <c r="Q756">
        <v>18</v>
      </c>
      <c r="R756" s="13">
        <v>13500</v>
      </c>
      <c r="S756" s="13">
        <v>8100</v>
      </c>
    </row>
    <row r="757" spans="1:19">
      <c r="A757" s="9" t="s">
        <v>23</v>
      </c>
      <c r="B757" s="9" t="s">
        <v>27</v>
      </c>
      <c r="C757" s="9" t="s">
        <v>135</v>
      </c>
      <c r="D757" t="s">
        <v>204</v>
      </c>
      <c r="F757" s="12" t="s">
        <v>2259</v>
      </c>
      <c r="G757" s="10" t="s">
        <v>677</v>
      </c>
      <c r="H757" s="10" t="s">
        <v>677</v>
      </c>
      <c r="K757" t="s">
        <v>19</v>
      </c>
      <c r="L757" t="s">
        <v>20</v>
      </c>
      <c r="M757" s="9">
        <v>8481801</v>
      </c>
      <c r="N757" t="s">
        <v>3477</v>
      </c>
      <c r="O757">
        <v>18</v>
      </c>
      <c r="P757" t="s">
        <v>3477</v>
      </c>
      <c r="Q757">
        <v>18</v>
      </c>
      <c r="R757" s="13">
        <v>21000</v>
      </c>
      <c r="S757" s="13">
        <v>12600</v>
      </c>
    </row>
    <row r="758" spans="1:19">
      <c r="A758" s="9" t="s">
        <v>23</v>
      </c>
      <c r="B758" s="9" t="s">
        <v>27</v>
      </c>
      <c r="C758" s="9" t="s">
        <v>135</v>
      </c>
      <c r="D758" t="s">
        <v>204</v>
      </c>
      <c r="F758" s="12" t="s">
        <v>2260</v>
      </c>
      <c r="G758" s="10" t="s">
        <v>677</v>
      </c>
      <c r="H758" s="10" t="s">
        <v>677</v>
      </c>
      <c r="K758" t="s">
        <v>19</v>
      </c>
      <c r="L758" t="s">
        <v>20</v>
      </c>
      <c r="M758" s="9">
        <v>8481801</v>
      </c>
      <c r="N758" t="s">
        <v>3477</v>
      </c>
      <c r="O758">
        <v>18</v>
      </c>
      <c r="P758" t="s">
        <v>3477</v>
      </c>
      <c r="Q758">
        <v>18</v>
      </c>
      <c r="R758" s="13">
        <v>23500</v>
      </c>
      <c r="S758" s="13">
        <v>14100</v>
      </c>
    </row>
    <row r="759" spans="1:19">
      <c r="A759" s="9" t="s">
        <v>23</v>
      </c>
      <c r="B759" s="9" t="s">
        <v>27</v>
      </c>
      <c r="C759" s="9" t="s">
        <v>135</v>
      </c>
      <c r="D759" t="s">
        <v>204</v>
      </c>
      <c r="F759" s="12" t="s">
        <v>2261</v>
      </c>
      <c r="G759" s="10" t="s">
        <v>677</v>
      </c>
      <c r="H759" s="10" t="s">
        <v>677</v>
      </c>
      <c r="K759" t="s">
        <v>19</v>
      </c>
      <c r="L759" t="s">
        <v>20</v>
      </c>
      <c r="M759" s="9">
        <v>8481801</v>
      </c>
      <c r="N759" t="s">
        <v>3477</v>
      </c>
      <c r="O759">
        <v>18</v>
      </c>
      <c r="P759" t="s">
        <v>3477</v>
      </c>
      <c r="Q759">
        <v>18</v>
      </c>
      <c r="R759" s="13">
        <v>25200</v>
      </c>
      <c r="S759" s="13">
        <v>15120</v>
      </c>
    </row>
    <row r="760" spans="1:19">
      <c r="A760" s="9" t="s">
        <v>23</v>
      </c>
      <c r="B760" s="9" t="s">
        <v>27</v>
      </c>
      <c r="C760" s="9" t="s">
        <v>135</v>
      </c>
      <c r="D760" t="s">
        <v>204</v>
      </c>
      <c r="F760" s="12" t="s">
        <v>2262</v>
      </c>
      <c r="G760" s="10" t="s">
        <v>677</v>
      </c>
      <c r="H760" s="10" t="s">
        <v>677</v>
      </c>
      <c r="K760" t="s">
        <v>19</v>
      </c>
      <c r="L760" t="s">
        <v>20</v>
      </c>
      <c r="M760" s="9">
        <v>8481801</v>
      </c>
      <c r="N760" t="s">
        <v>3477</v>
      </c>
      <c r="O760">
        <v>18</v>
      </c>
      <c r="P760" t="s">
        <v>3477</v>
      </c>
      <c r="Q760">
        <v>18</v>
      </c>
      <c r="R760" s="13">
        <v>25200</v>
      </c>
      <c r="S760" s="13">
        <v>15120</v>
      </c>
    </row>
    <row r="761" spans="1:19">
      <c r="A761" s="9" t="s">
        <v>23</v>
      </c>
      <c r="B761" s="9" t="s">
        <v>27</v>
      </c>
      <c r="C761" s="9" t="s">
        <v>135</v>
      </c>
      <c r="D761" t="s">
        <v>204</v>
      </c>
      <c r="F761" s="12" t="s">
        <v>2263</v>
      </c>
      <c r="G761" s="10" t="s">
        <v>677</v>
      </c>
      <c r="H761" s="10" t="s">
        <v>677</v>
      </c>
      <c r="K761" t="s">
        <v>19</v>
      </c>
      <c r="L761" t="s">
        <v>20</v>
      </c>
      <c r="M761" s="9">
        <v>8481801</v>
      </c>
      <c r="N761" t="s">
        <v>3477</v>
      </c>
      <c r="O761">
        <v>18</v>
      </c>
      <c r="P761" t="s">
        <v>3477</v>
      </c>
      <c r="Q761">
        <v>18</v>
      </c>
      <c r="R761" s="13">
        <v>16800</v>
      </c>
      <c r="S761" s="13">
        <v>10080</v>
      </c>
    </row>
    <row r="762" spans="1:19">
      <c r="A762" s="9" t="s">
        <v>23</v>
      </c>
      <c r="B762" s="9" t="s">
        <v>27</v>
      </c>
      <c r="C762" s="9" t="s">
        <v>135</v>
      </c>
      <c r="D762" t="s">
        <v>204</v>
      </c>
      <c r="F762" s="12" t="s">
        <v>2264</v>
      </c>
      <c r="G762" s="10" t="s">
        <v>677</v>
      </c>
      <c r="H762" s="10" t="s">
        <v>677</v>
      </c>
      <c r="K762" t="s">
        <v>19</v>
      </c>
      <c r="L762" t="s">
        <v>20</v>
      </c>
      <c r="M762" s="9">
        <v>8481801</v>
      </c>
      <c r="N762" t="s">
        <v>3477</v>
      </c>
      <c r="O762">
        <v>18</v>
      </c>
      <c r="P762" t="s">
        <v>3477</v>
      </c>
      <c r="Q762">
        <v>18</v>
      </c>
      <c r="R762" s="13">
        <v>23500</v>
      </c>
      <c r="S762" s="13">
        <v>14100</v>
      </c>
    </row>
    <row r="763" spans="1:19">
      <c r="A763" s="9" t="s">
        <v>23</v>
      </c>
      <c r="B763" s="9" t="s">
        <v>27</v>
      </c>
      <c r="C763" s="9" t="s">
        <v>135</v>
      </c>
      <c r="D763" t="s">
        <v>204</v>
      </c>
      <c r="F763" s="12" t="s">
        <v>2265</v>
      </c>
      <c r="G763" s="10" t="s">
        <v>678</v>
      </c>
      <c r="H763" s="10" t="s">
        <v>678</v>
      </c>
      <c r="K763" t="s">
        <v>19</v>
      </c>
      <c r="L763" t="s">
        <v>20</v>
      </c>
      <c r="M763" s="9">
        <v>39229</v>
      </c>
      <c r="N763" t="s">
        <v>3477</v>
      </c>
      <c r="O763">
        <v>18</v>
      </c>
      <c r="P763" t="s">
        <v>3477</v>
      </c>
      <c r="Q763">
        <v>18</v>
      </c>
      <c r="R763" s="13">
        <v>24000</v>
      </c>
      <c r="S763" s="13">
        <v>14400</v>
      </c>
    </row>
    <row r="764" spans="1:19">
      <c r="A764" s="9" t="s">
        <v>23</v>
      </c>
      <c r="B764" s="9" t="s">
        <v>27</v>
      </c>
      <c r="C764" s="9" t="s">
        <v>58</v>
      </c>
      <c r="D764" t="s">
        <v>204</v>
      </c>
      <c r="F764" s="12" t="s">
        <v>2266</v>
      </c>
      <c r="G764" s="10" t="s">
        <v>678</v>
      </c>
      <c r="H764" s="10" t="s">
        <v>678</v>
      </c>
      <c r="K764" t="s">
        <v>19</v>
      </c>
      <c r="L764" t="s">
        <v>20</v>
      </c>
      <c r="M764" s="9">
        <v>7418202</v>
      </c>
      <c r="N764" t="s">
        <v>3477</v>
      </c>
      <c r="O764">
        <v>18</v>
      </c>
      <c r="P764" t="s">
        <v>3477</v>
      </c>
      <c r="Q764">
        <v>18</v>
      </c>
      <c r="R764" s="13">
        <v>255000</v>
      </c>
      <c r="S764" s="13">
        <v>153000</v>
      </c>
    </row>
    <row r="765" spans="1:19">
      <c r="A765" s="9" t="s">
        <v>23</v>
      </c>
      <c r="B765" s="9" t="s">
        <v>27</v>
      </c>
      <c r="C765" s="9" t="s">
        <v>58</v>
      </c>
      <c r="D765" t="s">
        <v>204</v>
      </c>
      <c r="F765" s="12" t="s">
        <v>2267</v>
      </c>
      <c r="G765" s="10" t="s">
        <v>678</v>
      </c>
      <c r="H765" s="10" t="s">
        <v>678</v>
      </c>
      <c r="K765" t="s">
        <v>19</v>
      </c>
      <c r="L765" t="s">
        <v>20</v>
      </c>
      <c r="M765" s="9">
        <v>7418202</v>
      </c>
      <c r="N765" t="s">
        <v>3477</v>
      </c>
      <c r="O765">
        <v>18</v>
      </c>
      <c r="P765" t="s">
        <v>3477</v>
      </c>
      <c r="Q765">
        <v>18</v>
      </c>
      <c r="R765" s="13">
        <v>212500</v>
      </c>
      <c r="S765" s="13">
        <v>127500</v>
      </c>
    </row>
    <row r="766" spans="1:19">
      <c r="A766" s="9" t="s">
        <v>23</v>
      </c>
      <c r="B766" s="9" t="s">
        <v>27</v>
      </c>
      <c r="C766" s="9" t="s">
        <v>58</v>
      </c>
      <c r="D766" t="s">
        <v>204</v>
      </c>
      <c r="F766" s="12" t="s">
        <v>2268</v>
      </c>
      <c r="G766" s="10" t="s">
        <v>678</v>
      </c>
      <c r="H766" s="10" t="s">
        <v>678</v>
      </c>
      <c r="K766" t="s">
        <v>19</v>
      </c>
      <c r="L766" t="s">
        <v>20</v>
      </c>
      <c r="M766" s="9">
        <v>7418202</v>
      </c>
      <c r="N766" t="s">
        <v>3477</v>
      </c>
      <c r="O766">
        <v>18</v>
      </c>
      <c r="P766" t="s">
        <v>3477</v>
      </c>
      <c r="Q766">
        <v>18</v>
      </c>
      <c r="R766" s="13">
        <v>238000</v>
      </c>
      <c r="S766" s="13">
        <v>142800</v>
      </c>
    </row>
    <row r="767" spans="1:19">
      <c r="A767" s="9" t="s">
        <v>23</v>
      </c>
      <c r="B767" s="9" t="s">
        <v>27</v>
      </c>
      <c r="C767" s="9" t="s">
        <v>58</v>
      </c>
      <c r="D767" t="s">
        <v>204</v>
      </c>
      <c r="F767" s="12" t="s">
        <v>2269</v>
      </c>
      <c r="G767" s="10" t="s">
        <v>678</v>
      </c>
      <c r="H767" s="10" t="s">
        <v>678</v>
      </c>
      <c r="K767" t="s">
        <v>19</v>
      </c>
      <c r="L767" t="s">
        <v>20</v>
      </c>
      <c r="M767" s="9">
        <v>7418202</v>
      </c>
      <c r="N767" t="s">
        <v>3477</v>
      </c>
      <c r="O767">
        <v>18</v>
      </c>
      <c r="P767" t="s">
        <v>3477</v>
      </c>
      <c r="Q767">
        <v>18</v>
      </c>
      <c r="R767" s="13">
        <v>170000</v>
      </c>
      <c r="S767" s="13">
        <v>102000</v>
      </c>
    </row>
    <row r="768" spans="1:19">
      <c r="A768" s="9" t="s">
        <v>23</v>
      </c>
      <c r="B768" s="9" t="s">
        <v>27</v>
      </c>
      <c r="C768" s="9" t="s">
        <v>58</v>
      </c>
      <c r="D768" t="s">
        <v>204</v>
      </c>
      <c r="F768" s="12" t="s">
        <v>2270</v>
      </c>
      <c r="G768" s="10" t="s">
        <v>679</v>
      </c>
      <c r="H768" s="10" t="s">
        <v>679</v>
      </c>
      <c r="K768" t="s">
        <v>19</v>
      </c>
      <c r="L768" t="s">
        <v>20</v>
      </c>
      <c r="M768" s="9">
        <v>7418202</v>
      </c>
      <c r="N768" t="s">
        <v>3477</v>
      </c>
      <c r="O768">
        <v>18</v>
      </c>
      <c r="P768" t="s">
        <v>3477</v>
      </c>
      <c r="Q768">
        <v>18</v>
      </c>
      <c r="R768" s="13">
        <v>238000</v>
      </c>
      <c r="S768" s="13">
        <v>142800</v>
      </c>
    </row>
    <row r="769" spans="1:19">
      <c r="A769" s="9" t="s">
        <v>23</v>
      </c>
      <c r="B769" s="9" t="s">
        <v>27</v>
      </c>
      <c r="C769" s="9" t="s">
        <v>58</v>
      </c>
      <c r="D769" t="s">
        <v>204</v>
      </c>
      <c r="F769" s="12" t="s">
        <v>2271</v>
      </c>
      <c r="G769" s="10" t="s">
        <v>680</v>
      </c>
      <c r="H769" s="10" t="s">
        <v>680</v>
      </c>
      <c r="K769" t="s">
        <v>19</v>
      </c>
      <c r="L769" t="s">
        <v>20</v>
      </c>
      <c r="M769" s="9">
        <v>7418202</v>
      </c>
      <c r="N769" t="s">
        <v>3477</v>
      </c>
      <c r="O769">
        <v>18</v>
      </c>
      <c r="P769" t="s">
        <v>3477</v>
      </c>
      <c r="Q769">
        <v>18</v>
      </c>
      <c r="R769" s="13">
        <v>15000</v>
      </c>
      <c r="S769" s="13">
        <v>9000</v>
      </c>
    </row>
    <row r="770" spans="1:19">
      <c r="A770" s="9" t="s">
        <v>23</v>
      </c>
      <c r="B770" s="9" t="s">
        <v>27</v>
      </c>
      <c r="C770" s="9" t="s">
        <v>148</v>
      </c>
      <c r="D770" t="s">
        <v>204</v>
      </c>
      <c r="F770" s="12" t="s">
        <v>2272</v>
      </c>
      <c r="G770" s="10" t="s">
        <v>681</v>
      </c>
      <c r="H770" s="10" t="s">
        <v>681</v>
      </c>
      <c r="K770" t="s">
        <v>19</v>
      </c>
      <c r="L770" t="s">
        <v>20</v>
      </c>
      <c r="M770" s="9">
        <v>39229</v>
      </c>
      <c r="N770" t="s">
        <v>3477</v>
      </c>
      <c r="O770">
        <v>18</v>
      </c>
      <c r="P770" t="s">
        <v>3477</v>
      </c>
      <c r="Q770">
        <v>18</v>
      </c>
      <c r="R770" s="13">
        <v>18400</v>
      </c>
      <c r="S770" s="13">
        <v>11040</v>
      </c>
    </row>
    <row r="771" spans="1:19">
      <c r="A771" s="9" t="s">
        <v>23</v>
      </c>
      <c r="B771" s="9" t="s">
        <v>27</v>
      </c>
      <c r="C771" s="9" t="s">
        <v>143</v>
      </c>
      <c r="D771" t="s">
        <v>204</v>
      </c>
      <c r="F771" s="12" t="s">
        <v>2273</v>
      </c>
      <c r="G771" s="10" t="s">
        <v>682</v>
      </c>
      <c r="H771" s="10" t="s">
        <v>682</v>
      </c>
      <c r="K771" t="s">
        <v>19</v>
      </c>
      <c r="L771" t="s">
        <v>20</v>
      </c>
      <c r="M771" s="9">
        <v>8302419</v>
      </c>
      <c r="N771" t="s">
        <v>3477</v>
      </c>
      <c r="O771">
        <v>18</v>
      </c>
      <c r="P771" t="s">
        <v>3477</v>
      </c>
      <c r="Q771">
        <v>18</v>
      </c>
      <c r="R771" s="13">
        <v>28100</v>
      </c>
      <c r="S771" s="13">
        <v>16860</v>
      </c>
    </row>
    <row r="772" spans="1:19">
      <c r="A772" s="9" t="s">
        <v>23</v>
      </c>
      <c r="B772" s="9" t="s">
        <v>27</v>
      </c>
      <c r="C772" s="9" t="s">
        <v>58</v>
      </c>
      <c r="D772" t="s">
        <v>204</v>
      </c>
      <c r="F772" s="12" t="s">
        <v>2274</v>
      </c>
      <c r="G772" s="10" t="s">
        <v>683</v>
      </c>
      <c r="H772" s="10" t="s">
        <v>683</v>
      </c>
      <c r="K772" t="s">
        <v>19</v>
      </c>
      <c r="L772" t="s">
        <v>20</v>
      </c>
      <c r="M772" s="9">
        <v>8481802</v>
      </c>
      <c r="N772" t="s">
        <v>3477</v>
      </c>
      <c r="O772">
        <v>18</v>
      </c>
      <c r="P772" t="s">
        <v>3477</v>
      </c>
      <c r="Q772">
        <v>18</v>
      </c>
      <c r="R772" s="13">
        <v>15000</v>
      </c>
      <c r="S772" s="13">
        <v>9000</v>
      </c>
    </row>
    <row r="773" spans="1:19">
      <c r="A773" s="9" t="s">
        <v>22</v>
      </c>
      <c r="B773" s="9" t="s">
        <v>27</v>
      </c>
      <c r="C773" s="9" t="s">
        <v>58</v>
      </c>
      <c r="D773" t="s">
        <v>204</v>
      </c>
      <c r="F773" s="12" t="s">
        <v>2275</v>
      </c>
      <c r="G773" s="10" t="s">
        <v>683</v>
      </c>
      <c r="H773" s="10" t="s">
        <v>683</v>
      </c>
      <c r="K773" t="s">
        <v>19</v>
      </c>
      <c r="L773" t="s">
        <v>20</v>
      </c>
      <c r="M773" s="9">
        <v>8481802</v>
      </c>
      <c r="N773" t="s">
        <v>3477</v>
      </c>
      <c r="O773">
        <v>18</v>
      </c>
      <c r="P773" t="s">
        <v>3477</v>
      </c>
      <c r="Q773">
        <v>18</v>
      </c>
      <c r="R773" s="13">
        <v>4350</v>
      </c>
      <c r="S773" s="13">
        <v>3045</v>
      </c>
    </row>
    <row r="774" spans="1:19">
      <c r="A774" s="9" t="s">
        <v>22</v>
      </c>
      <c r="B774" s="9" t="s">
        <v>27</v>
      </c>
      <c r="C774" s="9" t="s">
        <v>58</v>
      </c>
      <c r="D774" t="s">
        <v>204</v>
      </c>
      <c r="F774" s="12" t="s">
        <v>2276</v>
      </c>
      <c r="G774" s="10" t="s">
        <v>683</v>
      </c>
      <c r="H774" s="10" t="s">
        <v>683</v>
      </c>
      <c r="K774" t="s">
        <v>19</v>
      </c>
      <c r="L774" t="s">
        <v>20</v>
      </c>
      <c r="M774" s="9">
        <v>7418201</v>
      </c>
      <c r="N774" t="s">
        <v>3477</v>
      </c>
      <c r="O774">
        <v>18</v>
      </c>
      <c r="P774" t="s">
        <v>3477</v>
      </c>
      <c r="Q774">
        <v>18</v>
      </c>
      <c r="R774" s="13">
        <v>4650</v>
      </c>
      <c r="S774" s="13">
        <v>3255</v>
      </c>
    </row>
    <row r="775" spans="1:19">
      <c r="A775" s="9" t="s">
        <v>22</v>
      </c>
      <c r="B775" s="9" t="s">
        <v>27</v>
      </c>
      <c r="C775" s="9" t="s">
        <v>58</v>
      </c>
      <c r="D775" t="s">
        <v>204</v>
      </c>
      <c r="F775" s="12" t="s">
        <v>2277</v>
      </c>
      <c r="G775" s="10" t="s">
        <v>683</v>
      </c>
      <c r="H775" s="10" t="s">
        <v>683</v>
      </c>
      <c r="K775" t="s">
        <v>19</v>
      </c>
      <c r="L775" t="s">
        <v>20</v>
      </c>
      <c r="M775" s="9">
        <v>7418202</v>
      </c>
      <c r="N775" t="s">
        <v>3477</v>
      </c>
      <c r="O775">
        <v>18</v>
      </c>
      <c r="P775" t="s">
        <v>3477</v>
      </c>
      <c r="Q775">
        <v>18</v>
      </c>
      <c r="R775" s="13">
        <v>4650</v>
      </c>
      <c r="S775" s="13">
        <v>3255</v>
      </c>
    </row>
    <row r="776" spans="1:19">
      <c r="A776" s="9" t="s">
        <v>22</v>
      </c>
      <c r="B776" s="9" t="s">
        <v>27</v>
      </c>
      <c r="C776" s="9" t="s">
        <v>58</v>
      </c>
      <c r="D776" t="s">
        <v>204</v>
      </c>
      <c r="F776" s="12" t="s">
        <v>2278</v>
      </c>
      <c r="G776" s="10" t="s">
        <v>684</v>
      </c>
      <c r="H776" s="10" t="s">
        <v>684</v>
      </c>
      <c r="K776" t="s">
        <v>19</v>
      </c>
      <c r="L776" t="s">
        <v>20</v>
      </c>
      <c r="M776" s="9">
        <v>7418202</v>
      </c>
      <c r="N776" t="s">
        <v>3477</v>
      </c>
      <c r="O776">
        <v>18</v>
      </c>
      <c r="P776" t="s">
        <v>3477</v>
      </c>
      <c r="Q776">
        <v>18</v>
      </c>
      <c r="R776" s="13">
        <v>4350</v>
      </c>
      <c r="S776" s="13">
        <v>3045</v>
      </c>
    </row>
    <row r="777" spans="1:19">
      <c r="A777" s="9" t="s">
        <v>23</v>
      </c>
      <c r="B777" s="9" t="s">
        <v>27</v>
      </c>
      <c r="C777" s="9" t="s">
        <v>58</v>
      </c>
      <c r="D777" t="s">
        <v>204</v>
      </c>
      <c r="F777" s="12" t="s">
        <v>2279</v>
      </c>
      <c r="G777" s="10" t="s">
        <v>685</v>
      </c>
      <c r="H777" s="10" t="s">
        <v>685</v>
      </c>
      <c r="K777" t="s">
        <v>19</v>
      </c>
      <c r="L777" t="s">
        <v>20</v>
      </c>
      <c r="M777" s="9">
        <v>7418202</v>
      </c>
      <c r="N777" t="s">
        <v>3477</v>
      </c>
      <c r="O777">
        <v>18</v>
      </c>
      <c r="P777" t="s">
        <v>3477</v>
      </c>
      <c r="Q777">
        <v>18</v>
      </c>
      <c r="R777" s="13">
        <v>10000</v>
      </c>
      <c r="S777" s="13">
        <v>6000</v>
      </c>
    </row>
    <row r="778" spans="1:19">
      <c r="A778" s="9" t="s">
        <v>22</v>
      </c>
      <c r="B778" s="9" t="s">
        <v>27</v>
      </c>
      <c r="C778" s="9" t="s">
        <v>58</v>
      </c>
      <c r="D778" t="s">
        <v>204</v>
      </c>
      <c r="F778" s="12" t="s">
        <v>2280</v>
      </c>
      <c r="G778" s="10" t="s">
        <v>685</v>
      </c>
      <c r="H778" s="10" t="s">
        <v>685</v>
      </c>
      <c r="K778" t="s">
        <v>19</v>
      </c>
      <c r="L778" t="s">
        <v>20</v>
      </c>
      <c r="M778" s="9">
        <v>7418201</v>
      </c>
      <c r="N778" t="s">
        <v>3477</v>
      </c>
      <c r="O778">
        <v>18</v>
      </c>
      <c r="P778" t="s">
        <v>3477</v>
      </c>
      <c r="Q778">
        <v>18</v>
      </c>
      <c r="R778" s="13">
        <v>23130</v>
      </c>
      <c r="S778" s="13">
        <v>16190.999999999998</v>
      </c>
    </row>
    <row r="779" spans="1:19">
      <c r="A779" s="9" t="s">
        <v>22</v>
      </c>
      <c r="B779" s="9" t="s">
        <v>27</v>
      </c>
      <c r="C779" s="9" t="s">
        <v>58</v>
      </c>
      <c r="D779" t="s">
        <v>204</v>
      </c>
      <c r="F779" s="12" t="s">
        <v>2281</v>
      </c>
      <c r="G779" s="10" t="s">
        <v>685</v>
      </c>
      <c r="H779" s="10" t="s">
        <v>685</v>
      </c>
      <c r="K779" t="s">
        <v>19</v>
      </c>
      <c r="L779" t="s">
        <v>20</v>
      </c>
      <c r="M779" s="9">
        <v>7418202</v>
      </c>
      <c r="N779" t="s">
        <v>3477</v>
      </c>
      <c r="O779">
        <v>18</v>
      </c>
      <c r="P779" t="s">
        <v>3477</v>
      </c>
      <c r="Q779">
        <v>18</v>
      </c>
      <c r="R779" s="13">
        <v>26000</v>
      </c>
      <c r="S779" s="13">
        <v>18200</v>
      </c>
    </row>
    <row r="780" spans="1:19">
      <c r="A780" s="9" t="s">
        <v>22</v>
      </c>
      <c r="B780" s="9" t="s">
        <v>27</v>
      </c>
      <c r="C780" s="9" t="s">
        <v>58</v>
      </c>
      <c r="D780" t="s">
        <v>204</v>
      </c>
      <c r="F780" s="12" t="s">
        <v>2282</v>
      </c>
      <c r="G780" s="10" t="s">
        <v>685</v>
      </c>
      <c r="H780" s="10" t="s">
        <v>685</v>
      </c>
      <c r="K780" t="s">
        <v>19</v>
      </c>
      <c r="L780" t="s">
        <v>20</v>
      </c>
      <c r="M780" s="9">
        <v>7418201</v>
      </c>
      <c r="N780" t="s">
        <v>3477</v>
      </c>
      <c r="O780">
        <v>18</v>
      </c>
      <c r="P780" t="s">
        <v>3477</v>
      </c>
      <c r="Q780">
        <v>18</v>
      </c>
      <c r="R780" s="13">
        <v>27750</v>
      </c>
      <c r="S780" s="13">
        <v>19425</v>
      </c>
    </row>
    <row r="781" spans="1:19">
      <c r="A781" s="9" t="s">
        <v>22</v>
      </c>
      <c r="B781" s="9" t="s">
        <v>27</v>
      </c>
      <c r="C781" s="9" t="s">
        <v>58</v>
      </c>
      <c r="D781" t="s">
        <v>204</v>
      </c>
      <c r="F781" s="12" t="s">
        <v>2283</v>
      </c>
      <c r="G781" s="10" t="s">
        <v>685</v>
      </c>
      <c r="H781" s="10" t="s">
        <v>685</v>
      </c>
      <c r="K781" t="s">
        <v>19</v>
      </c>
      <c r="L781" t="s">
        <v>20</v>
      </c>
      <c r="M781" s="9">
        <v>7418201</v>
      </c>
      <c r="N781" t="s">
        <v>3477</v>
      </c>
      <c r="O781">
        <v>18</v>
      </c>
      <c r="P781" t="s">
        <v>3477</v>
      </c>
      <c r="Q781">
        <v>18</v>
      </c>
      <c r="R781" s="13">
        <v>27750</v>
      </c>
      <c r="S781" s="13">
        <v>19425</v>
      </c>
    </row>
    <row r="782" spans="1:19">
      <c r="A782" s="9" t="s">
        <v>22</v>
      </c>
      <c r="B782" s="9" t="s">
        <v>27</v>
      </c>
      <c r="C782" s="9" t="s">
        <v>58</v>
      </c>
      <c r="D782" t="s">
        <v>204</v>
      </c>
      <c r="F782" s="12" t="s">
        <v>2284</v>
      </c>
      <c r="G782" s="10" t="s">
        <v>685</v>
      </c>
      <c r="H782" s="10" t="s">
        <v>685</v>
      </c>
      <c r="K782" t="s">
        <v>19</v>
      </c>
      <c r="L782" t="s">
        <v>20</v>
      </c>
      <c r="M782" s="9">
        <v>7418202</v>
      </c>
      <c r="N782" t="s">
        <v>3477</v>
      </c>
      <c r="O782">
        <v>18</v>
      </c>
      <c r="P782" t="s">
        <v>3477</v>
      </c>
      <c r="Q782">
        <v>18</v>
      </c>
      <c r="R782" s="13">
        <v>18500</v>
      </c>
      <c r="S782" s="13">
        <v>12950</v>
      </c>
    </row>
    <row r="783" spans="1:19">
      <c r="A783" s="9" t="s">
        <v>22</v>
      </c>
      <c r="B783" s="9" t="s">
        <v>27</v>
      </c>
      <c r="C783" s="9" t="s">
        <v>58</v>
      </c>
      <c r="D783" t="s">
        <v>204</v>
      </c>
      <c r="F783" s="12" t="s">
        <v>2285</v>
      </c>
      <c r="G783" s="10" t="s">
        <v>685</v>
      </c>
      <c r="H783" s="10" t="s">
        <v>685</v>
      </c>
      <c r="K783" t="s">
        <v>19</v>
      </c>
      <c r="L783" t="s">
        <v>20</v>
      </c>
      <c r="M783" s="9">
        <v>7418201</v>
      </c>
      <c r="N783" t="s">
        <v>3477</v>
      </c>
      <c r="O783">
        <v>18</v>
      </c>
      <c r="P783" t="s">
        <v>3477</v>
      </c>
      <c r="Q783">
        <v>18</v>
      </c>
      <c r="R783" s="13">
        <v>26000</v>
      </c>
      <c r="S783" s="13">
        <v>18200</v>
      </c>
    </row>
    <row r="784" spans="1:19">
      <c r="A784" s="9" t="s">
        <v>23</v>
      </c>
      <c r="B784" s="9" t="s">
        <v>27</v>
      </c>
      <c r="C784" s="9" t="s">
        <v>58</v>
      </c>
      <c r="D784" t="s">
        <v>204</v>
      </c>
      <c r="F784" s="12" t="s">
        <v>2286</v>
      </c>
      <c r="G784" s="10" t="s">
        <v>686</v>
      </c>
      <c r="H784" s="10" t="s">
        <v>686</v>
      </c>
      <c r="K784" t="s">
        <v>19</v>
      </c>
      <c r="L784" t="s">
        <v>20</v>
      </c>
      <c r="M784" s="9">
        <v>7418202</v>
      </c>
      <c r="N784" t="s">
        <v>3477</v>
      </c>
      <c r="O784">
        <v>18</v>
      </c>
      <c r="P784" t="s">
        <v>3477</v>
      </c>
      <c r="Q784">
        <v>18</v>
      </c>
      <c r="R784" s="13">
        <v>27000</v>
      </c>
      <c r="S784" s="13">
        <v>16200</v>
      </c>
    </row>
    <row r="785" spans="1:19">
      <c r="A785" s="9" t="s">
        <v>22</v>
      </c>
      <c r="B785" s="9" t="s">
        <v>27</v>
      </c>
      <c r="C785" s="9" t="s">
        <v>58</v>
      </c>
      <c r="D785" t="s">
        <v>204</v>
      </c>
      <c r="F785" s="12" t="s">
        <v>2287</v>
      </c>
      <c r="G785" s="10" t="s">
        <v>687</v>
      </c>
      <c r="H785" s="10" t="s">
        <v>687</v>
      </c>
      <c r="K785" t="s">
        <v>19</v>
      </c>
      <c r="L785" t="s">
        <v>20</v>
      </c>
      <c r="M785" s="9">
        <v>7418201</v>
      </c>
      <c r="N785" t="s">
        <v>3477</v>
      </c>
      <c r="O785">
        <v>18</v>
      </c>
      <c r="P785" t="s">
        <v>3477</v>
      </c>
      <c r="Q785">
        <v>18</v>
      </c>
      <c r="R785" s="13">
        <v>25200</v>
      </c>
      <c r="S785" s="13">
        <v>17640</v>
      </c>
    </row>
    <row r="786" spans="1:19">
      <c r="A786" s="9" t="s">
        <v>23</v>
      </c>
      <c r="B786" s="9" t="s">
        <v>27</v>
      </c>
      <c r="C786" s="9" t="s">
        <v>58</v>
      </c>
      <c r="D786" t="s">
        <v>204</v>
      </c>
      <c r="F786" s="12" t="s">
        <v>2288</v>
      </c>
      <c r="G786" s="10" t="s">
        <v>686</v>
      </c>
      <c r="H786" s="10" t="s">
        <v>686</v>
      </c>
      <c r="K786" t="s">
        <v>19</v>
      </c>
      <c r="L786" t="s">
        <v>20</v>
      </c>
      <c r="M786" s="9">
        <v>7418202</v>
      </c>
      <c r="N786" t="s">
        <v>3477</v>
      </c>
      <c r="O786">
        <v>18</v>
      </c>
      <c r="P786" t="s">
        <v>3477</v>
      </c>
      <c r="Q786">
        <v>18</v>
      </c>
      <c r="R786" s="13">
        <v>20000</v>
      </c>
      <c r="S786" s="13">
        <v>12000</v>
      </c>
    </row>
    <row r="787" spans="1:19">
      <c r="A787" s="9" t="s">
        <v>22</v>
      </c>
      <c r="B787" s="9" t="s">
        <v>27</v>
      </c>
      <c r="C787" s="9" t="s">
        <v>58</v>
      </c>
      <c r="D787" t="s">
        <v>204</v>
      </c>
      <c r="F787" s="12" t="s">
        <v>2289</v>
      </c>
      <c r="G787" s="10" t="s">
        <v>687</v>
      </c>
      <c r="H787" s="10" t="s">
        <v>687</v>
      </c>
      <c r="K787" t="s">
        <v>19</v>
      </c>
      <c r="L787" t="s">
        <v>20</v>
      </c>
      <c r="M787" s="9">
        <v>8481802</v>
      </c>
      <c r="N787" t="s">
        <v>3477</v>
      </c>
      <c r="O787">
        <v>18</v>
      </c>
      <c r="P787" t="s">
        <v>3477</v>
      </c>
      <c r="Q787">
        <v>18</v>
      </c>
      <c r="R787" s="13">
        <v>23125</v>
      </c>
      <c r="S787" s="13">
        <v>16187.499999999998</v>
      </c>
    </row>
    <row r="788" spans="1:19">
      <c r="A788" s="9" t="s">
        <v>22</v>
      </c>
      <c r="B788" s="9" t="s">
        <v>27</v>
      </c>
      <c r="C788" s="9" t="s">
        <v>58</v>
      </c>
      <c r="D788" t="s">
        <v>204</v>
      </c>
      <c r="F788" s="12" t="s">
        <v>2290</v>
      </c>
      <c r="G788" s="10" t="s">
        <v>687</v>
      </c>
      <c r="H788" s="10" t="s">
        <v>687</v>
      </c>
      <c r="K788" t="s">
        <v>19</v>
      </c>
      <c r="L788" t="s">
        <v>20</v>
      </c>
      <c r="M788" s="9">
        <v>8481801</v>
      </c>
      <c r="N788" t="s">
        <v>3477</v>
      </c>
      <c r="O788">
        <v>18</v>
      </c>
      <c r="P788" t="s">
        <v>3477</v>
      </c>
      <c r="Q788">
        <v>18</v>
      </c>
      <c r="R788" s="13">
        <v>25900</v>
      </c>
      <c r="S788" s="13">
        <v>18130</v>
      </c>
    </row>
    <row r="789" spans="1:19">
      <c r="A789" s="9" t="s">
        <v>22</v>
      </c>
      <c r="B789" s="9" t="s">
        <v>27</v>
      </c>
      <c r="C789" s="9" t="s">
        <v>58</v>
      </c>
      <c r="D789" t="s">
        <v>204</v>
      </c>
      <c r="F789" s="12" t="s">
        <v>2291</v>
      </c>
      <c r="G789" s="10" t="s">
        <v>686</v>
      </c>
      <c r="H789" s="10" t="s">
        <v>686</v>
      </c>
      <c r="K789" t="s">
        <v>19</v>
      </c>
      <c r="L789" t="s">
        <v>20</v>
      </c>
      <c r="M789" s="9">
        <v>8481801</v>
      </c>
      <c r="N789" t="s">
        <v>3477</v>
      </c>
      <c r="O789">
        <v>18</v>
      </c>
      <c r="P789" t="s">
        <v>3477</v>
      </c>
      <c r="Q789">
        <v>18</v>
      </c>
      <c r="R789" s="13">
        <v>18500</v>
      </c>
      <c r="S789" s="13">
        <v>12950</v>
      </c>
    </row>
    <row r="790" spans="1:19">
      <c r="A790" s="9" t="s">
        <v>22</v>
      </c>
      <c r="B790" s="9" t="s">
        <v>27</v>
      </c>
      <c r="C790" s="9" t="s">
        <v>58</v>
      </c>
      <c r="D790" t="s">
        <v>204</v>
      </c>
      <c r="F790" s="12" t="s">
        <v>2292</v>
      </c>
      <c r="G790" s="10" t="s">
        <v>688</v>
      </c>
      <c r="H790" s="10" t="s">
        <v>688</v>
      </c>
      <c r="K790" t="s">
        <v>19</v>
      </c>
      <c r="L790" t="s">
        <v>20</v>
      </c>
      <c r="M790" s="9">
        <v>8481801</v>
      </c>
      <c r="N790" t="s">
        <v>3477</v>
      </c>
      <c r="O790">
        <v>18</v>
      </c>
      <c r="P790" t="s">
        <v>3477</v>
      </c>
      <c r="Q790">
        <v>18</v>
      </c>
      <c r="R790" s="13">
        <v>25900</v>
      </c>
      <c r="S790" s="13">
        <v>18130</v>
      </c>
    </row>
    <row r="791" spans="1:19">
      <c r="A791" s="9" t="s">
        <v>23</v>
      </c>
      <c r="B791" s="9" t="s">
        <v>27</v>
      </c>
      <c r="C791" s="9" t="s">
        <v>94</v>
      </c>
      <c r="D791" t="s">
        <v>204</v>
      </c>
      <c r="F791" s="12" t="s">
        <v>2293</v>
      </c>
      <c r="G791" s="10" t="s">
        <v>689</v>
      </c>
      <c r="H791" s="10" t="s">
        <v>689</v>
      </c>
      <c r="K791" t="s">
        <v>19</v>
      </c>
      <c r="L791" t="s">
        <v>20</v>
      </c>
      <c r="M791" s="9">
        <v>39229</v>
      </c>
      <c r="N791" t="s">
        <v>3477</v>
      </c>
      <c r="O791">
        <v>18</v>
      </c>
      <c r="P791" t="s">
        <v>3477</v>
      </c>
      <c r="Q791">
        <v>18</v>
      </c>
      <c r="R791" s="13">
        <v>179000</v>
      </c>
      <c r="S791" s="13">
        <v>107400</v>
      </c>
    </row>
    <row r="792" spans="1:19">
      <c r="A792" s="9" t="s">
        <v>23</v>
      </c>
      <c r="B792" s="9" t="s">
        <v>27</v>
      </c>
      <c r="C792" s="9" t="s">
        <v>63</v>
      </c>
      <c r="D792" t="s">
        <v>204</v>
      </c>
      <c r="F792" s="12" t="s">
        <v>2294</v>
      </c>
      <c r="G792" s="10" t="s">
        <v>690</v>
      </c>
      <c r="H792" s="10" t="s">
        <v>690</v>
      </c>
      <c r="K792" t="s">
        <v>19</v>
      </c>
      <c r="L792" t="s">
        <v>20</v>
      </c>
      <c r="M792" s="9">
        <v>8481802</v>
      </c>
      <c r="N792" t="s">
        <v>3477</v>
      </c>
      <c r="O792">
        <v>18</v>
      </c>
      <c r="P792" t="s">
        <v>3477</v>
      </c>
      <c r="Q792">
        <v>18</v>
      </c>
      <c r="R792" s="13">
        <v>53000</v>
      </c>
      <c r="S792" s="13">
        <v>31800</v>
      </c>
    </row>
    <row r="793" spans="1:19">
      <c r="A793" s="9" t="s">
        <v>23</v>
      </c>
      <c r="B793" s="9" t="s">
        <v>27</v>
      </c>
      <c r="C793" s="9" t="s">
        <v>63</v>
      </c>
      <c r="D793" t="s">
        <v>204</v>
      </c>
      <c r="F793" s="12" t="s">
        <v>2295</v>
      </c>
      <c r="G793" s="10" t="s">
        <v>691</v>
      </c>
      <c r="H793" s="10" t="s">
        <v>691</v>
      </c>
      <c r="K793" t="s">
        <v>19</v>
      </c>
      <c r="L793" t="s">
        <v>20</v>
      </c>
      <c r="M793" s="9">
        <v>8481802</v>
      </c>
      <c r="N793" t="s">
        <v>3477</v>
      </c>
      <c r="O793">
        <v>18</v>
      </c>
      <c r="P793" t="s">
        <v>3477</v>
      </c>
      <c r="Q793">
        <v>18</v>
      </c>
      <c r="R793" s="13">
        <v>74000</v>
      </c>
      <c r="S793" s="13">
        <v>44400</v>
      </c>
    </row>
    <row r="794" spans="1:19">
      <c r="A794" s="9" t="s">
        <v>23</v>
      </c>
      <c r="B794" s="9" t="s">
        <v>27</v>
      </c>
      <c r="C794" s="9" t="s">
        <v>63</v>
      </c>
      <c r="D794" t="s">
        <v>204</v>
      </c>
      <c r="F794" s="12" t="s">
        <v>2296</v>
      </c>
      <c r="G794" s="10" t="s">
        <v>692</v>
      </c>
      <c r="H794" s="10" t="s">
        <v>692</v>
      </c>
      <c r="K794" t="s">
        <v>19</v>
      </c>
      <c r="L794" t="s">
        <v>20</v>
      </c>
      <c r="M794" s="9">
        <v>8481802</v>
      </c>
      <c r="N794" t="s">
        <v>3477</v>
      </c>
      <c r="O794">
        <v>18</v>
      </c>
      <c r="P794" t="s">
        <v>3477</v>
      </c>
      <c r="Q794">
        <v>18</v>
      </c>
      <c r="R794" s="13">
        <v>85000</v>
      </c>
      <c r="S794" s="13">
        <v>51000</v>
      </c>
    </row>
    <row r="795" spans="1:19">
      <c r="A795" s="9" t="s">
        <v>23</v>
      </c>
      <c r="B795" s="9" t="s">
        <v>27</v>
      </c>
      <c r="C795" s="9" t="s">
        <v>63</v>
      </c>
      <c r="D795" t="s">
        <v>204</v>
      </c>
      <c r="F795" s="12" t="s">
        <v>2297</v>
      </c>
      <c r="G795" s="10" t="s">
        <v>693</v>
      </c>
      <c r="H795" s="10" t="s">
        <v>693</v>
      </c>
      <c r="K795" t="s">
        <v>19</v>
      </c>
      <c r="L795" t="s">
        <v>20</v>
      </c>
      <c r="M795" s="9">
        <v>8481802</v>
      </c>
      <c r="N795" t="s">
        <v>3477</v>
      </c>
      <c r="O795">
        <v>18</v>
      </c>
      <c r="P795" t="s">
        <v>3477</v>
      </c>
      <c r="Q795">
        <v>18</v>
      </c>
      <c r="R795" s="13">
        <v>95000</v>
      </c>
      <c r="S795" s="13">
        <v>57000</v>
      </c>
    </row>
    <row r="796" spans="1:19">
      <c r="A796" s="9" t="s">
        <v>23</v>
      </c>
      <c r="B796" s="9" t="s">
        <v>27</v>
      </c>
      <c r="C796" s="9" t="s">
        <v>95</v>
      </c>
      <c r="D796" t="s">
        <v>204</v>
      </c>
      <c r="F796" s="12" t="s">
        <v>2298</v>
      </c>
      <c r="G796" s="10" t="s">
        <v>693</v>
      </c>
      <c r="H796" s="10" t="s">
        <v>693</v>
      </c>
      <c r="K796" t="s">
        <v>19</v>
      </c>
      <c r="L796" t="s">
        <v>20</v>
      </c>
      <c r="M796" s="9">
        <v>8481802</v>
      </c>
      <c r="N796" t="s">
        <v>3477</v>
      </c>
      <c r="O796">
        <v>18</v>
      </c>
      <c r="P796" t="s">
        <v>3477</v>
      </c>
      <c r="Q796">
        <v>18</v>
      </c>
      <c r="R796" s="13">
        <v>66250</v>
      </c>
      <c r="S796" s="13">
        <v>39750</v>
      </c>
    </row>
    <row r="797" spans="1:19">
      <c r="A797" s="9" t="s">
        <v>23</v>
      </c>
      <c r="B797" s="9" t="s">
        <v>27</v>
      </c>
      <c r="C797" s="9" t="s">
        <v>95</v>
      </c>
      <c r="D797" t="s">
        <v>204</v>
      </c>
      <c r="F797" s="12" t="s">
        <v>2299</v>
      </c>
      <c r="G797" s="10" t="s">
        <v>693</v>
      </c>
      <c r="H797" s="10" t="s">
        <v>693</v>
      </c>
      <c r="K797" t="s">
        <v>19</v>
      </c>
      <c r="L797" t="s">
        <v>20</v>
      </c>
      <c r="M797" s="9">
        <v>8481802</v>
      </c>
      <c r="N797" t="s">
        <v>3477</v>
      </c>
      <c r="O797">
        <v>18</v>
      </c>
      <c r="P797" t="s">
        <v>3477</v>
      </c>
      <c r="Q797">
        <v>18</v>
      </c>
      <c r="R797" s="13">
        <v>80560</v>
      </c>
      <c r="S797" s="13">
        <v>48336</v>
      </c>
    </row>
    <row r="798" spans="1:19">
      <c r="A798" s="9" t="s">
        <v>23</v>
      </c>
      <c r="B798" s="9" t="s">
        <v>27</v>
      </c>
      <c r="C798" s="9" t="s">
        <v>95</v>
      </c>
      <c r="D798" t="s">
        <v>204</v>
      </c>
      <c r="F798" s="12" t="s">
        <v>2300</v>
      </c>
      <c r="G798" s="10" t="s">
        <v>693</v>
      </c>
      <c r="H798" s="10" t="s">
        <v>693</v>
      </c>
      <c r="K798" t="s">
        <v>19</v>
      </c>
      <c r="L798" t="s">
        <v>20</v>
      </c>
      <c r="M798" s="9">
        <v>8481802</v>
      </c>
      <c r="N798" t="s">
        <v>3477</v>
      </c>
      <c r="O798">
        <v>18</v>
      </c>
      <c r="P798" t="s">
        <v>3477</v>
      </c>
      <c r="Q798">
        <v>18</v>
      </c>
      <c r="R798" s="13">
        <v>90100</v>
      </c>
      <c r="S798" s="13">
        <v>54060</v>
      </c>
    </row>
    <row r="799" spans="1:19">
      <c r="A799" s="9" t="s">
        <v>23</v>
      </c>
      <c r="B799" s="9" t="s">
        <v>27</v>
      </c>
      <c r="C799" s="9" t="s">
        <v>95</v>
      </c>
      <c r="D799" t="s">
        <v>204</v>
      </c>
      <c r="F799" s="12" t="s">
        <v>2301</v>
      </c>
      <c r="G799" s="10" t="s">
        <v>693</v>
      </c>
      <c r="H799" s="10" t="s">
        <v>693</v>
      </c>
      <c r="K799" t="s">
        <v>19</v>
      </c>
      <c r="L799" t="s">
        <v>20</v>
      </c>
      <c r="M799" s="9">
        <v>8481802</v>
      </c>
      <c r="N799" t="s">
        <v>3477</v>
      </c>
      <c r="O799">
        <v>18</v>
      </c>
      <c r="P799" t="s">
        <v>3477</v>
      </c>
      <c r="Q799">
        <v>18</v>
      </c>
      <c r="R799" s="13">
        <v>90100</v>
      </c>
      <c r="S799" s="13">
        <v>54060</v>
      </c>
    </row>
    <row r="800" spans="1:19">
      <c r="A800" s="9" t="s">
        <v>23</v>
      </c>
      <c r="B800" s="9" t="s">
        <v>27</v>
      </c>
      <c r="C800" s="9" t="s">
        <v>95</v>
      </c>
      <c r="D800" t="s">
        <v>204</v>
      </c>
      <c r="F800" s="12" t="s">
        <v>2302</v>
      </c>
      <c r="G800" s="10" t="s">
        <v>693</v>
      </c>
      <c r="H800" s="10" t="s">
        <v>693</v>
      </c>
      <c r="K800" t="s">
        <v>19</v>
      </c>
      <c r="L800" t="s">
        <v>20</v>
      </c>
      <c r="M800" s="9">
        <v>8481802</v>
      </c>
      <c r="N800" t="s">
        <v>3477</v>
      </c>
      <c r="O800">
        <v>18</v>
      </c>
      <c r="P800" t="s">
        <v>3477</v>
      </c>
      <c r="Q800">
        <v>18</v>
      </c>
      <c r="R800" s="13">
        <v>42400</v>
      </c>
      <c r="S800" s="13">
        <v>25440</v>
      </c>
    </row>
    <row r="801" spans="1:19">
      <c r="A801" s="9" t="s">
        <v>23</v>
      </c>
      <c r="B801" s="9" t="s">
        <v>27</v>
      </c>
      <c r="C801" s="9" t="s">
        <v>95</v>
      </c>
      <c r="D801" t="s">
        <v>204</v>
      </c>
      <c r="F801" s="12" t="s">
        <v>2303</v>
      </c>
      <c r="G801" s="10" t="s">
        <v>694</v>
      </c>
      <c r="H801" s="10" t="s">
        <v>694</v>
      </c>
      <c r="K801" t="s">
        <v>19</v>
      </c>
      <c r="L801" t="s">
        <v>20</v>
      </c>
      <c r="M801" s="9">
        <v>8481802</v>
      </c>
      <c r="N801" t="s">
        <v>3477</v>
      </c>
      <c r="O801">
        <v>18</v>
      </c>
      <c r="P801" t="s">
        <v>3477</v>
      </c>
      <c r="Q801">
        <v>18</v>
      </c>
      <c r="R801" s="13">
        <v>80560</v>
      </c>
      <c r="S801" s="13">
        <v>48336</v>
      </c>
    </row>
    <row r="802" spans="1:19">
      <c r="A802" s="9" t="s">
        <v>23</v>
      </c>
      <c r="B802" s="9" t="s">
        <v>27</v>
      </c>
      <c r="C802" s="9" t="s">
        <v>95</v>
      </c>
      <c r="D802" t="s">
        <v>204</v>
      </c>
      <c r="F802" s="12" t="s">
        <v>2304</v>
      </c>
      <c r="G802" s="10" t="s">
        <v>694</v>
      </c>
      <c r="H802" s="10" t="s">
        <v>694</v>
      </c>
      <c r="K802" t="s">
        <v>19</v>
      </c>
      <c r="L802" t="s">
        <v>20</v>
      </c>
      <c r="M802" s="9">
        <v>8481802</v>
      </c>
      <c r="N802" t="s">
        <v>3477</v>
      </c>
      <c r="O802">
        <v>18</v>
      </c>
      <c r="P802" t="s">
        <v>3477</v>
      </c>
      <c r="Q802">
        <v>18</v>
      </c>
      <c r="R802" s="13">
        <v>124500</v>
      </c>
      <c r="S802" s="13">
        <v>74700</v>
      </c>
    </row>
    <row r="803" spans="1:19">
      <c r="A803" s="9" t="s">
        <v>23</v>
      </c>
      <c r="B803" s="9" t="s">
        <v>27</v>
      </c>
      <c r="C803" s="9" t="s">
        <v>95</v>
      </c>
      <c r="D803" t="s">
        <v>204</v>
      </c>
      <c r="F803" s="12" t="s">
        <v>2305</v>
      </c>
      <c r="G803" s="10" t="s">
        <v>694</v>
      </c>
      <c r="H803" s="10" t="s">
        <v>694</v>
      </c>
      <c r="K803" t="s">
        <v>19</v>
      </c>
      <c r="L803" t="s">
        <v>20</v>
      </c>
      <c r="M803" s="9">
        <v>8481802</v>
      </c>
      <c r="N803" t="s">
        <v>3477</v>
      </c>
      <c r="O803">
        <v>18</v>
      </c>
      <c r="P803" t="s">
        <v>3477</v>
      </c>
      <c r="Q803">
        <v>18</v>
      </c>
      <c r="R803" s="13">
        <v>148320</v>
      </c>
      <c r="S803" s="13">
        <v>88992</v>
      </c>
    </row>
    <row r="804" spans="1:19">
      <c r="A804" s="9" t="s">
        <v>23</v>
      </c>
      <c r="B804" s="9" t="s">
        <v>27</v>
      </c>
      <c r="C804" s="9" t="s">
        <v>95</v>
      </c>
      <c r="D804" t="s">
        <v>204</v>
      </c>
      <c r="F804" s="12" t="s">
        <v>2306</v>
      </c>
      <c r="G804" s="10" t="s">
        <v>694</v>
      </c>
      <c r="H804" s="10" t="s">
        <v>694</v>
      </c>
      <c r="K804" t="s">
        <v>19</v>
      </c>
      <c r="L804" t="s">
        <v>20</v>
      </c>
      <c r="M804" s="9">
        <v>8481802</v>
      </c>
      <c r="N804" t="s">
        <v>3477</v>
      </c>
      <c r="O804">
        <v>18</v>
      </c>
      <c r="P804" t="s">
        <v>3477</v>
      </c>
      <c r="Q804">
        <v>18</v>
      </c>
      <c r="R804" s="13">
        <v>164200</v>
      </c>
      <c r="S804" s="13">
        <v>98520</v>
      </c>
    </row>
    <row r="805" spans="1:19">
      <c r="A805" s="9" t="s">
        <v>23</v>
      </c>
      <c r="B805" s="9" t="s">
        <v>27</v>
      </c>
      <c r="C805" s="9" t="s">
        <v>95</v>
      </c>
      <c r="D805" t="s">
        <v>204</v>
      </c>
      <c r="F805" s="12" t="s">
        <v>2307</v>
      </c>
      <c r="G805" s="10" t="s">
        <v>694</v>
      </c>
      <c r="H805" s="10" t="s">
        <v>694</v>
      </c>
      <c r="K805" t="s">
        <v>19</v>
      </c>
      <c r="L805" t="s">
        <v>20</v>
      </c>
      <c r="M805" s="9">
        <v>8481802</v>
      </c>
      <c r="N805" t="s">
        <v>3477</v>
      </c>
      <c r="O805">
        <v>18</v>
      </c>
      <c r="P805" t="s">
        <v>3477</v>
      </c>
      <c r="Q805">
        <v>18</v>
      </c>
      <c r="R805" s="13">
        <v>164200</v>
      </c>
      <c r="S805" s="13">
        <v>98520</v>
      </c>
    </row>
    <row r="806" spans="1:19">
      <c r="A806" s="9" t="s">
        <v>23</v>
      </c>
      <c r="B806" s="9" t="s">
        <v>27</v>
      </c>
      <c r="C806" s="9" t="s">
        <v>95</v>
      </c>
      <c r="D806" t="s">
        <v>204</v>
      </c>
      <c r="F806" s="12" t="s">
        <v>2308</v>
      </c>
      <c r="G806" s="10" t="s">
        <v>694</v>
      </c>
      <c r="H806" s="10" t="s">
        <v>694</v>
      </c>
      <c r="K806" t="s">
        <v>19</v>
      </c>
      <c r="L806" t="s">
        <v>20</v>
      </c>
      <c r="M806" s="9">
        <v>8481802</v>
      </c>
      <c r="N806" t="s">
        <v>3477</v>
      </c>
      <c r="O806">
        <v>18</v>
      </c>
      <c r="P806" t="s">
        <v>3477</v>
      </c>
      <c r="Q806">
        <v>18</v>
      </c>
      <c r="R806" s="13">
        <v>84800</v>
      </c>
      <c r="S806" s="13">
        <v>50880</v>
      </c>
    </row>
    <row r="807" spans="1:19">
      <c r="A807" s="9" t="s">
        <v>23</v>
      </c>
      <c r="B807" s="9" t="s">
        <v>27</v>
      </c>
      <c r="C807" s="9" t="s">
        <v>95</v>
      </c>
      <c r="D807" t="s">
        <v>204</v>
      </c>
      <c r="F807" s="12" t="s">
        <v>2309</v>
      </c>
      <c r="G807" s="10" t="s">
        <v>694</v>
      </c>
      <c r="H807" s="10" t="s">
        <v>694</v>
      </c>
      <c r="K807" t="s">
        <v>19</v>
      </c>
      <c r="L807" t="s">
        <v>20</v>
      </c>
      <c r="M807" s="9">
        <v>8481802</v>
      </c>
      <c r="N807" t="s">
        <v>3477</v>
      </c>
      <c r="O807">
        <v>18</v>
      </c>
      <c r="P807" t="s">
        <v>3477</v>
      </c>
      <c r="Q807">
        <v>18</v>
      </c>
      <c r="R807" s="13">
        <v>148320</v>
      </c>
      <c r="S807" s="13">
        <v>88992</v>
      </c>
    </row>
    <row r="808" spans="1:19">
      <c r="A808" s="9" t="s">
        <v>23</v>
      </c>
      <c r="B808" s="9" t="s">
        <v>27</v>
      </c>
      <c r="C808" s="9" t="s">
        <v>95</v>
      </c>
      <c r="D808" t="s">
        <v>204</v>
      </c>
      <c r="F808" s="12" t="s">
        <v>2310</v>
      </c>
      <c r="G808" s="10" t="s">
        <v>695</v>
      </c>
      <c r="H808" s="10" t="s">
        <v>695</v>
      </c>
      <c r="K808" t="s">
        <v>19</v>
      </c>
      <c r="L808" t="s">
        <v>20</v>
      </c>
      <c r="M808" s="9">
        <v>8481802</v>
      </c>
      <c r="N808" t="s">
        <v>3477</v>
      </c>
      <c r="O808">
        <v>18</v>
      </c>
      <c r="P808" t="s">
        <v>3477</v>
      </c>
      <c r="Q808">
        <v>18</v>
      </c>
      <c r="R808" s="13">
        <v>120000</v>
      </c>
      <c r="S808" s="13">
        <v>72000</v>
      </c>
    </row>
    <row r="809" spans="1:19">
      <c r="A809" s="9" t="s">
        <v>23</v>
      </c>
      <c r="B809" s="9" t="s">
        <v>27</v>
      </c>
      <c r="C809" s="9" t="s">
        <v>95</v>
      </c>
      <c r="D809" t="s">
        <v>204</v>
      </c>
      <c r="F809" s="12" t="s">
        <v>2311</v>
      </c>
      <c r="G809" s="10" t="s">
        <v>695</v>
      </c>
      <c r="H809" s="10" t="s">
        <v>695</v>
      </c>
      <c r="K809" t="s">
        <v>19</v>
      </c>
      <c r="L809" t="s">
        <v>20</v>
      </c>
      <c r="M809" s="9">
        <v>8481802</v>
      </c>
      <c r="N809" t="s">
        <v>3477</v>
      </c>
      <c r="O809">
        <v>18</v>
      </c>
      <c r="P809" t="s">
        <v>3477</v>
      </c>
      <c r="Q809">
        <v>18</v>
      </c>
      <c r="R809" s="13">
        <v>165000</v>
      </c>
      <c r="S809" s="13">
        <v>99000</v>
      </c>
    </row>
    <row r="810" spans="1:19">
      <c r="A810" s="9" t="s">
        <v>23</v>
      </c>
      <c r="B810" s="9" t="s">
        <v>27</v>
      </c>
      <c r="C810" s="9" t="s">
        <v>95</v>
      </c>
      <c r="D810" t="s">
        <v>204</v>
      </c>
      <c r="F810" s="12" t="s">
        <v>2312</v>
      </c>
      <c r="G810" s="10" t="s">
        <v>695</v>
      </c>
      <c r="H810" s="10" t="s">
        <v>695</v>
      </c>
      <c r="K810" t="s">
        <v>19</v>
      </c>
      <c r="L810" t="s">
        <v>20</v>
      </c>
      <c r="M810" s="9">
        <v>8481802</v>
      </c>
      <c r="N810" t="s">
        <v>3477</v>
      </c>
      <c r="O810">
        <v>18</v>
      </c>
      <c r="P810" t="s">
        <v>3477</v>
      </c>
      <c r="Q810">
        <v>18</v>
      </c>
      <c r="R810" s="13">
        <v>137500</v>
      </c>
      <c r="S810" s="13">
        <v>82500</v>
      </c>
    </row>
    <row r="811" spans="1:19">
      <c r="A811" s="9" t="s">
        <v>23</v>
      </c>
      <c r="B811" s="9" t="s">
        <v>27</v>
      </c>
      <c r="C811" s="9" t="s">
        <v>95</v>
      </c>
      <c r="D811" t="s">
        <v>204</v>
      </c>
      <c r="F811" s="12" t="s">
        <v>2313</v>
      </c>
      <c r="G811" s="10" t="s">
        <v>695</v>
      </c>
      <c r="H811" s="10" t="s">
        <v>695</v>
      </c>
      <c r="K811" t="s">
        <v>19</v>
      </c>
      <c r="L811" t="s">
        <v>20</v>
      </c>
      <c r="M811" s="9">
        <v>8481802</v>
      </c>
      <c r="N811" t="s">
        <v>3477</v>
      </c>
      <c r="O811">
        <v>18</v>
      </c>
      <c r="P811" t="s">
        <v>3477</v>
      </c>
      <c r="Q811">
        <v>18</v>
      </c>
      <c r="R811" s="13">
        <v>154000</v>
      </c>
      <c r="S811" s="13">
        <v>92400</v>
      </c>
    </row>
    <row r="812" spans="1:19">
      <c r="A812" s="9" t="s">
        <v>23</v>
      </c>
      <c r="B812" s="9" t="s">
        <v>27</v>
      </c>
      <c r="C812" s="9" t="s">
        <v>95</v>
      </c>
      <c r="D812" t="s">
        <v>204</v>
      </c>
      <c r="F812" s="12" t="s">
        <v>2314</v>
      </c>
      <c r="G812" s="10" t="s">
        <v>695</v>
      </c>
      <c r="H812" s="10" t="s">
        <v>695</v>
      </c>
      <c r="K812" t="s">
        <v>19</v>
      </c>
      <c r="L812" t="s">
        <v>20</v>
      </c>
      <c r="M812" s="9">
        <v>8481802</v>
      </c>
      <c r="N812" t="s">
        <v>3477</v>
      </c>
      <c r="O812">
        <v>18</v>
      </c>
      <c r="P812" t="s">
        <v>3477</v>
      </c>
      <c r="Q812">
        <v>18</v>
      </c>
      <c r="R812" s="13">
        <v>110000</v>
      </c>
      <c r="S812" s="13">
        <v>66000</v>
      </c>
    </row>
    <row r="813" spans="1:19">
      <c r="A813" s="9" t="s">
        <v>23</v>
      </c>
      <c r="B813" s="9" t="s">
        <v>27</v>
      </c>
      <c r="C813" s="9" t="s">
        <v>95</v>
      </c>
      <c r="D813" t="s">
        <v>204</v>
      </c>
      <c r="F813" s="12" t="s">
        <v>2315</v>
      </c>
      <c r="G813" s="10" t="s">
        <v>695</v>
      </c>
      <c r="H813" s="10" t="s">
        <v>695</v>
      </c>
      <c r="K813" t="s">
        <v>19</v>
      </c>
      <c r="L813" t="s">
        <v>20</v>
      </c>
      <c r="M813" s="9">
        <v>8481802</v>
      </c>
      <c r="N813" t="s">
        <v>3477</v>
      </c>
      <c r="O813">
        <v>18</v>
      </c>
      <c r="P813" t="s">
        <v>3477</v>
      </c>
      <c r="Q813">
        <v>18</v>
      </c>
      <c r="R813" s="13">
        <v>154000</v>
      </c>
      <c r="S813" s="13">
        <v>92400</v>
      </c>
    </row>
    <row r="814" spans="1:19">
      <c r="A814" s="9" t="s">
        <v>23</v>
      </c>
      <c r="B814" s="9" t="s">
        <v>27</v>
      </c>
      <c r="C814" s="9" t="s">
        <v>95</v>
      </c>
      <c r="D814" t="s">
        <v>204</v>
      </c>
      <c r="F814" s="12" t="s">
        <v>2316</v>
      </c>
      <c r="G814" s="10" t="s">
        <v>696</v>
      </c>
      <c r="H814" s="10" t="s">
        <v>696</v>
      </c>
      <c r="K814" t="s">
        <v>19</v>
      </c>
      <c r="L814" t="s">
        <v>20</v>
      </c>
      <c r="M814" s="9">
        <v>8481802</v>
      </c>
      <c r="N814" t="s">
        <v>3477</v>
      </c>
      <c r="O814">
        <v>18</v>
      </c>
      <c r="P814" t="s">
        <v>3477</v>
      </c>
      <c r="Q814">
        <v>18</v>
      </c>
      <c r="R814" s="13">
        <v>154000</v>
      </c>
      <c r="S814" s="13">
        <v>92400</v>
      </c>
    </row>
    <row r="815" spans="1:19">
      <c r="A815" s="9" t="s">
        <v>23</v>
      </c>
      <c r="B815" s="9" t="s">
        <v>27</v>
      </c>
      <c r="C815" s="9" t="s">
        <v>95</v>
      </c>
      <c r="D815" t="s">
        <v>204</v>
      </c>
      <c r="F815" s="12" t="s">
        <v>2317</v>
      </c>
      <c r="G815" s="10" t="s">
        <v>696</v>
      </c>
      <c r="H815" s="10" t="s">
        <v>696</v>
      </c>
      <c r="K815" t="s">
        <v>19</v>
      </c>
      <c r="L815" t="s">
        <v>20</v>
      </c>
      <c r="M815" s="9">
        <v>8481802</v>
      </c>
      <c r="N815" t="s">
        <v>3477</v>
      </c>
      <c r="O815">
        <v>18</v>
      </c>
      <c r="P815" t="s">
        <v>3477</v>
      </c>
      <c r="Q815">
        <v>18</v>
      </c>
      <c r="R815" s="13">
        <v>182750</v>
      </c>
      <c r="S815" s="13">
        <v>109650</v>
      </c>
    </row>
    <row r="816" spans="1:19">
      <c r="A816" s="9" t="s">
        <v>23</v>
      </c>
      <c r="B816" s="9" t="s">
        <v>27</v>
      </c>
      <c r="C816" s="9" t="s">
        <v>95</v>
      </c>
      <c r="D816" t="s">
        <v>204</v>
      </c>
      <c r="F816" s="12" t="s">
        <v>2318</v>
      </c>
      <c r="G816" s="10" t="s">
        <v>696</v>
      </c>
      <c r="H816" s="10" t="s">
        <v>696</v>
      </c>
      <c r="K816" t="s">
        <v>19</v>
      </c>
      <c r="L816" t="s">
        <v>20</v>
      </c>
      <c r="M816" s="9">
        <v>8481802</v>
      </c>
      <c r="N816" t="s">
        <v>3477</v>
      </c>
      <c r="O816">
        <v>18</v>
      </c>
      <c r="P816" t="s">
        <v>3477</v>
      </c>
      <c r="Q816">
        <v>18</v>
      </c>
      <c r="R816" s="13">
        <v>216080</v>
      </c>
      <c r="S816" s="13">
        <v>129648</v>
      </c>
    </row>
    <row r="817" spans="1:19">
      <c r="A817" s="9" t="s">
        <v>23</v>
      </c>
      <c r="B817" s="9" t="s">
        <v>27</v>
      </c>
      <c r="C817" s="9" t="s">
        <v>95</v>
      </c>
      <c r="D817" t="s">
        <v>204</v>
      </c>
      <c r="F817" s="12" t="s">
        <v>2319</v>
      </c>
      <c r="G817" s="10" t="s">
        <v>696</v>
      </c>
      <c r="H817" s="10" t="s">
        <v>696</v>
      </c>
      <c r="K817" t="s">
        <v>19</v>
      </c>
      <c r="L817" t="s">
        <v>20</v>
      </c>
      <c r="M817" s="9">
        <v>8481802</v>
      </c>
      <c r="N817" t="s">
        <v>3477</v>
      </c>
      <c r="O817">
        <v>18</v>
      </c>
      <c r="P817" t="s">
        <v>3477</v>
      </c>
      <c r="Q817">
        <v>18</v>
      </c>
      <c r="R817" s="13">
        <v>238300</v>
      </c>
      <c r="S817" s="13">
        <v>142980</v>
      </c>
    </row>
    <row r="818" spans="1:19">
      <c r="A818" s="9" t="s">
        <v>23</v>
      </c>
      <c r="B818" s="9" t="s">
        <v>27</v>
      </c>
      <c r="C818" s="9" t="s">
        <v>95</v>
      </c>
      <c r="D818" t="s">
        <v>204</v>
      </c>
      <c r="F818" s="12" t="s">
        <v>2320</v>
      </c>
      <c r="G818" s="10" t="s">
        <v>696</v>
      </c>
      <c r="H818" s="10" t="s">
        <v>696</v>
      </c>
      <c r="K818" t="s">
        <v>19</v>
      </c>
      <c r="L818" t="s">
        <v>20</v>
      </c>
      <c r="M818" s="9">
        <v>8481802</v>
      </c>
      <c r="N818" t="s">
        <v>3477</v>
      </c>
      <c r="O818">
        <v>18</v>
      </c>
      <c r="P818" t="s">
        <v>3477</v>
      </c>
      <c r="Q818">
        <v>18</v>
      </c>
      <c r="R818" s="13">
        <v>238300</v>
      </c>
      <c r="S818" s="13">
        <v>142980</v>
      </c>
    </row>
    <row r="819" spans="1:19">
      <c r="A819" s="9" t="s">
        <v>23</v>
      </c>
      <c r="B819" s="9" t="s">
        <v>27</v>
      </c>
      <c r="C819" s="9" t="s">
        <v>95</v>
      </c>
      <c r="D819" t="s">
        <v>204</v>
      </c>
      <c r="F819" s="12" t="s">
        <v>2321</v>
      </c>
      <c r="G819" s="10" t="s">
        <v>696</v>
      </c>
      <c r="H819" s="10" t="s">
        <v>696</v>
      </c>
      <c r="K819" t="s">
        <v>19</v>
      </c>
      <c r="L819" t="s">
        <v>20</v>
      </c>
      <c r="M819" s="9">
        <v>8481802</v>
      </c>
      <c r="N819" t="s">
        <v>3477</v>
      </c>
      <c r="O819">
        <v>18</v>
      </c>
      <c r="P819" t="s">
        <v>3477</v>
      </c>
      <c r="Q819">
        <v>18</v>
      </c>
      <c r="R819" s="13">
        <v>127200</v>
      </c>
      <c r="S819" s="13">
        <v>76320</v>
      </c>
    </row>
    <row r="820" spans="1:19">
      <c r="A820" s="9" t="s">
        <v>23</v>
      </c>
      <c r="B820" s="9" t="s">
        <v>27</v>
      </c>
      <c r="C820" s="9" t="s">
        <v>95</v>
      </c>
      <c r="D820" t="s">
        <v>204</v>
      </c>
      <c r="F820" s="12" t="s">
        <v>2322</v>
      </c>
      <c r="G820" s="10" t="s">
        <v>696</v>
      </c>
      <c r="H820" s="10" t="s">
        <v>696</v>
      </c>
      <c r="K820" t="s">
        <v>19</v>
      </c>
      <c r="L820" t="s">
        <v>20</v>
      </c>
      <c r="M820" s="9">
        <v>8481802</v>
      </c>
      <c r="N820" t="s">
        <v>3477</v>
      </c>
      <c r="O820">
        <v>18</v>
      </c>
      <c r="P820" t="s">
        <v>3477</v>
      </c>
      <c r="Q820">
        <v>18</v>
      </c>
      <c r="R820" s="13">
        <v>216080</v>
      </c>
      <c r="S820" s="13">
        <v>129648</v>
      </c>
    </row>
    <row r="821" spans="1:19">
      <c r="A821" s="9" t="s">
        <v>23</v>
      </c>
      <c r="B821" s="9" t="s">
        <v>27</v>
      </c>
      <c r="C821" s="9" t="s">
        <v>95</v>
      </c>
      <c r="D821" t="s">
        <v>204</v>
      </c>
      <c r="F821" s="12" t="s">
        <v>2323</v>
      </c>
      <c r="G821" s="10" t="s">
        <v>697</v>
      </c>
      <c r="H821" s="10" t="s">
        <v>697</v>
      </c>
      <c r="K821" t="s">
        <v>19</v>
      </c>
      <c r="L821" t="s">
        <v>20</v>
      </c>
      <c r="M821" s="9">
        <v>8481802</v>
      </c>
      <c r="N821" t="s">
        <v>3477</v>
      </c>
      <c r="O821">
        <v>18</v>
      </c>
      <c r="P821" t="s">
        <v>3477</v>
      </c>
      <c r="Q821">
        <v>18</v>
      </c>
      <c r="R821" s="13">
        <v>180000</v>
      </c>
      <c r="S821" s="13">
        <v>108000</v>
      </c>
    </row>
    <row r="822" spans="1:19">
      <c r="A822" s="9" t="s">
        <v>22</v>
      </c>
      <c r="B822" s="9" t="s">
        <v>26</v>
      </c>
      <c r="C822" s="9" t="s">
        <v>98</v>
      </c>
      <c r="D822" t="s">
        <v>204</v>
      </c>
      <c r="F822" s="12" t="s">
        <v>2324</v>
      </c>
      <c r="G822" s="10" t="s">
        <v>698</v>
      </c>
      <c r="H822" s="10" t="s">
        <v>698</v>
      </c>
      <c r="K822" t="s">
        <v>19</v>
      </c>
      <c r="L822" t="s">
        <v>20</v>
      </c>
      <c r="M822" s="9">
        <v>39222</v>
      </c>
      <c r="N822" t="s">
        <v>3477</v>
      </c>
      <c r="O822">
        <v>18</v>
      </c>
      <c r="P822" t="s">
        <v>3477</v>
      </c>
      <c r="Q822">
        <v>18</v>
      </c>
      <c r="R822" s="13">
        <v>12600</v>
      </c>
      <c r="S822" s="13">
        <v>8820</v>
      </c>
    </row>
    <row r="823" spans="1:19">
      <c r="A823" s="9" t="s">
        <v>24</v>
      </c>
      <c r="B823" s="9" t="s">
        <v>26</v>
      </c>
      <c r="C823" s="9" t="s">
        <v>96</v>
      </c>
      <c r="D823" t="s">
        <v>204</v>
      </c>
      <c r="F823" s="12" t="s">
        <v>2325</v>
      </c>
      <c r="G823" s="10" t="s">
        <v>699</v>
      </c>
      <c r="H823" s="10" t="s">
        <v>699</v>
      </c>
      <c r="K823" t="s">
        <v>19</v>
      </c>
      <c r="L823" t="s">
        <v>20</v>
      </c>
      <c r="M823" s="9">
        <v>69101</v>
      </c>
      <c r="N823" t="s">
        <v>3477</v>
      </c>
      <c r="O823">
        <v>18</v>
      </c>
      <c r="P823" t="s">
        <v>3477</v>
      </c>
      <c r="Q823">
        <v>18</v>
      </c>
      <c r="R823" s="13">
        <v>16500</v>
      </c>
      <c r="S823" s="13">
        <v>12375</v>
      </c>
    </row>
    <row r="824" spans="1:19">
      <c r="A824" s="9" t="s">
        <v>24</v>
      </c>
      <c r="B824" s="9" t="s">
        <v>26</v>
      </c>
      <c r="C824" s="9" t="s">
        <v>96</v>
      </c>
      <c r="D824" t="s">
        <v>204</v>
      </c>
      <c r="F824" s="12" t="s">
        <v>2326</v>
      </c>
      <c r="G824" s="10" t="s">
        <v>700</v>
      </c>
      <c r="H824" s="10" t="s">
        <v>700</v>
      </c>
      <c r="K824" t="s">
        <v>19</v>
      </c>
      <c r="L824" t="s">
        <v>20</v>
      </c>
      <c r="M824" s="9">
        <v>69101</v>
      </c>
      <c r="N824" t="s">
        <v>3477</v>
      </c>
      <c r="O824">
        <v>18</v>
      </c>
      <c r="P824" t="s">
        <v>3477</v>
      </c>
      <c r="Q824">
        <v>18</v>
      </c>
      <c r="R824" s="13">
        <v>15000</v>
      </c>
      <c r="S824" s="13">
        <v>11250</v>
      </c>
    </row>
    <row r="825" spans="1:19">
      <c r="A825" s="9" t="s">
        <v>22</v>
      </c>
      <c r="B825" s="9" t="s">
        <v>26</v>
      </c>
      <c r="C825" s="9" t="s">
        <v>80</v>
      </c>
      <c r="D825" t="s">
        <v>204</v>
      </c>
      <c r="F825" s="12" t="s">
        <v>2327</v>
      </c>
      <c r="G825" s="11" t="s">
        <v>701</v>
      </c>
      <c r="H825" s="11" t="s">
        <v>701</v>
      </c>
      <c r="K825" t="s">
        <v>19</v>
      </c>
      <c r="L825" t="s">
        <v>20</v>
      </c>
      <c r="M825" s="9">
        <v>69101</v>
      </c>
      <c r="N825" t="s">
        <v>3477</v>
      </c>
      <c r="O825">
        <v>18</v>
      </c>
      <c r="P825" t="s">
        <v>3477</v>
      </c>
      <c r="Q825">
        <v>18</v>
      </c>
      <c r="R825" s="13">
        <v>11880</v>
      </c>
      <c r="S825" s="13">
        <v>8316</v>
      </c>
    </row>
    <row r="826" spans="1:19">
      <c r="A826" s="9" t="s">
        <v>22</v>
      </c>
      <c r="B826" s="9" t="s">
        <v>26</v>
      </c>
      <c r="C826" s="9" t="s">
        <v>115</v>
      </c>
      <c r="D826" t="s">
        <v>204</v>
      </c>
      <c r="F826" s="12" t="s">
        <v>2328</v>
      </c>
      <c r="G826" s="10" t="s">
        <v>702</v>
      </c>
      <c r="H826" s="10" t="s">
        <v>702</v>
      </c>
      <c r="K826" t="s">
        <v>19</v>
      </c>
      <c r="L826" t="s">
        <v>20</v>
      </c>
      <c r="M826" s="9">
        <v>39222</v>
      </c>
      <c r="N826" t="s">
        <v>3477</v>
      </c>
      <c r="O826">
        <v>18</v>
      </c>
      <c r="P826" t="s">
        <v>3477</v>
      </c>
      <c r="Q826">
        <v>18</v>
      </c>
      <c r="R826" s="13">
        <v>10090</v>
      </c>
      <c r="S826" s="13">
        <v>7063</v>
      </c>
    </row>
    <row r="827" spans="1:19">
      <c r="A827" s="9" t="s">
        <v>22</v>
      </c>
      <c r="B827" s="9" t="s">
        <v>26</v>
      </c>
      <c r="C827" s="9" t="s">
        <v>115</v>
      </c>
      <c r="D827" t="s">
        <v>204</v>
      </c>
      <c r="F827" s="12" t="s">
        <v>2329</v>
      </c>
      <c r="G827" s="10" t="s">
        <v>703</v>
      </c>
      <c r="H827" s="10" t="s">
        <v>703</v>
      </c>
      <c r="K827" t="s">
        <v>19</v>
      </c>
      <c r="L827" t="s">
        <v>20</v>
      </c>
      <c r="M827" s="9">
        <v>39222</v>
      </c>
      <c r="N827" t="s">
        <v>3477</v>
      </c>
      <c r="O827">
        <v>18</v>
      </c>
      <c r="P827" t="s">
        <v>3477</v>
      </c>
      <c r="Q827">
        <v>18</v>
      </c>
      <c r="R827" s="13">
        <v>10090</v>
      </c>
      <c r="S827" s="13">
        <v>7063</v>
      </c>
    </row>
    <row r="828" spans="1:19">
      <c r="A828" s="9" t="s">
        <v>22</v>
      </c>
      <c r="B828" s="9" t="s">
        <v>26</v>
      </c>
      <c r="C828" s="9" t="s">
        <v>115</v>
      </c>
      <c r="D828" t="s">
        <v>204</v>
      </c>
      <c r="F828" s="12" t="s">
        <v>2330</v>
      </c>
      <c r="G828" s="10" t="s">
        <v>704</v>
      </c>
      <c r="H828" s="10" t="s">
        <v>704</v>
      </c>
      <c r="K828" t="s">
        <v>19</v>
      </c>
      <c r="L828" t="s">
        <v>20</v>
      </c>
      <c r="M828" s="9">
        <v>39222</v>
      </c>
      <c r="N828" t="s">
        <v>3477</v>
      </c>
      <c r="O828">
        <v>18</v>
      </c>
      <c r="P828" t="s">
        <v>3477</v>
      </c>
      <c r="Q828">
        <v>18</v>
      </c>
      <c r="R828" s="13">
        <v>10090</v>
      </c>
      <c r="S828" s="13">
        <v>7063</v>
      </c>
    </row>
    <row r="829" spans="1:19">
      <c r="A829" s="9" t="s">
        <v>22</v>
      </c>
      <c r="B829" s="9" t="s">
        <v>26</v>
      </c>
      <c r="C829" s="9" t="s">
        <v>115</v>
      </c>
      <c r="D829" t="s">
        <v>204</v>
      </c>
      <c r="F829" s="12" t="s">
        <v>2331</v>
      </c>
      <c r="G829" s="10" t="s">
        <v>705</v>
      </c>
      <c r="H829" s="10" t="s">
        <v>705</v>
      </c>
      <c r="K829" t="s">
        <v>19</v>
      </c>
      <c r="L829" t="s">
        <v>20</v>
      </c>
      <c r="M829" s="9">
        <v>39222</v>
      </c>
      <c r="N829" t="s">
        <v>3477</v>
      </c>
      <c r="O829">
        <v>18</v>
      </c>
      <c r="P829" t="s">
        <v>3477</v>
      </c>
      <c r="Q829">
        <v>18</v>
      </c>
      <c r="R829" s="13">
        <v>10090</v>
      </c>
      <c r="S829" s="13">
        <v>7063</v>
      </c>
    </row>
    <row r="830" spans="1:19">
      <c r="A830" s="9" t="s">
        <v>22</v>
      </c>
      <c r="B830" s="9" t="s">
        <v>26</v>
      </c>
      <c r="C830" s="9" t="s">
        <v>80</v>
      </c>
      <c r="D830" t="s">
        <v>204</v>
      </c>
      <c r="F830" s="12" t="s">
        <v>2332</v>
      </c>
      <c r="G830" s="10" t="s">
        <v>705</v>
      </c>
      <c r="H830" s="10" t="s">
        <v>705</v>
      </c>
      <c r="K830" t="s">
        <v>19</v>
      </c>
      <c r="L830" t="s">
        <v>20</v>
      </c>
      <c r="M830" s="9">
        <v>69101</v>
      </c>
      <c r="N830" t="s">
        <v>3477</v>
      </c>
      <c r="O830">
        <v>18</v>
      </c>
      <c r="P830" t="s">
        <v>3477</v>
      </c>
      <c r="Q830">
        <v>18</v>
      </c>
      <c r="R830" s="13">
        <v>16000</v>
      </c>
      <c r="S830" s="13">
        <v>11200</v>
      </c>
    </row>
    <row r="831" spans="1:19">
      <c r="A831" s="9" t="s">
        <v>22</v>
      </c>
      <c r="B831" s="9" t="s">
        <v>26</v>
      </c>
      <c r="C831" s="9" t="s">
        <v>80</v>
      </c>
      <c r="D831" t="s">
        <v>204</v>
      </c>
      <c r="F831" s="12" t="s">
        <v>2333</v>
      </c>
      <c r="G831" s="10" t="s">
        <v>706</v>
      </c>
      <c r="H831" s="10" t="s">
        <v>706</v>
      </c>
      <c r="K831" t="s">
        <v>19</v>
      </c>
      <c r="L831" t="s">
        <v>20</v>
      </c>
      <c r="M831" s="9">
        <v>69101</v>
      </c>
      <c r="N831" t="s">
        <v>3477</v>
      </c>
      <c r="O831">
        <v>18</v>
      </c>
      <c r="P831" t="s">
        <v>3477</v>
      </c>
      <c r="Q831">
        <v>18</v>
      </c>
      <c r="R831" s="13">
        <v>18400</v>
      </c>
      <c r="S831" s="13">
        <v>12880</v>
      </c>
    </row>
    <row r="832" spans="1:19">
      <c r="A832" s="9" t="s">
        <v>22</v>
      </c>
      <c r="B832" s="9" t="s">
        <v>26</v>
      </c>
      <c r="C832" s="9" t="s">
        <v>80</v>
      </c>
      <c r="D832" t="s">
        <v>204</v>
      </c>
      <c r="F832" s="12" t="s">
        <v>2334</v>
      </c>
      <c r="G832" s="10" t="s">
        <v>707</v>
      </c>
      <c r="H832" s="10" t="s">
        <v>707</v>
      </c>
      <c r="K832" t="s">
        <v>19</v>
      </c>
      <c r="L832" t="s">
        <v>20</v>
      </c>
      <c r="M832" s="9">
        <v>69101</v>
      </c>
      <c r="N832" t="s">
        <v>3477</v>
      </c>
      <c r="O832">
        <v>18</v>
      </c>
      <c r="P832" t="s">
        <v>3477</v>
      </c>
      <c r="Q832">
        <v>18</v>
      </c>
      <c r="R832" s="13">
        <v>12500</v>
      </c>
      <c r="S832" s="13">
        <v>8750</v>
      </c>
    </row>
    <row r="833" spans="1:19">
      <c r="A833" s="9" t="s">
        <v>22</v>
      </c>
      <c r="B833" s="9" t="s">
        <v>26</v>
      </c>
      <c r="C833" s="9" t="s">
        <v>80</v>
      </c>
      <c r="D833" t="s">
        <v>204</v>
      </c>
      <c r="F833" s="12" t="s">
        <v>2335</v>
      </c>
      <c r="G833" s="10" t="s">
        <v>708</v>
      </c>
      <c r="H833" s="10" t="s">
        <v>708</v>
      </c>
      <c r="K833" t="s">
        <v>19</v>
      </c>
      <c r="L833" t="s">
        <v>20</v>
      </c>
      <c r="M833" s="9">
        <v>69101</v>
      </c>
      <c r="N833" t="s">
        <v>3477</v>
      </c>
      <c r="O833">
        <v>18</v>
      </c>
      <c r="P833" t="s">
        <v>3477</v>
      </c>
      <c r="Q833">
        <v>18</v>
      </c>
      <c r="R833" s="13">
        <v>16500</v>
      </c>
      <c r="S833" s="13">
        <v>11550</v>
      </c>
    </row>
    <row r="834" spans="1:19">
      <c r="A834" s="9" t="s">
        <v>22</v>
      </c>
      <c r="B834" s="9" t="s">
        <v>26</v>
      </c>
      <c r="C834" s="9" t="s">
        <v>80</v>
      </c>
      <c r="D834" t="s">
        <v>204</v>
      </c>
      <c r="F834" s="12" t="s">
        <v>2336</v>
      </c>
      <c r="G834" s="10" t="s">
        <v>709</v>
      </c>
      <c r="H834" s="10" t="s">
        <v>709</v>
      </c>
      <c r="K834" t="s">
        <v>19</v>
      </c>
      <c r="L834" t="s">
        <v>20</v>
      </c>
      <c r="M834" s="9">
        <v>69101</v>
      </c>
      <c r="N834" t="s">
        <v>3477</v>
      </c>
      <c r="O834">
        <v>18</v>
      </c>
      <c r="P834" t="s">
        <v>3477</v>
      </c>
      <c r="Q834">
        <v>18</v>
      </c>
      <c r="R834" s="13">
        <v>14375</v>
      </c>
      <c r="S834" s="13">
        <v>10062.5</v>
      </c>
    </row>
    <row r="835" spans="1:19">
      <c r="A835" s="9" t="s">
        <v>22</v>
      </c>
      <c r="B835" s="9" t="s">
        <v>26</v>
      </c>
      <c r="C835" s="9" t="s">
        <v>80</v>
      </c>
      <c r="D835" t="s">
        <v>204</v>
      </c>
      <c r="F835" s="12" t="s">
        <v>2337</v>
      </c>
      <c r="G835" s="10" t="s">
        <v>710</v>
      </c>
      <c r="H835" s="10" t="s">
        <v>710</v>
      </c>
      <c r="K835" t="s">
        <v>19</v>
      </c>
      <c r="L835" t="s">
        <v>20</v>
      </c>
      <c r="M835" s="9">
        <v>69101</v>
      </c>
      <c r="N835" t="s">
        <v>3477</v>
      </c>
      <c r="O835">
        <v>18</v>
      </c>
      <c r="P835" t="s">
        <v>3477</v>
      </c>
      <c r="Q835">
        <v>18</v>
      </c>
      <c r="R835" s="13">
        <v>14375</v>
      </c>
      <c r="S835" s="13">
        <v>10062.5</v>
      </c>
    </row>
    <row r="836" spans="1:19">
      <c r="A836" s="9" t="s">
        <v>24</v>
      </c>
      <c r="B836" s="9" t="s">
        <v>27</v>
      </c>
      <c r="C836" s="9" t="s">
        <v>114</v>
      </c>
      <c r="D836" t="s">
        <v>204</v>
      </c>
      <c r="F836" s="12" t="s">
        <v>2338</v>
      </c>
      <c r="G836" s="10" t="s">
        <v>710</v>
      </c>
      <c r="H836" s="10" t="s">
        <v>710</v>
      </c>
      <c r="K836" t="s">
        <v>19</v>
      </c>
      <c r="L836" t="s">
        <v>20</v>
      </c>
      <c r="M836" s="9">
        <v>8481802</v>
      </c>
      <c r="N836" t="s">
        <v>3477</v>
      </c>
      <c r="O836">
        <v>18</v>
      </c>
      <c r="P836" t="s">
        <v>3477</v>
      </c>
      <c r="Q836">
        <v>18</v>
      </c>
      <c r="R836" s="13">
        <v>5500</v>
      </c>
      <c r="S836" s="13">
        <v>4125</v>
      </c>
    </row>
    <row r="837" spans="1:19">
      <c r="A837" s="9" t="s">
        <v>24</v>
      </c>
      <c r="B837" s="9" t="s">
        <v>27</v>
      </c>
      <c r="C837" s="9" t="s">
        <v>114</v>
      </c>
      <c r="D837" t="s">
        <v>204</v>
      </c>
      <c r="F837" s="12" t="s">
        <v>2339</v>
      </c>
      <c r="G837" s="10" t="s">
        <v>711</v>
      </c>
      <c r="H837" s="10" t="s">
        <v>711</v>
      </c>
      <c r="K837" t="s">
        <v>19</v>
      </c>
      <c r="L837" t="s">
        <v>20</v>
      </c>
      <c r="M837" s="9">
        <v>8481802</v>
      </c>
      <c r="N837" t="s">
        <v>3477</v>
      </c>
      <c r="O837">
        <v>18</v>
      </c>
      <c r="P837" t="s">
        <v>3477</v>
      </c>
      <c r="Q837">
        <v>18</v>
      </c>
      <c r="R837" s="13">
        <v>4400</v>
      </c>
      <c r="S837" s="13">
        <v>3300</v>
      </c>
    </row>
    <row r="838" spans="1:19">
      <c r="A838" s="9" t="s">
        <v>22</v>
      </c>
      <c r="B838" s="9" t="s">
        <v>26</v>
      </c>
      <c r="C838" s="9" t="s">
        <v>115</v>
      </c>
      <c r="D838" t="s">
        <v>204</v>
      </c>
      <c r="F838" s="12" t="s">
        <v>2340</v>
      </c>
      <c r="G838" s="10" t="s">
        <v>712</v>
      </c>
      <c r="H838" s="10" t="s">
        <v>712</v>
      </c>
      <c r="K838" t="s">
        <v>19</v>
      </c>
      <c r="L838" t="s">
        <v>20</v>
      </c>
      <c r="M838" s="9">
        <v>8302109</v>
      </c>
      <c r="N838" t="s">
        <v>3477</v>
      </c>
      <c r="O838">
        <v>18</v>
      </c>
      <c r="P838" t="s">
        <v>3477</v>
      </c>
      <c r="Q838">
        <v>18</v>
      </c>
      <c r="R838" s="13">
        <v>477</v>
      </c>
      <c r="S838" s="13">
        <v>333.9</v>
      </c>
    </row>
    <row r="839" spans="1:19">
      <c r="A839" s="9" t="s">
        <v>22</v>
      </c>
      <c r="B839" s="9" t="s">
        <v>27</v>
      </c>
      <c r="C839" s="9" t="s">
        <v>134</v>
      </c>
      <c r="D839" t="s">
        <v>204</v>
      </c>
      <c r="F839" s="12" t="s">
        <v>2341</v>
      </c>
      <c r="G839" s="10" t="s">
        <v>713</v>
      </c>
      <c r="H839" s="10" t="s">
        <v>713</v>
      </c>
      <c r="K839" t="s">
        <v>19</v>
      </c>
      <c r="L839" t="s">
        <v>20</v>
      </c>
      <c r="M839" s="9">
        <v>8536909</v>
      </c>
      <c r="N839" t="s">
        <v>3477</v>
      </c>
      <c r="O839">
        <v>18</v>
      </c>
      <c r="P839" t="s">
        <v>3477</v>
      </c>
      <c r="Q839">
        <v>18</v>
      </c>
      <c r="R839" s="13">
        <v>3000</v>
      </c>
      <c r="S839" s="13">
        <v>2100</v>
      </c>
    </row>
    <row r="840" spans="1:19">
      <c r="A840" s="9" t="s">
        <v>22</v>
      </c>
      <c r="B840" s="9" t="s">
        <v>27</v>
      </c>
      <c r="C840" s="9" t="s">
        <v>90</v>
      </c>
      <c r="D840" t="s">
        <v>204</v>
      </c>
      <c r="F840" s="12" t="s">
        <v>2342</v>
      </c>
      <c r="G840" s="10" t="s">
        <v>713</v>
      </c>
      <c r="H840" s="10" t="s">
        <v>713</v>
      </c>
      <c r="K840" t="s">
        <v>19</v>
      </c>
      <c r="L840" t="s">
        <v>20</v>
      </c>
      <c r="M840" s="9">
        <v>732429</v>
      </c>
      <c r="N840" t="s">
        <v>3477</v>
      </c>
      <c r="O840">
        <v>18</v>
      </c>
      <c r="P840" t="s">
        <v>3477</v>
      </c>
      <c r="Q840">
        <v>18</v>
      </c>
      <c r="R840" s="13">
        <v>20600</v>
      </c>
      <c r="S840" s="13">
        <v>14419.999999999998</v>
      </c>
    </row>
    <row r="841" spans="1:19">
      <c r="A841" s="9" t="s">
        <v>22</v>
      </c>
      <c r="B841" s="9" t="s">
        <v>27</v>
      </c>
      <c r="C841" s="9" t="s">
        <v>90</v>
      </c>
      <c r="D841" t="s">
        <v>204</v>
      </c>
      <c r="F841" s="12" t="s">
        <v>2343</v>
      </c>
      <c r="G841" s="10" t="s">
        <v>713</v>
      </c>
      <c r="H841" s="10" t="s">
        <v>713</v>
      </c>
      <c r="K841" t="s">
        <v>19</v>
      </c>
      <c r="L841" t="s">
        <v>20</v>
      </c>
      <c r="M841" s="9">
        <v>732429</v>
      </c>
      <c r="N841" t="s">
        <v>3477</v>
      </c>
      <c r="O841">
        <v>18</v>
      </c>
      <c r="P841" t="s">
        <v>3477</v>
      </c>
      <c r="Q841">
        <v>18</v>
      </c>
      <c r="R841" s="13">
        <v>23100</v>
      </c>
      <c r="S841" s="13">
        <v>16169.999999999998</v>
      </c>
    </row>
    <row r="842" spans="1:19">
      <c r="A842" s="9" t="s">
        <v>22</v>
      </c>
      <c r="B842" s="9" t="s">
        <v>27</v>
      </c>
      <c r="C842" s="9" t="s">
        <v>90</v>
      </c>
      <c r="D842" t="s">
        <v>204</v>
      </c>
      <c r="F842" s="12" t="s">
        <v>2344</v>
      </c>
      <c r="G842" s="10" t="s">
        <v>713</v>
      </c>
      <c r="H842" s="10" t="s">
        <v>713</v>
      </c>
      <c r="K842" t="s">
        <v>19</v>
      </c>
      <c r="L842" t="s">
        <v>20</v>
      </c>
      <c r="M842" s="9">
        <v>732429</v>
      </c>
      <c r="N842" t="s">
        <v>3477</v>
      </c>
      <c r="O842">
        <v>18</v>
      </c>
      <c r="P842" t="s">
        <v>3477</v>
      </c>
      <c r="Q842">
        <v>18</v>
      </c>
      <c r="R842" s="13">
        <v>24800</v>
      </c>
      <c r="S842" s="13">
        <v>17360</v>
      </c>
    </row>
    <row r="843" spans="1:19">
      <c r="A843" s="9" t="s">
        <v>22</v>
      </c>
      <c r="B843" s="9" t="s">
        <v>27</v>
      </c>
      <c r="C843" s="9" t="s">
        <v>90</v>
      </c>
      <c r="D843" t="s">
        <v>204</v>
      </c>
      <c r="F843" s="12" t="s">
        <v>2345</v>
      </c>
      <c r="G843" s="10" t="s">
        <v>713</v>
      </c>
      <c r="H843" s="10" t="s">
        <v>713</v>
      </c>
      <c r="K843" t="s">
        <v>19</v>
      </c>
      <c r="L843" t="s">
        <v>20</v>
      </c>
      <c r="M843" s="9">
        <v>732429</v>
      </c>
      <c r="N843" t="s">
        <v>3477</v>
      </c>
      <c r="O843">
        <v>18</v>
      </c>
      <c r="P843" t="s">
        <v>3477</v>
      </c>
      <c r="Q843">
        <v>18</v>
      </c>
      <c r="R843" s="13">
        <v>16500</v>
      </c>
      <c r="S843" s="13">
        <v>11550</v>
      </c>
    </row>
    <row r="844" spans="1:19">
      <c r="A844" s="9" t="s">
        <v>22</v>
      </c>
      <c r="B844" s="9" t="s">
        <v>27</v>
      </c>
      <c r="C844" s="9" t="s">
        <v>90</v>
      </c>
      <c r="D844" t="s">
        <v>204</v>
      </c>
      <c r="F844" s="12" t="s">
        <v>2346</v>
      </c>
      <c r="G844" s="10" t="s">
        <v>714</v>
      </c>
      <c r="H844" s="10" t="s">
        <v>714</v>
      </c>
      <c r="K844" t="s">
        <v>19</v>
      </c>
      <c r="L844" t="s">
        <v>20</v>
      </c>
      <c r="M844" s="9">
        <v>732429</v>
      </c>
      <c r="N844" t="s">
        <v>3477</v>
      </c>
      <c r="O844">
        <v>18</v>
      </c>
      <c r="P844" t="s">
        <v>3477</v>
      </c>
      <c r="Q844">
        <v>18</v>
      </c>
      <c r="R844" s="13">
        <v>23100</v>
      </c>
      <c r="S844" s="13">
        <v>16169.999999999998</v>
      </c>
    </row>
    <row r="845" spans="1:19">
      <c r="A845" s="9" t="s">
        <v>22</v>
      </c>
      <c r="B845" s="9" t="s">
        <v>27</v>
      </c>
      <c r="C845" s="9" t="s">
        <v>90</v>
      </c>
      <c r="D845" t="s">
        <v>204</v>
      </c>
      <c r="F845" s="12" t="s">
        <v>2347</v>
      </c>
      <c r="G845" s="10" t="s">
        <v>714</v>
      </c>
      <c r="H845" s="10" t="s">
        <v>714</v>
      </c>
      <c r="K845" t="s">
        <v>19</v>
      </c>
      <c r="L845" t="s">
        <v>20</v>
      </c>
      <c r="M845" s="9">
        <v>732429</v>
      </c>
      <c r="N845" t="s">
        <v>3477</v>
      </c>
      <c r="O845">
        <v>18</v>
      </c>
      <c r="P845" t="s">
        <v>3477</v>
      </c>
      <c r="Q845">
        <v>18</v>
      </c>
      <c r="R845" s="13">
        <v>21900</v>
      </c>
      <c r="S845" s="13">
        <v>15329.999999999998</v>
      </c>
    </row>
    <row r="846" spans="1:19">
      <c r="A846" s="9" t="s">
        <v>22</v>
      </c>
      <c r="B846" s="9" t="s">
        <v>27</v>
      </c>
      <c r="C846" s="9" t="s">
        <v>90</v>
      </c>
      <c r="D846" t="s">
        <v>204</v>
      </c>
      <c r="F846" s="12" t="s">
        <v>2348</v>
      </c>
      <c r="G846" s="10" t="s">
        <v>714</v>
      </c>
      <c r="H846" s="10" t="s">
        <v>714</v>
      </c>
      <c r="K846" t="s">
        <v>19</v>
      </c>
      <c r="L846" t="s">
        <v>20</v>
      </c>
      <c r="M846" s="9">
        <v>732429</v>
      </c>
      <c r="N846" t="s">
        <v>3477</v>
      </c>
      <c r="O846">
        <v>18</v>
      </c>
      <c r="P846" t="s">
        <v>3477</v>
      </c>
      <c r="Q846">
        <v>18</v>
      </c>
      <c r="R846" s="13">
        <v>24500</v>
      </c>
      <c r="S846" s="13">
        <v>17150</v>
      </c>
    </row>
    <row r="847" spans="1:19">
      <c r="A847" s="9" t="s">
        <v>22</v>
      </c>
      <c r="B847" s="9" t="s">
        <v>27</v>
      </c>
      <c r="C847" s="9" t="s">
        <v>90</v>
      </c>
      <c r="D847" t="s">
        <v>204</v>
      </c>
      <c r="F847" s="12" t="s">
        <v>2349</v>
      </c>
      <c r="G847" s="10" t="s">
        <v>714</v>
      </c>
      <c r="H847" s="10" t="s">
        <v>714</v>
      </c>
      <c r="K847" t="s">
        <v>19</v>
      </c>
      <c r="L847" t="s">
        <v>20</v>
      </c>
      <c r="M847" s="9">
        <v>732429</v>
      </c>
      <c r="N847" t="s">
        <v>3477</v>
      </c>
      <c r="O847">
        <v>18</v>
      </c>
      <c r="P847" t="s">
        <v>3477</v>
      </c>
      <c r="Q847">
        <v>18</v>
      </c>
      <c r="R847" s="13">
        <v>26250</v>
      </c>
      <c r="S847" s="13">
        <v>18375</v>
      </c>
    </row>
    <row r="848" spans="1:19">
      <c r="A848" s="9" t="s">
        <v>22</v>
      </c>
      <c r="B848" s="9" t="s">
        <v>27</v>
      </c>
      <c r="C848" s="9" t="s">
        <v>90</v>
      </c>
      <c r="D848" t="s">
        <v>204</v>
      </c>
      <c r="F848" s="12" t="s">
        <v>2350</v>
      </c>
      <c r="G848" s="10" t="s">
        <v>714</v>
      </c>
      <c r="H848" s="10" t="s">
        <v>714</v>
      </c>
      <c r="K848" t="s">
        <v>19</v>
      </c>
      <c r="L848" t="s">
        <v>20</v>
      </c>
      <c r="M848" s="9">
        <v>732429</v>
      </c>
      <c r="N848" t="s">
        <v>3477</v>
      </c>
      <c r="O848">
        <v>18</v>
      </c>
      <c r="P848" t="s">
        <v>3477</v>
      </c>
      <c r="Q848">
        <v>18</v>
      </c>
      <c r="R848" s="13">
        <v>26300</v>
      </c>
      <c r="S848" s="13">
        <v>18410</v>
      </c>
    </row>
    <row r="849" spans="1:19">
      <c r="A849" s="9" t="s">
        <v>22</v>
      </c>
      <c r="B849" s="9" t="s">
        <v>27</v>
      </c>
      <c r="C849" s="9" t="s">
        <v>90</v>
      </c>
      <c r="D849" t="s">
        <v>204</v>
      </c>
      <c r="F849" s="12" t="s">
        <v>2351</v>
      </c>
      <c r="G849" s="10" t="s">
        <v>714</v>
      </c>
      <c r="H849" s="10" t="s">
        <v>714</v>
      </c>
      <c r="K849" t="s">
        <v>19</v>
      </c>
      <c r="L849" t="s">
        <v>20</v>
      </c>
      <c r="M849" s="9">
        <v>732429</v>
      </c>
      <c r="N849" t="s">
        <v>3477</v>
      </c>
      <c r="O849">
        <v>18</v>
      </c>
      <c r="P849" t="s">
        <v>3477</v>
      </c>
      <c r="Q849">
        <v>18</v>
      </c>
      <c r="R849" s="13">
        <v>17500</v>
      </c>
      <c r="S849" s="13">
        <v>12250</v>
      </c>
    </row>
    <row r="850" spans="1:19">
      <c r="A850" s="9" t="s">
        <v>22</v>
      </c>
      <c r="B850" s="9" t="s">
        <v>27</v>
      </c>
      <c r="C850" s="9" t="s">
        <v>90</v>
      </c>
      <c r="D850" t="s">
        <v>204</v>
      </c>
      <c r="F850" s="12" t="s">
        <v>2352</v>
      </c>
      <c r="G850" s="10" t="s">
        <v>715</v>
      </c>
      <c r="H850" s="10" t="s">
        <v>715</v>
      </c>
      <c r="K850" t="s">
        <v>19</v>
      </c>
      <c r="L850" t="s">
        <v>20</v>
      </c>
      <c r="M850" s="9">
        <v>732429</v>
      </c>
      <c r="N850" t="s">
        <v>3477</v>
      </c>
      <c r="O850">
        <v>18</v>
      </c>
      <c r="P850" t="s">
        <v>3477</v>
      </c>
      <c r="Q850">
        <v>18</v>
      </c>
      <c r="R850" s="13">
        <v>24500</v>
      </c>
      <c r="S850" s="13">
        <v>17150</v>
      </c>
    </row>
    <row r="851" spans="1:19">
      <c r="A851" s="9" t="s">
        <v>22</v>
      </c>
      <c r="B851" s="9" t="s">
        <v>27</v>
      </c>
      <c r="C851" s="9" t="s">
        <v>90</v>
      </c>
      <c r="D851" t="s">
        <v>204</v>
      </c>
      <c r="F851" s="12" t="s">
        <v>2353</v>
      </c>
      <c r="G851" s="10" t="s">
        <v>715</v>
      </c>
      <c r="H851" s="10" t="s">
        <v>715</v>
      </c>
      <c r="K851" t="s">
        <v>19</v>
      </c>
      <c r="L851" t="s">
        <v>20</v>
      </c>
      <c r="M851" s="9">
        <v>732429</v>
      </c>
      <c r="N851" t="s">
        <v>3477</v>
      </c>
      <c r="O851">
        <v>18</v>
      </c>
      <c r="P851" t="s">
        <v>3477</v>
      </c>
      <c r="Q851">
        <v>18</v>
      </c>
      <c r="R851" s="13">
        <v>26300</v>
      </c>
      <c r="S851" s="13">
        <v>18410</v>
      </c>
    </row>
    <row r="852" spans="1:19">
      <c r="A852" s="9" t="s">
        <v>22</v>
      </c>
      <c r="B852" s="9" t="s">
        <v>27</v>
      </c>
      <c r="C852" s="9" t="s">
        <v>90</v>
      </c>
      <c r="D852" t="s">
        <v>204</v>
      </c>
      <c r="F852" s="12" t="s">
        <v>2354</v>
      </c>
      <c r="G852" s="10" t="s">
        <v>715</v>
      </c>
      <c r="H852" s="10" t="s">
        <v>715</v>
      </c>
      <c r="K852" t="s">
        <v>19</v>
      </c>
      <c r="L852" t="s">
        <v>20</v>
      </c>
      <c r="M852" s="9">
        <v>732429</v>
      </c>
      <c r="N852" t="s">
        <v>3477</v>
      </c>
      <c r="O852">
        <v>18</v>
      </c>
      <c r="P852" t="s">
        <v>3477</v>
      </c>
      <c r="Q852">
        <v>18</v>
      </c>
      <c r="R852" s="13">
        <v>29400</v>
      </c>
      <c r="S852" s="13">
        <v>20580</v>
      </c>
    </row>
    <row r="853" spans="1:19">
      <c r="A853" s="9" t="s">
        <v>22</v>
      </c>
      <c r="B853" s="9" t="s">
        <v>27</v>
      </c>
      <c r="C853" s="9" t="s">
        <v>90</v>
      </c>
      <c r="D853" t="s">
        <v>204</v>
      </c>
      <c r="F853" s="12" t="s">
        <v>2355</v>
      </c>
      <c r="G853" s="10" t="s">
        <v>715</v>
      </c>
      <c r="H853" s="10" t="s">
        <v>715</v>
      </c>
      <c r="K853" t="s">
        <v>19</v>
      </c>
      <c r="L853" t="s">
        <v>20</v>
      </c>
      <c r="M853" s="9">
        <v>732429</v>
      </c>
      <c r="N853" t="s">
        <v>3477</v>
      </c>
      <c r="O853">
        <v>18</v>
      </c>
      <c r="P853" t="s">
        <v>3477</v>
      </c>
      <c r="Q853">
        <v>18</v>
      </c>
      <c r="R853" s="13">
        <v>31500</v>
      </c>
      <c r="S853" s="13">
        <v>22050</v>
      </c>
    </row>
    <row r="854" spans="1:19">
      <c r="A854" s="9" t="s">
        <v>22</v>
      </c>
      <c r="B854" s="9" t="s">
        <v>27</v>
      </c>
      <c r="C854" s="9" t="s">
        <v>90</v>
      </c>
      <c r="D854" t="s">
        <v>204</v>
      </c>
      <c r="F854" s="12" t="s">
        <v>2356</v>
      </c>
      <c r="G854" s="10" t="s">
        <v>715</v>
      </c>
      <c r="H854" s="10" t="s">
        <v>715</v>
      </c>
      <c r="K854" t="s">
        <v>19</v>
      </c>
      <c r="L854" t="s">
        <v>20</v>
      </c>
      <c r="M854" s="9">
        <v>732429</v>
      </c>
      <c r="N854" t="s">
        <v>3477</v>
      </c>
      <c r="O854">
        <v>18</v>
      </c>
      <c r="P854" t="s">
        <v>3477</v>
      </c>
      <c r="Q854">
        <v>18</v>
      </c>
      <c r="R854" s="13">
        <v>31500</v>
      </c>
      <c r="S854" s="13">
        <v>22050</v>
      </c>
    </row>
    <row r="855" spans="1:19">
      <c r="A855" s="9" t="s">
        <v>22</v>
      </c>
      <c r="B855" s="9" t="s">
        <v>27</v>
      </c>
      <c r="C855" s="9" t="s">
        <v>90</v>
      </c>
      <c r="D855" t="s">
        <v>204</v>
      </c>
      <c r="F855" s="12" t="s">
        <v>2357</v>
      </c>
      <c r="G855" s="10" t="s">
        <v>715</v>
      </c>
      <c r="H855" s="10" t="s">
        <v>715</v>
      </c>
      <c r="K855" t="s">
        <v>19</v>
      </c>
      <c r="L855" t="s">
        <v>20</v>
      </c>
      <c r="M855" s="9">
        <v>732429</v>
      </c>
      <c r="N855" t="s">
        <v>3477</v>
      </c>
      <c r="O855">
        <v>18</v>
      </c>
      <c r="P855" t="s">
        <v>3477</v>
      </c>
      <c r="Q855">
        <v>18</v>
      </c>
      <c r="R855" s="13">
        <v>21000</v>
      </c>
      <c r="S855" s="13">
        <v>14699.999999999998</v>
      </c>
    </row>
    <row r="856" spans="1:19">
      <c r="A856" s="9" t="s">
        <v>22</v>
      </c>
      <c r="B856" s="9" t="s">
        <v>27</v>
      </c>
      <c r="C856" s="9" t="s">
        <v>90</v>
      </c>
      <c r="D856" t="s">
        <v>204</v>
      </c>
      <c r="F856" s="12" t="s">
        <v>2358</v>
      </c>
      <c r="G856" s="10" t="s">
        <v>716</v>
      </c>
      <c r="H856" s="10" t="s">
        <v>716</v>
      </c>
      <c r="K856" t="s">
        <v>19</v>
      </c>
      <c r="L856" t="s">
        <v>20</v>
      </c>
      <c r="M856" s="9">
        <v>732429</v>
      </c>
      <c r="N856" t="s">
        <v>3477</v>
      </c>
      <c r="O856">
        <v>18</v>
      </c>
      <c r="P856" t="s">
        <v>3477</v>
      </c>
      <c r="Q856">
        <v>18</v>
      </c>
      <c r="R856" s="13">
        <v>29400</v>
      </c>
      <c r="S856" s="13">
        <v>20580</v>
      </c>
    </row>
    <row r="857" spans="1:19">
      <c r="A857" s="9" t="s">
        <v>23</v>
      </c>
      <c r="B857" s="9" t="s">
        <v>26</v>
      </c>
      <c r="C857" s="9" t="s">
        <v>43</v>
      </c>
      <c r="D857" t="s">
        <v>204</v>
      </c>
      <c r="F857" s="12" t="s">
        <v>2359</v>
      </c>
      <c r="G857" s="10" t="s">
        <v>717</v>
      </c>
      <c r="H857" s="10" t="s">
        <v>717</v>
      </c>
      <c r="K857" t="s">
        <v>19</v>
      </c>
      <c r="L857" t="s">
        <v>20</v>
      </c>
      <c r="M857" s="9">
        <v>69101</v>
      </c>
      <c r="N857" t="s">
        <v>3477</v>
      </c>
      <c r="O857">
        <v>18</v>
      </c>
      <c r="P857" t="s">
        <v>3477</v>
      </c>
      <c r="Q857">
        <v>18</v>
      </c>
      <c r="R857" s="13">
        <v>33000</v>
      </c>
      <c r="S857" s="13">
        <v>19800</v>
      </c>
    </row>
    <row r="858" spans="1:19">
      <c r="A858" s="9" t="s">
        <v>23</v>
      </c>
      <c r="B858" s="9" t="s">
        <v>26</v>
      </c>
      <c r="C858" s="9" t="s">
        <v>43</v>
      </c>
      <c r="D858" t="s">
        <v>204</v>
      </c>
      <c r="F858" s="12" t="s">
        <v>2360</v>
      </c>
      <c r="G858" s="10" t="s">
        <v>718</v>
      </c>
      <c r="H858" s="10" t="s">
        <v>718</v>
      </c>
      <c r="K858" t="s">
        <v>19</v>
      </c>
      <c r="L858" t="s">
        <v>20</v>
      </c>
      <c r="M858" s="9">
        <v>69101</v>
      </c>
      <c r="N858" t="s">
        <v>3477</v>
      </c>
      <c r="O858">
        <v>18</v>
      </c>
      <c r="P858" t="s">
        <v>3477</v>
      </c>
      <c r="Q858">
        <v>18</v>
      </c>
      <c r="R858" s="13">
        <v>43000</v>
      </c>
      <c r="S858" s="13">
        <v>25800</v>
      </c>
    </row>
    <row r="859" spans="1:19">
      <c r="A859" s="9" t="s">
        <v>22</v>
      </c>
      <c r="B859" s="9" t="s">
        <v>26</v>
      </c>
      <c r="C859" s="9" t="s">
        <v>43</v>
      </c>
      <c r="D859" t="s">
        <v>204</v>
      </c>
      <c r="F859" s="12" t="s">
        <v>2361</v>
      </c>
      <c r="G859" s="10" t="s">
        <v>718</v>
      </c>
      <c r="H859" s="10" t="s">
        <v>718</v>
      </c>
      <c r="K859" t="s">
        <v>19</v>
      </c>
      <c r="L859" t="s">
        <v>20</v>
      </c>
      <c r="M859" s="9">
        <v>69101</v>
      </c>
      <c r="N859" t="s">
        <v>3477</v>
      </c>
      <c r="O859">
        <v>18</v>
      </c>
      <c r="P859" t="s">
        <v>3477</v>
      </c>
      <c r="Q859">
        <v>18</v>
      </c>
      <c r="R859" s="13">
        <v>26000</v>
      </c>
      <c r="S859" s="13">
        <v>18200</v>
      </c>
    </row>
    <row r="860" spans="1:19">
      <c r="A860" s="9" t="s">
        <v>22</v>
      </c>
      <c r="B860" s="9" t="s">
        <v>26</v>
      </c>
      <c r="C860" s="9" t="s">
        <v>43</v>
      </c>
      <c r="D860" t="s">
        <v>204</v>
      </c>
      <c r="F860" s="12" t="s">
        <v>2362</v>
      </c>
      <c r="G860" s="10" t="s">
        <v>718</v>
      </c>
      <c r="H860" s="10" t="s">
        <v>718</v>
      </c>
      <c r="K860" t="s">
        <v>19</v>
      </c>
      <c r="L860" t="s">
        <v>20</v>
      </c>
      <c r="M860" s="9">
        <v>69101</v>
      </c>
      <c r="N860" t="s">
        <v>3477</v>
      </c>
      <c r="O860">
        <v>18</v>
      </c>
      <c r="P860" t="s">
        <v>3477</v>
      </c>
      <c r="Q860">
        <v>18</v>
      </c>
      <c r="R860" s="13">
        <v>29900</v>
      </c>
      <c r="S860" s="13">
        <v>20930</v>
      </c>
    </row>
    <row r="861" spans="1:19">
      <c r="A861" s="9" t="s">
        <v>22</v>
      </c>
      <c r="B861" s="9" t="s">
        <v>26</v>
      </c>
      <c r="C861" s="9" t="s">
        <v>43</v>
      </c>
      <c r="D861" t="s">
        <v>204</v>
      </c>
      <c r="F861" s="12" t="s">
        <v>2363</v>
      </c>
      <c r="G861" s="10" t="s">
        <v>719</v>
      </c>
      <c r="H861" s="10" t="s">
        <v>719</v>
      </c>
      <c r="K861" t="s">
        <v>19</v>
      </c>
      <c r="L861" t="s">
        <v>20</v>
      </c>
      <c r="M861" s="9">
        <v>69101</v>
      </c>
      <c r="N861" t="s">
        <v>3477</v>
      </c>
      <c r="O861">
        <v>18</v>
      </c>
      <c r="P861" t="s">
        <v>3477</v>
      </c>
      <c r="Q861">
        <v>18</v>
      </c>
      <c r="R861" s="13">
        <v>29900</v>
      </c>
      <c r="S861" s="13">
        <v>20930</v>
      </c>
    </row>
    <row r="862" spans="1:19">
      <c r="A862" s="9" t="s">
        <v>22</v>
      </c>
      <c r="B862" s="9" t="s">
        <v>26</v>
      </c>
      <c r="C862" s="9" t="s">
        <v>43</v>
      </c>
      <c r="D862" t="s">
        <v>204</v>
      </c>
      <c r="F862" s="12" t="s">
        <v>2364</v>
      </c>
      <c r="G862" s="10" t="s">
        <v>720</v>
      </c>
      <c r="H862" s="10" t="s">
        <v>720</v>
      </c>
      <c r="K862" t="s">
        <v>19</v>
      </c>
      <c r="L862" t="s">
        <v>20</v>
      </c>
      <c r="M862" s="9">
        <v>69101</v>
      </c>
      <c r="N862" t="s">
        <v>3477</v>
      </c>
      <c r="O862">
        <v>18</v>
      </c>
      <c r="P862" t="s">
        <v>3477</v>
      </c>
      <c r="Q862">
        <v>18</v>
      </c>
      <c r="R862" s="13">
        <v>31500</v>
      </c>
      <c r="S862" s="13">
        <v>22050</v>
      </c>
    </row>
    <row r="863" spans="1:19">
      <c r="A863" s="9" t="s">
        <v>22</v>
      </c>
      <c r="B863" s="9" t="s">
        <v>27</v>
      </c>
      <c r="C863" s="9" t="s">
        <v>56</v>
      </c>
      <c r="D863" t="s">
        <v>204</v>
      </c>
      <c r="F863" s="12" t="s">
        <v>2365</v>
      </c>
      <c r="G863" s="10" t="s">
        <v>721</v>
      </c>
      <c r="H863" s="10" t="s">
        <v>721</v>
      </c>
      <c r="K863" t="s">
        <v>19</v>
      </c>
      <c r="L863" t="s">
        <v>20</v>
      </c>
      <c r="M863" s="9">
        <v>7418202</v>
      </c>
      <c r="N863" t="s">
        <v>3477</v>
      </c>
      <c r="O863">
        <v>18</v>
      </c>
      <c r="P863" t="s">
        <v>3477</v>
      </c>
      <c r="Q863">
        <v>18</v>
      </c>
      <c r="R863" s="13">
        <v>2230</v>
      </c>
      <c r="S863" s="13">
        <v>1561</v>
      </c>
    </row>
    <row r="864" spans="1:19">
      <c r="A864" s="9" t="s">
        <v>24</v>
      </c>
      <c r="B864" s="9" t="s">
        <v>27</v>
      </c>
      <c r="C864" s="9" t="s">
        <v>48</v>
      </c>
      <c r="D864" t="s">
        <v>204</v>
      </c>
      <c r="F864" s="12" t="s">
        <v>2366</v>
      </c>
      <c r="G864" s="10" t="s">
        <v>722</v>
      </c>
      <c r="H864" s="10" t="s">
        <v>722</v>
      </c>
      <c r="K864" t="s">
        <v>19</v>
      </c>
      <c r="L864" t="s">
        <v>20</v>
      </c>
      <c r="M864" s="9">
        <v>8481802</v>
      </c>
      <c r="N864" t="s">
        <v>3477</v>
      </c>
      <c r="O864">
        <v>18</v>
      </c>
      <c r="P864" t="s">
        <v>3477</v>
      </c>
      <c r="Q864">
        <v>18</v>
      </c>
      <c r="R864" s="13">
        <v>5900</v>
      </c>
      <c r="S864" s="13">
        <v>4425</v>
      </c>
    </row>
    <row r="865" spans="1:19">
      <c r="A865" s="9" t="s">
        <v>24</v>
      </c>
      <c r="B865" s="9" t="s">
        <v>27</v>
      </c>
      <c r="C865" s="9" t="s">
        <v>48</v>
      </c>
      <c r="D865" t="s">
        <v>204</v>
      </c>
      <c r="F865" s="12" t="s">
        <v>2367</v>
      </c>
      <c r="G865" s="10" t="s">
        <v>723</v>
      </c>
      <c r="H865" s="10" t="s">
        <v>723</v>
      </c>
      <c r="K865" t="s">
        <v>19</v>
      </c>
      <c r="L865" t="s">
        <v>20</v>
      </c>
      <c r="M865" s="9">
        <v>8481802</v>
      </c>
      <c r="N865" t="s">
        <v>3477</v>
      </c>
      <c r="O865">
        <v>18</v>
      </c>
      <c r="P865" t="s">
        <v>3477</v>
      </c>
      <c r="Q865">
        <v>18</v>
      </c>
      <c r="R865" s="13">
        <v>6300</v>
      </c>
      <c r="S865" s="13">
        <v>4725</v>
      </c>
    </row>
    <row r="866" spans="1:19">
      <c r="A866" s="9" t="s">
        <v>24</v>
      </c>
      <c r="B866" s="9" t="s">
        <v>27</v>
      </c>
      <c r="C866" s="9" t="s">
        <v>48</v>
      </c>
      <c r="D866" t="s">
        <v>204</v>
      </c>
      <c r="F866" s="12" t="s">
        <v>2368</v>
      </c>
      <c r="G866" s="10" t="s">
        <v>724</v>
      </c>
      <c r="H866" s="10" t="s">
        <v>724</v>
      </c>
      <c r="K866" t="s">
        <v>19</v>
      </c>
      <c r="L866" t="s">
        <v>20</v>
      </c>
      <c r="M866" s="9">
        <v>8481802</v>
      </c>
      <c r="N866" t="s">
        <v>3477</v>
      </c>
      <c r="O866">
        <v>18</v>
      </c>
      <c r="P866" t="s">
        <v>3477</v>
      </c>
      <c r="Q866">
        <v>18</v>
      </c>
      <c r="R866" s="13">
        <v>6900</v>
      </c>
      <c r="S866" s="13">
        <v>5175</v>
      </c>
    </row>
    <row r="867" spans="1:19">
      <c r="A867" s="9" t="s">
        <v>24</v>
      </c>
      <c r="B867" s="9" t="s">
        <v>27</v>
      </c>
      <c r="C867" s="9" t="s">
        <v>49</v>
      </c>
      <c r="D867" t="s">
        <v>204</v>
      </c>
      <c r="F867" s="12" t="s">
        <v>2369</v>
      </c>
      <c r="G867" s="10" t="s">
        <v>725</v>
      </c>
      <c r="H867" s="10" t="s">
        <v>725</v>
      </c>
      <c r="K867" t="s">
        <v>19</v>
      </c>
      <c r="L867" t="s">
        <v>20</v>
      </c>
      <c r="M867" s="9">
        <v>8481802</v>
      </c>
      <c r="N867" t="s">
        <v>3477</v>
      </c>
      <c r="O867">
        <v>18</v>
      </c>
      <c r="P867" t="s">
        <v>3477</v>
      </c>
      <c r="Q867">
        <v>18</v>
      </c>
      <c r="R867" s="13">
        <v>7880</v>
      </c>
      <c r="S867" s="13">
        <v>5910</v>
      </c>
    </row>
    <row r="868" spans="1:19">
      <c r="A868" s="9" t="s">
        <v>24</v>
      </c>
      <c r="B868" s="9" t="s">
        <v>27</v>
      </c>
      <c r="C868" s="9" t="s">
        <v>114</v>
      </c>
      <c r="D868" t="s">
        <v>204</v>
      </c>
      <c r="F868" s="12" t="s">
        <v>2370</v>
      </c>
      <c r="G868" s="10" t="s">
        <v>726</v>
      </c>
      <c r="H868" s="10" t="s">
        <v>726</v>
      </c>
      <c r="K868" t="s">
        <v>19</v>
      </c>
      <c r="L868" t="s">
        <v>20</v>
      </c>
      <c r="M868" s="9">
        <v>8481802</v>
      </c>
      <c r="N868" t="s">
        <v>3477</v>
      </c>
      <c r="O868">
        <v>18</v>
      </c>
      <c r="P868" t="s">
        <v>3477</v>
      </c>
      <c r="Q868">
        <v>18</v>
      </c>
      <c r="R868" s="13">
        <v>3800</v>
      </c>
      <c r="S868" s="13">
        <v>2850</v>
      </c>
    </row>
    <row r="869" spans="1:19">
      <c r="A869" s="9" t="s">
        <v>24</v>
      </c>
      <c r="B869" s="9" t="s">
        <v>27</v>
      </c>
      <c r="C869" s="9" t="s">
        <v>114</v>
      </c>
      <c r="D869" t="s">
        <v>204</v>
      </c>
      <c r="F869" s="12" t="s">
        <v>2371</v>
      </c>
      <c r="G869" s="10" t="s">
        <v>727</v>
      </c>
      <c r="H869" s="10" t="s">
        <v>727</v>
      </c>
      <c r="K869" t="s">
        <v>19</v>
      </c>
      <c r="L869" t="s">
        <v>20</v>
      </c>
      <c r="M869" s="9">
        <v>8481802</v>
      </c>
      <c r="N869" t="s">
        <v>3477</v>
      </c>
      <c r="O869">
        <v>18</v>
      </c>
      <c r="P869" t="s">
        <v>3477</v>
      </c>
      <c r="Q869">
        <v>18</v>
      </c>
      <c r="R869" s="13">
        <v>4300</v>
      </c>
      <c r="S869" s="13">
        <v>3225</v>
      </c>
    </row>
    <row r="870" spans="1:19">
      <c r="A870" s="9" t="s">
        <v>24</v>
      </c>
      <c r="B870" s="9" t="s">
        <v>27</v>
      </c>
      <c r="C870" s="9" t="s">
        <v>114</v>
      </c>
      <c r="D870" t="s">
        <v>204</v>
      </c>
      <c r="F870" s="12" t="s">
        <v>2372</v>
      </c>
      <c r="G870" s="10" t="s">
        <v>728</v>
      </c>
      <c r="H870" s="10" t="s">
        <v>728</v>
      </c>
      <c r="K870" t="s">
        <v>19</v>
      </c>
      <c r="L870" t="s">
        <v>20</v>
      </c>
      <c r="M870" s="9">
        <v>8481802</v>
      </c>
      <c r="N870" t="s">
        <v>3477</v>
      </c>
      <c r="O870">
        <v>18</v>
      </c>
      <c r="P870" t="s">
        <v>3477</v>
      </c>
      <c r="Q870">
        <v>18</v>
      </c>
      <c r="R870" s="13">
        <v>5000</v>
      </c>
      <c r="S870" s="13">
        <v>3750</v>
      </c>
    </row>
    <row r="871" spans="1:19">
      <c r="A871" s="9" t="s">
        <v>24</v>
      </c>
      <c r="B871" s="9" t="s">
        <v>27</v>
      </c>
      <c r="C871" s="9" t="s">
        <v>118</v>
      </c>
      <c r="D871" t="s">
        <v>204</v>
      </c>
      <c r="F871" s="12" t="s">
        <v>2373</v>
      </c>
      <c r="G871" s="10" t="s">
        <v>729</v>
      </c>
      <c r="H871" s="10" t="s">
        <v>729</v>
      </c>
      <c r="K871" t="s">
        <v>19</v>
      </c>
      <c r="L871" t="s">
        <v>20</v>
      </c>
      <c r="M871" s="9">
        <v>8481802</v>
      </c>
      <c r="N871" t="s">
        <v>3477</v>
      </c>
      <c r="O871">
        <v>18</v>
      </c>
      <c r="P871" t="s">
        <v>3477</v>
      </c>
      <c r="Q871">
        <v>18</v>
      </c>
      <c r="R871" s="13">
        <v>3220</v>
      </c>
      <c r="S871" s="13">
        <v>2415</v>
      </c>
    </row>
    <row r="872" spans="1:19">
      <c r="A872" s="9" t="s">
        <v>24</v>
      </c>
      <c r="B872" s="9" t="s">
        <v>27</v>
      </c>
      <c r="C872" s="9" t="s">
        <v>118</v>
      </c>
      <c r="D872" t="s">
        <v>204</v>
      </c>
      <c r="F872" s="12" t="s">
        <v>2374</v>
      </c>
      <c r="G872" s="10" t="s">
        <v>730</v>
      </c>
      <c r="H872" s="10" t="s">
        <v>730</v>
      </c>
      <c r="K872" t="s">
        <v>19</v>
      </c>
      <c r="L872" t="s">
        <v>20</v>
      </c>
      <c r="M872" s="9">
        <v>8481802</v>
      </c>
      <c r="N872" t="s">
        <v>3477</v>
      </c>
      <c r="O872">
        <v>18</v>
      </c>
      <c r="P872" t="s">
        <v>3477</v>
      </c>
      <c r="Q872">
        <v>18</v>
      </c>
      <c r="R872" s="13">
        <v>3430</v>
      </c>
      <c r="S872" s="13">
        <v>2572.5</v>
      </c>
    </row>
    <row r="873" spans="1:19">
      <c r="A873" s="9" t="s">
        <v>24</v>
      </c>
      <c r="B873" s="9" t="s">
        <v>27</v>
      </c>
      <c r="C873" s="9" t="s">
        <v>118</v>
      </c>
      <c r="D873" t="s">
        <v>204</v>
      </c>
      <c r="F873" s="12" t="s">
        <v>2375</v>
      </c>
      <c r="G873" s="10" t="s">
        <v>731</v>
      </c>
      <c r="H873" s="10" t="s">
        <v>731</v>
      </c>
      <c r="K873" t="s">
        <v>19</v>
      </c>
      <c r="L873" t="s">
        <v>20</v>
      </c>
      <c r="M873" s="9">
        <v>8481802</v>
      </c>
      <c r="N873" t="s">
        <v>3477</v>
      </c>
      <c r="O873">
        <v>18</v>
      </c>
      <c r="P873" t="s">
        <v>3477</v>
      </c>
      <c r="Q873">
        <v>18</v>
      </c>
      <c r="R873" s="13">
        <v>3680</v>
      </c>
      <c r="S873" s="13">
        <v>2760</v>
      </c>
    </row>
    <row r="874" spans="1:19">
      <c r="A874" s="9" t="s">
        <v>24</v>
      </c>
      <c r="B874" s="9" t="s">
        <v>27</v>
      </c>
      <c r="C874" s="9" t="s">
        <v>149</v>
      </c>
      <c r="D874" t="s">
        <v>204</v>
      </c>
      <c r="F874" s="12" t="s">
        <v>2376</v>
      </c>
      <c r="G874" s="10" t="s">
        <v>732</v>
      </c>
      <c r="H874" s="10" t="s">
        <v>732</v>
      </c>
      <c r="K874" t="s">
        <v>19</v>
      </c>
      <c r="L874" t="s">
        <v>20</v>
      </c>
      <c r="M874" s="9">
        <v>8481802</v>
      </c>
      <c r="N874" t="s">
        <v>3477</v>
      </c>
      <c r="O874">
        <v>18</v>
      </c>
      <c r="P874" t="s">
        <v>3477</v>
      </c>
      <c r="Q874">
        <v>18</v>
      </c>
      <c r="R874" s="13">
        <v>3020</v>
      </c>
      <c r="S874" s="13">
        <v>2265</v>
      </c>
    </row>
    <row r="875" spans="1:19">
      <c r="A875" s="9" t="s">
        <v>24</v>
      </c>
      <c r="B875" s="9" t="s">
        <v>27</v>
      </c>
      <c r="C875" s="9" t="s">
        <v>149</v>
      </c>
      <c r="D875" t="s">
        <v>204</v>
      </c>
      <c r="F875" s="12" t="s">
        <v>2377</v>
      </c>
      <c r="G875" s="10" t="s">
        <v>733</v>
      </c>
      <c r="H875" s="10" t="s">
        <v>733</v>
      </c>
      <c r="K875" t="s">
        <v>19</v>
      </c>
      <c r="L875" t="s">
        <v>20</v>
      </c>
      <c r="M875" s="9">
        <v>8481802</v>
      </c>
      <c r="N875" t="s">
        <v>3477</v>
      </c>
      <c r="O875">
        <v>18</v>
      </c>
      <c r="P875" t="s">
        <v>3477</v>
      </c>
      <c r="Q875">
        <v>18</v>
      </c>
      <c r="R875" s="13">
        <v>3230</v>
      </c>
      <c r="S875" s="13">
        <v>2422.5</v>
      </c>
    </row>
    <row r="876" spans="1:19">
      <c r="A876" s="9" t="s">
        <v>24</v>
      </c>
      <c r="B876" s="9" t="s">
        <v>27</v>
      </c>
      <c r="C876" s="9" t="s">
        <v>149</v>
      </c>
      <c r="D876" t="s">
        <v>204</v>
      </c>
      <c r="F876" s="12" t="s">
        <v>2378</v>
      </c>
      <c r="G876" s="10" t="s">
        <v>734</v>
      </c>
      <c r="H876" s="10" t="s">
        <v>734</v>
      </c>
      <c r="K876" t="s">
        <v>19</v>
      </c>
      <c r="L876" t="s">
        <v>20</v>
      </c>
      <c r="M876" s="9">
        <v>8481802</v>
      </c>
      <c r="N876" t="s">
        <v>3477</v>
      </c>
      <c r="O876">
        <v>18</v>
      </c>
      <c r="P876" t="s">
        <v>3477</v>
      </c>
      <c r="Q876">
        <v>18</v>
      </c>
      <c r="R876" s="13">
        <v>3480</v>
      </c>
      <c r="S876" s="13">
        <v>2610</v>
      </c>
    </row>
    <row r="877" spans="1:19">
      <c r="A877" s="9" t="s">
        <v>24</v>
      </c>
      <c r="B877" s="9" t="s">
        <v>27</v>
      </c>
      <c r="C877" s="9" t="s">
        <v>51</v>
      </c>
      <c r="D877" t="s">
        <v>204</v>
      </c>
      <c r="F877" s="12" t="s">
        <v>2379</v>
      </c>
      <c r="G877" s="10" t="s">
        <v>735</v>
      </c>
      <c r="H877" s="10" t="s">
        <v>735</v>
      </c>
      <c r="K877" t="s">
        <v>19</v>
      </c>
      <c r="L877" t="s">
        <v>20</v>
      </c>
      <c r="M877" s="9">
        <v>8481802</v>
      </c>
      <c r="N877" t="s">
        <v>3477</v>
      </c>
      <c r="O877">
        <v>18</v>
      </c>
      <c r="P877" t="s">
        <v>3477</v>
      </c>
      <c r="Q877">
        <v>18</v>
      </c>
      <c r="R877" s="13">
        <v>2700</v>
      </c>
      <c r="S877" s="13">
        <v>2025</v>
      </c>
    </row>
    <row r="878" spans="1:19">
      <c r="A878" s="9" t="s">
        <v>24</v>
      </c>
      <c r="B878" s="9" t="s">
        <v>27</v>
      </c>
      <c r="C878" s="9" t="s">
        <v>51</v>
      </c>
      <c r="D878" t="s">
        <v>204</v>
      </c>
      <c r="F878" s="12" t="s">
        <v>2380</v>
      </c>
      <c r="G878" s="10" t="s">
        <v>736</v>
      </c>
      <c r="H878" s="10" t="s">
        <v>736</v>
      </c>
      <c r="K878" t="s">
        <v>19</v>
      </c>
      <c r="L878" t="s">
        <v>20</v>
      </c>
      <c r="M878" s="9">
        <v>8481802</v>
      </c>
      <c r="N878" t="s">
        <v>3477</v>
      </c>
      <c r="O878">
        <v>18</v>
      </c>
      <c r="P878" t="s">
        <v>3477</v>
      </c>
      <c r="Q878">
        <v>18</v>
      </c>
      <c r="R878" s="13">
        <v>2700</v>
      </c>
      <c r="S878" s="13">
        <v>2025</v>
      </c>
    </row>
    <row r="879" spans="1:19">
      <c r="A879" s="9" t="s">
        <v>24</v>
      </c>
      <c r="B879" s="9" t="s">
        <v>27</v>
      </c>
      <c r="C879" s="9" t="s">
        <v>51</v>
      </c>
      <c r="D879" t="s">
        <v>204</v>
      </c>
      <c r="F879" s="12" t="s">
        <v>2381</v>
      </c>
      <c r="G879" s="10" t="s">
        <v>737</v>
      </c>
      <c r="H879" s="10" t="s">
        <v>737</v>
      </c>
      <c r="K879" t="s">
        <v>19</v>
      </c>
      <c r="L879" t="s">
        <v>20</v>
      </c>
      <c r="M879" s="9">
        <v>8481802</v>
      </c>
      <c r="N879" t="s">
        <v>3477</v>
      </c>
      <c r="O879">
        <v>18</v>
      </c>
      <c r="P879" t="s">
        <v>3477</v>
      </c>
      <c r="Q879">
        <v>18</v>
      </c>
      <c r="R879" s="13">
        <v>3890</v>
      </c>
      <c r="S879" s="13">
        <v>2917.5</v>
      </c>
    </row>
    <row r="880" spans="1:19">
      <c r="A880" s="9" t="s">
        <v>24</v>
      </c>
      <c r="B880" s="9" t="s">
        <v>27</v>
      </c>
      <c r="C880" s="9" t="s">
        <v>51</v>
      </c>
      <c r="D880" t="s">
        <v>204</v>
      </c>
      <c r="F880" s="12" t="s">
        <v>2382</v>
      </c>
      <c r="G880" s="10" t="s">
        <v>738</v>
      </c>
      <c r="H880" s="10" t="s">
        <v>738</v>
      </c>
      <c r="K880" t="s">
        <v>19</v>
      </c>
      <c r="L880" t="s">
        <v>20</v>
      </c>
      <c r="M880" s="9">
        <v>8481802</v>
      </c>
      <c r="N880" t="s">
        <v>3477</v>
      </c>
      <c r="O880">
        <v>18</v>
      </c>
      <c r="P880" t="s">
        <v>3477</v>
      </c>
      <c r="Q880">
        <v>18</v>
      </c>
      <c r="R880" s="13">
        <v>3890</v>
      </c>
      <c r="S880" s="13">
        <v>2917.5</v>
      </c>
    </row>
    <row r="881" spans="1:19">
      <c r="A881" s="9" t="s">
        <v>24</v>
      </c>
      <c r="B881" s="9" t="s">
        <v>27</v>
      </c>
      <c r="C881" s="9" t="s">
        <v>95</v>
      </c>
      <c r="D881" t="s">
        <v>204</v>
      </c>
      <c r="F881" s="12" t="s">
        <v>2383</v>
      </c>
      <c r="G881" s="10" t="s">
        <v>739</v>
      </c>
      <c r="H881" s="10" t="s">
        <v>739</v>
      </c>
      <c r="K881" t="s">
        <v>19</v>
      </c>
      <c r="L881" t="s">
        <v>20</v>
      </c>
      <c r="M881" s="9">
        <v>8481909</v>
      </c>
      <c r="N881" t="s">
        <v>3477</v>
      </c>
      <c r="O881">
        <v>18</v>
      </c>
      <c r="P881" t="s">
        <v>3477</v>
      </c>
      <c r="Q881">
        <v>18</v>
      </c>
      <c r="R881" s="13">
        <v>3300</v>
      </c>
      <c r="S881" s="13">
        <v>2475</v>
      </c>
    </row>
    <row r="882" spans="1:19">
      <c r="A882" s="9" t="s">
        <v>24</v>
      </c>
      <c r="B882" s="9" t="s">
        <v>27</v>
      </c>
      <c r="C882" s="9" t="s">
        <v>95</v>
      </c>
      <c r="D882" t="s">
        <v>204</v>
      </c>
      <c r="F882" s="12" t="s">
        <v>2384</v>
      </c>
      <c r="G882" s="10" t="s">
        <v>740</v>
      </c>
      <c r="H882" s="10" t="s">
        <v>740</v>
      </c>
      <c r="K882" t="s">
        <v>19</v>
      </c>
      <c r="L882" t="s">
        <v>20</v>
      </c>
      <c r="M882" s="9">
        <v>8481909</v>
      </c>
      <c r="N882" t="s">
        <v>3477</v>
      </c>
      <c r="O882">
        <v>18</v>
      </c>
      <c r="P882" t="s">
        <v>3477</v>
      </c>
      <c r="Q882">
        <v>18</v>
      </c>
      <c r="R882" s="13">
        <v>3900</v>
      </c>
      <c r="S882" s="13">
        <v>2925</v>
      </c>
    </row>
    <row r="883" spans="1:19">
      <c r="A883" s="9" t="s">
        <v>24</v>
      </c>
      <c r="B883" s="9" t="s">
        <v>27</v>
      </c>
      <c r="C883" s="9" t="s">
        <v>95</v>
      </c>
      <c r="D883" t="s">
        <v>204</v>
      </c>
      <c r="F883" s="12" t="s">
        <v>2385</v>
      </c>
      <c r="G883" s="10" t="s">
        <v>741</v>
      </c>
      <c r="H883" s="10" t="s">
        <v>741</v>
      </c>
      <c r="K883" t="s">
        <v>19</v>
      </c>
      <c r="L883" t="s">
        <v>20</v>
      </c>
      <c r="M883" s="9">
        <v>8481909</v>
      </c>
      <c r="N883" t="s">
        <v>3477</v>
      </c>
      <c r="O883">
        <v>18</v>
      </c>
      <c r="P883" t="s">
        <v>3477</v>
      </c>
      <c r="Q883">
        <v>18</v>
      </c>
      <c r="R883" s="13">
        <v>3540</v>
      </c>
      <c r="S883" s="13">
        <v>2655</v>
      </c>
    </row>
    <row r="884" spans="1:19">
      <c r="A884" s="9" t="s">
        <v>24</v>
      </c>
      <c r="B884" s="9" t="s">
        <v>27</v>
      </c>
      <c r="C884" s="9" t="s">
        <v>95</v>
      </c>
      <c r="D884" t="s">
        <v>204</v>
      </c>
      <c r="F884" s="12" t="s">
        <v>2386</v>
      </c>
      <c r="G884" s="10" t="s">
        <v>742</v>
      </c>
      <c r="H884" s="10" t="s">
        <v>742</v>
      </c>
      <c r="K884" t="s">
        <v>19</v>
      </c>
      <c r="L884" t="s">
        <v>20</v>
      </c>
      <c r="M884" s="9">
        <v>8481909</v>
      </c>
      <c r="N884" t="s">
        <v>3477</v>
      </c>
      <c r="O884">
        <v>18</v>
      </c>
      <c r="P884" t="s">
        <v>3477</v>
      </c>
      <c r="Q884">
        <v>18</v>
      </c>
      <c r="R884" s="13">
        <v>3750</v>
      </c>
      <c r="S884" s="13">
        <v>2812.5</v>
      </c>
    </row>
    <row r="885" spans="1:19">
      <c r="A885" s="9" t="s">
        <v>23</v>
      </c>
      <c r="B885" s="9" t="s">
        <v>34</v>
      </c>
      <c r="C885" s="9" t="s">
        <v>150</v>
      </c>
      <c r="D885" t="s">
        <v>204</v>
      </c>
      <c r="F885" s="12" t="s">
        <v>2387</v>
      </c>
      <c r="G885" s="10" t="s">
        <v>743</v>
      </c>
      <c r="H885" s="10" t="s">
        <v>743</v>
      </c>
      <c r="K885" t="s">
        <v>19</v>
      </c>
      <c r="L885" t="s">
        <v>20</v>
      </c>
      <c r="M885" s="9">
        <v>69101</v>
      </c>
      <c r="N885" t="s">
        <v>3477</v>
      </c>
      <c r="O885">
        <v>18</v>
      </c>
      <c r="P885" t="s">
        <v>3477</v>
      </c>
      <c r="Q885">
        <v>18</v>
      </c>
      <c r="R885" s="13">
        <v>50000</v>
      </c>
      <c r="S885" s="13">
        <v>30000</v>
      </c>
    </row>
    <row r="886" spans="1:19">
      <c r="A886" s="9" t="s">
        <v>24</v>
      </c>
      <c r="B886" s="9" t="s">
        <v>27</v>
      </c>
      <c r="C886" s="9" t="s">
        <v>95</v>
      </c>
      <c r="D886" t="s">
        <v>204</v>
      </c>
      <c r="F886" s="12" t="s">
        <v>2388</v>
      </c>
      <c r="G886" s="10" t="s">
        <v>744</v>
      </c>
      <c r="H886" s="10" t="s">
        <v>744</v>
      </c>
      <c r="K886" t="s">
        <v>19</v>
      </c>
      <c r="L886" t="s">
        <v>20</v>
      </c>
      <c r="M886" s="9">
        <v>8481909</v>
      </c>
      <c r="N886" t="s">
        <v>3477</v>
      </c>
      <c r="O886">
        <v>18</v>
      </c>
      <c r="P886" t="s">
        <v>3477</v>
      </c>
      <c r="Q886">
        <v>18</v>
      </c>
      <c r="R886" s="13">
        <v>4140</v>
      </c>
      <c r="S886" s="13">
        <v>3105</v>
      </c>
    </row>
    <row r="887" spans="1:19">
      <c r="A887" s="9" t="s">
        <v>22</v>
      </c>
      <c r="B887" s="9" t="s">
        <v>27</v>
      </c>
      <c r="C887" s="9" t="s">
        <v>48</v>
      </c>
      <c r="D887" t="s">
        <v>204</v>
      </c>
      <c r="F887" s="12" t="s">
        <v>2389</v>
      </c>
      <c r="G887" s="10" t="s">
        <v>745</v>
      </c>
      <c r="H887" s="10" t="s">
        <v>745</v>
      </c>
      <c r="K887" t="s">
        <v>19</v>
      </c>
      <c r="L887" t="s">
        <v>20</v>
      </c>
      <c r="M887" s="9">
        <v>8481</v>
      </c>
      <c r="N887" t="s">
        <v>3477</v>
      </c>
      <c r="O887">
        <v>18</v>
      </c>
      <c r="P887" t="s">
        <v>3477</v>
      </c>
      <c r="Q887">
        <v>18</v>
      </c>
      <c r="R887" s="13">
        <v>53130</v>
      </c>
      <c r="S887" s="13">
        <v>37191</v>
      </c>
    </row>
    <row r="888" spans="1:19">
      <c r="A888" s="9" t="s">
        <v>22</v>
      </c>
      <c r="B888" s="9" t="s">
        <v>27</v>
      </c>
      <c r="C888" s="9" t="s">
        <v>48</v>
      </c>
      <c r="D888" t="s">
        <v>204</v>
      </c>
      <c r="F888" s="12" t="s">
        <v>2390</v>
      </c>
      <c r="G888" s="10" t="s">
        <v>746</v>
      </c>
      <c r="H888" s="10" t="s">
        <v>746</v>
      </c>
      <c r="K888" t="s">
        <v>19</v>
      </c>
      <c r="L888" t="s">
        <v>20</v>
      </c>
      <c r="M888" s="9">
        <v>8481802</v>
      </c>
      <c r="N888" t="s">
        <v>3477</v>
      </c>
      <c r="O888">
        <v>18</v>
      </c>
      <c r="P888" t="s">
        <v>3477</v>
      </c>
      <c r="Q888">
        <v>18</v>
      </c>
      <c r="R888" s="13">
        <v>88550</v>
      </c>
      <c r="S888" s="13">
        <v>61984.999999999993</v>
      </c>
    </row>
    <row r="889" spans="1:19">
      <c r="A889" s="9" t="s">
        <v>22</v>
      </c>
      <c r="B889" s="9" t="s">
        <v>27</v>
      </c>
      <c r="C889" s="9" t="s">
        <v>49</v>
      </c>
      <c r="D889" t="s">
        <v>204</v>
      </c>
      <c r="F889" s="12" t="s">
        <v>2391</v>
      </c>
      <c r="G889" s="10" t="s">
        <v>747</v>
      </c>
      <c r="H889" s="10" t="s">
        <v>747</v>
      </c>
      <c r="K889" t="s">
        <v>19</v>
      </c>
      <c r="L889" t="s">
        <v>20</v>
      </c>
      <c r="M889" s="9">
        <v>8481802</v>
      </c>
      <c r="N889" t="s">
        <v>3477</v>
      </c>
      <c r="O889">
        <v>18</v>
      </c>
      <c r="P889" t="s">
        <v>3477</v>
      </c>
      <c r="Q889">
        <v>18</v>
      </c>
      <c r="R889" s="13">
        <v>62832</v>
      </c>
      <c r="S889" s="13">
        <v>43982.399999999994</v>
      </c>
    </row>
    <row r="890" spans="1:19">
      <c r="A890" s="9" t="s">
        <v>22</v>
      </c>
      <c r="B890" s="9" t="s">
        <v>27</v>
      </c>
      <c r="C890" s="9" t="s">
        <v>49</v>
      </c>
      <c r="D890" t="s">
        <v>204</v>
      </c>
      <c r="F890" s="12" t="s">
        <v>2392</v>
      </c>
      <c r="G890" s="10" t="s">
        <v>748</v>
      </c>
      <c r="H890" s="10" t="s">
        <v>748</v>
      </c>
      <c r="K890" t="s">
        <v>19</v>
      </c>
      <c r="L890" t="s">
        <v>20</v>
      </c>
      <c r="M890" s="9">
        <v>8481802</v>
      </c>
      <c r="N890" t="s">
        <v>3477</v>
      </c>
      <c r="O890">
        <v>18</v>
      </c>
      <c r="P890" t="s">
        <v>3477</v>
      </c>
      <c r="Q890">
        <v>18</v>
      </c>
      <c r="R890" s="13">
        <v>104720</v>
      </c>
      <c r="S890" s="13">
        <v>73304</v>
      </c>
    </row>
    <row r="891" spans="1:19">
      <c r="A891" s="9" t="s">
        <v>22</v>
      </c>
      <c r="B891" s="9" t="s">
        <v>27</v>
      </c>
      <c r="C891" s="9" t="s">
        <v>118</v>
      </c>
      <c r="D891" t="s">
        <v>204</v>
      </c>
      <c r="F891" s="12" t="s">
        <v>2393</v>
      </c>
      <c r="G891" s="10" t="s">
        <v>749</v>
      </c>
      <c r="H891" s="10" t="s">
        <v>749</v>
      </c>
      <c r="K891" t="s">
        <v>19</v>
      </c>
      <c r="L891" t="s">
        <v>20</v>
      </c>
      <c r="M891" s="9">
        <v>8481802</v>
      </c>
      <c r="N891" t="s">
        <v>3477</v>
      </c>
      <c r="O891">
        <v>18</v>
      </c>
      <c r="P891" t="s">
        <v>3477</v>
      </c>
      <c r="Q891">
        <v>18</v>
      </c>
      <c r="R891" s="13">
        <v>37548</v>
      </c>
      <c r="S891" s="13">
        <v>26283.599999999999</v>
      </c>
    </row>
    <row r="892" spans="1:19">
      <c r="A892" s="9" t="s">
        <v>22</v>
      </c>
      <c r="B892" s="9" t="s">
        <v>27</v>
      </c>
      <c r="C892" s="9" t="s">
        <v>118</v>
      </c>
      <c r="D892" t="s">
        <v>204</v>
      </c>
      <c r="F892" s="12" t="s">
        <v>2394</v>
      </c>
      <c r="G892" s="10" t="s">
        <v>750</v>
      </c>
      <c r="H892" s="10" t="s">
        <v>750</v>
      </c>
      <c r="K892" t="s">
        <v>19</v>
      </c>
      <c r="L892" t="s">
        <v>20</v>
      </c>
      <c r="M892" s="9">
        <v>8481802</v>
      </c>
      <c r="N892" t="s">
        <v>3477</v>
      </c>
      <c r="O892">
        <v>18</v>
      </c>
      <c r="P892" t="s">
        <v>3477</v>
      </c>
      <c r="Q892">
        <v>18</v>
      </c>
      <c r="R892" s="13">
        <v>62580</v>
      </c>
      <c r="S892" s="13">
        <v>43806</v>
      </c>
    </row>
    <row r="893" spans="1:19">
      <c r="A893" s="9" t="s">
        <v>22</v>
      </c>
      <c r="B893" s="9" t="s">
        <v>27</v>
      </c>
      <c r="C893" s="9" t="s">
        <v>104</v>
      </c>
      <c r="D893" t="s">
        <v>204</v>
      </c>
      <c r="F893" s="12" t="s">
        <v>2395</v>
      </c>
      <c r="G893" s="10" t="s">
        <v>751</v>
      </c>
      <c r="H893" s="10" t="s">
        <v>751</v>
      </c>
      <c r="K893" t="s">
        <v>19</v>
      </c>
      <c r="L893" t="s">
        <v>20</v>
      </c>
      <c r="M893" s="9">
        <v>8481802</v>
      </c>
      <c r="N893" t="s">
        <v>3477</v>
      </c>
      <c r="O893">
        <v>18</v>
      </c>
      <c r="P893" t="s">
        <v>3477</v>
      </c>
      <c r="Q893">
        <v>18</v>
      </c>
      <c r="R893" s="13">
        <v>40152</v>
      </c>
      <c r="S893" s="13">
        <v>28106.399999999998</v>
      </c>
    </row>
    <row r="894" spans="1:19">
      <c r="A894" s="9" t="s">
        <v>22</v>
      </c>
      <c r="B894" s="9" t="s">
        <v>27</v>
      </c>
      <c r="C894" s="9" t="s">
        <v>104</v>
      </c>
      <c r="D894" t="s">
        <v>204</v>
      </c>
      <c r="F894" s="12" t="s">
        <v>2396</v>
      </c>
      <c r="G894" s="10" t="s">
        <v>752</v>
      </c>
      <c r="H894" s="10" t="s">
        <v>752</v>
      </c>
      <c r="K894" t="s">
        <v>19</v>
      </c>
      <c r="L894" t="s">
        <v>20</v>
      </c>
      <c r="M894" s="9">
        <v>8481802</v>
      </c>
      <c r="N894" t="s">
        <v>3477</v>
      </c>
      <c r="O894">
        <v>18</v>
      </c>
      <c r="P894" t="s">
        <v>3477</v>
      </c>
      <c r="Q894">
        <v>18</v>
      </c>
      <c r="R894" s="13">
        <v>66920</v>
      </c>
      <c r="S894" s="13">
        <v>46844</v>
      </c>
    </row>
    <row r="895" spans="1:19">
      <c r="A895" s="9" t="s">
        <v>22</v>
      </c>
      <c r="B895" s="9" t="s">
        <v>27</v>
      </c>
      <c r="C895" s="9" t="s">
        <v>114</v>
      </c>
      <c r="D895" t="s">
        <v>204</v>
      </c>
      <c r="F895" s="12" t="s">
        <v>2397</v>
      </c>
      <c r="G895" s="10" t="s">
        <v>753</v>
      </c>
      <c r="H895" s="10" t="s">
        <v>753</v>
      </c>
      <c r="K895" t="s">
        <v>19</v>
      </c>
      <c r="L895" t="s">
        <v>20</v>
      </c>
      <c r="M895" s="9">
        <v>8481802</v>
      </c>
      <c r="N895" t="s">
        <v>3477</v>
      </c>
      <c r="O895">
        <v>18</v>
      </c>
      <c r="P895" t="s">
        <v>3477</v>
      </c>
      <c r="Q895">
        <v>18</v>
      </c>
      <c r="R895" s="13">
        <v>62790</v>
      </c>
      <c r="S895" s="13">
        <v>43953</v>
      </c>
    </row>
    <row r="896" spans="1:19">
      <c r="A896" s="9" t="s">
        <v>22</v>
      </c>
      <c r="B896" s="9" t="s">
        <v>27</v>
      </c>
      <c r="C896" s="9" t="s">
        <v>114</v>
      </c>
      <c r="D896" t="s">
        <v>204</v>
      </c>
      <c r="F896" s="12" t="s">
        <v>2398</v>
      </c>
      <c r="G896" s="10" t="s">
        <v>754</v>
      </c>
      <c r="H896" s="10" t="s">
        <v>754</v>
      </c>
      <c r="K896" t="s">
        <v>19</v>
      </c>
      <c r="L896" t="s">
        <v>20</v>
      </c>
      <c r="M896" s="9">
        <v>8481802</v>
      </c>
      <c r="N896" t="s">
        <v>3477</v>
      </c>
      <c r="O896">
        <v>18</v>
      </c>
      <c r="P896" t="s">
        <v>3477</v>
      </c>
      <c r="Q896">
        <v>18</v>
      </c>
      <c r="R896" s="13">
        <v>104650</v>
      </c>
      <c r="S896" s="13">
        <v>73255</v>
      </c>
    </row>
    <row r="897" spans="1:19">
      <c r="A897" s="9" t="s">
        <v>22</v>
      </c>
      <c r="B897" s="9" t="s">
        <v>27</v>
      </c>
      <c r="C897" s="9" t="s">
        <v>48</v>
      </c>
      <c r="D897" t="s">
        <v>204</v>
      </c>
      <c r="F897" s="12" t="s">
        <v>2399</v>
      </c>
      <c r="G897" s="10" t="s">
        <v>755</v>
      </c>
      <c r="H897" s="10" t="s">
        <v>755</v>
      </c>
      <c r="K897" t="s">
        <v>19</v>
      </c>
      <c r="L897" t="s">
        <v>20</v>
      </c>
      <c r="M897" s="9">
        <v>8481802</v>
      </c>
      <c r="N897" t="s">
        <v>3477</v>
      </c>
      <c r="O897">
        <v>18</v>
      </c>
      <c r="P897" t="s">
        <v>3477</v>
      </c>
      <c r="Q897">
        <v>18</v>
      </c>
      <c r="R897" s="13">
        <v>55776</v>
      </c>
      <c r="S897" s="13">
        <v>39043.199999999997</v>
      </c>
    </row>
    <row r="898" spans="1:19">
      <c r="A898" s="9" t="s">
        <v>22</v>
      </c>
      <c r="B898" s="9" t="s">
        <v>27</v>
      </c>
      <c r="C898" s="9" t="s">
        <v>30</v>
      </c>
      <c r="D898" t="s">
        <v>204</v>
      </c>
      <c r="F898" s="12" t="s">
        <v>2400</v>
      </c>
      <c r="G898" s="10" t="s">
        <v>756</v>
      </c>
      <c r="H898" s="10" t="s">
        <v>756</v>
      </c>
      <c r="K898" t="s">
        <v>19</v>
      </c>
      <c r="L898" t="s">
        <v>20</v>
      </c>
      <c r="M898" s="9">
        <v>8481802</v>
      </c>
      <c r="N898" t="s">
        <v>3477</v>
      </c>
      <c r="O898">
        <v>18</v>
      </c>
      <c r="P898" t="s">
        <v>3477</v>
      </c>
      <c r="Q898">
        <v>18</v>
      </c>
      <c r="R898" s="13">
        <v>92960</v>
      </c>
      <c r="S898" s="13">
        <v>65071.999999999993</v>
      </c>
    </row>
    <row r="899" spans="1:19">
      <c r="A899" s="9" t="s">
        <v>22</v>
      </c>
      <c r="B899" s="9" t="s">
        <v>27</v>
      </c>
      <c r="C899" s="9" t="s">
        <v>49</v>
      </c>
      <c r="D899" t="s">
        <v>204</v>
      </c>
      <c r="F899" s="12" t="s">
        <v>2401</v>
      </c>
      <c r="G899" s="10" t="s">
        <v>757</v>
      </c>
      <c r="H899" s="10" t="s">
        <v>757</v>
      </c>
      <c r="K899" t="s">
        <v>19</v>
      </c>
      <c r="L899" t="s">
        <v>20</v>
      </c>
      <c r="M899" s="9">
        <v>8481802</v>
      </c>
      <c r="N899" t="s">
        <v>3477</v>
      </c>
      <c r="O899">
        <v>18</v>
      </c>
      <c r="P899" t="s">
        <v>3477</v>
      </c>
      <c r="Q899">
        <v>18</v>
      </c>
      <c r="R899" s="13">
        <v>65940</v>
      </c>
      <c r="S899" s="13">
        <v>46158</v>
      </c>
    </row>
    <row r="900" spans="1:19">
      <c r="A900" s="9" t="s">
        <v>22</v>
      </c>
      <c r="B900" s="9" t="s">
        <v>27</v>
      </c>
      <c r="C900" s="9" t="s">
        <v>49</v>
      </c>
      <c r="D900" t="s">
        <v>204</v>
      </c>
      <c r="F900" s="12" t="s">
        <v>2402</v>
      </c>
      <c r="G900" s="10" t="s">
        <v>758</v>
      </c>
      <c r="H900" s="10" t="s">
        <v>758</v>
      </c>
      <c r="K900" t="s">
        <v>19</v>
      </c>
      <c r="L900" t="s">
        <v>20</v>
      </c>
      <c r="M900" s="9">
        <v>8481802</v>
      </c>
      <c r="N900" t="s">
        <v>3477</v>
      </c>
      <c r="O900">
        <v>18</v>
      </c>
      <c r="P900" t="s">
        <v>3477</v>
      </c>
      <c r="Q900">
        <v>18</v>
      </c>
      <c r="R900" s="13">
        <v>109900</v>
      </c>
      <c r="S900" s="13">
        <v>76930</v>
      </c>
    </row>
    <row r="901" spans="1:19">
      <c r="A901" s="9" t="s">
        <v>22</v>
      </c>
      <c r="B901" s="9" t="s">
        <v>27</v>
      </c>
      <c r="C901" s="9" t="s">
        <v>118</v>
      </c>
      <c r="D901" t="s">
        <v>204</v>
      </c>
      <c r="F901" s="12" t="s">
        <v>2403</v>
      </c>
      <c r="G901" s="10" t="s">
        <v>759</v>
      </c>
      <c r="H901" s="10" t="s">
        <v>759</v>
      </c>
      <c r="K901" t="s">
        <v>19</v>
      </c>
      <c r="L901" t="s">
        <v>20</v>
      </c>
      <c r="M901" s="9">
        <v>8481802</v>
      </c>
      <c r="N901" t="s">
        <v>3477</v>
      </c>
      <c r="O901">
        <v>18</v>
      </c>
      <c r="P901" t="s">
        <v>3477</v>
      </c>
      <c r="Q901">
        <v>18</v>
      </c>
      <c r="R901" s="13">
        <v>39354</v>
      </c>
      <c r="S901" s="13">
        <v>27547.8</v>
      </c>
    </row>
    <row r="902" spans="1:19">
      <c r="A902" s="9" t="s">
        <v>22</v>
      </c>
      <c r="B902" s="9" t="s">
        <v>27</v>
      </c>
      <c r="C902" s="9" t="s">
        <v>118</v>
      </c>
      <c r="D902" t="s">
        <v>204</v>
      </c>
      <c r="F902" s="12" t="s">
        <v>2404</v>
      </c>
      <c r="G902" s="10" t="s">
        <v>760</v>
      </c>
      <c r="H902" s="10" t="s">
        <v>760</v>
      </c>
      <c r="K902" t="s">
        <v>19</v>
      </c>
      <c r="L902" t="s">
        <v>20</v>
      </c>
      <c r="M902" s="9">
        <v>8481802</v>
      </c>
      <c r="N902" t="s">
        <v>3477</v>
      </c>
      <c r="O902">
        <v>18</v>
      </c>
      <c r="P902" t="s">
        <v>3477</v>
      </c>
      <c r="Q902">
        <v>18</v>
      </c>
      <c r="R902" s="13">
        <v>65590</v>
      </c>
      <c r="S902" s="13">
        <v>45913</v>
      </c>
    </row>
    <row r="903" spans="1:19">
      <c r="A903" s="9" t="s">
        <v>22</v>
      </c>
      <c r="B903" s="9" t="s">
        <v>27</v>
      </c>
      <c r="C903" s="9" t="s">
        <v>104</v>
      </c>
      <c r="D903" t="s">
        <v>204</v>
      </c>
      <c r="F903" s="12" t="s">
        <v>2405</v>
      </c>
      <c r="G903" s="10" t="s">
        <v>761</v>
      </c>
      <c r="H903" s="10" t="s">
        <v>761</v>
      </c>
      <c r="K903" t="s">
        <v>19</v>
      </c>
      <c r="L903" t="s">
        <v>20</v>
      </c>
      <c r="M903" s="9">
        <v>8481802</v>
      </c>
      <c r="N903" t="s">
        <v>3477</v>
      </c>
      <c r="O903">
        <v>18</v>
      </c>
      <c r="P903" t="s">
        <v>3477</v>
      </c>
      <c r="Q903">
        <v>18</v>
      </c>
      <c r="R903" s="13">
        <v>42252</v>
      </c>
      <c r="S903" s="13">
        <v>29576.399999999998</v>
      </c>
    </row>
    <row r="904" spans="1:19">
      <c r="A904" s="9" t="s">
        <v>22</v>
      </c>
      <c r="B904" s="9" t="s">
        <v>27</v>
      </c>
      <c r="C904" s="9" t="s">
        <v>104</v>
      </c>
      <c r="D904" t="s">
        <v>204</v>
      </c>
      <c r="F904" s="12" t="s">
        <v>2406</v>
      </c>
      <c r="G904" s="10" t="s">
        <v>762</v>
      </c>
      <c r="H904" s="10" t="s">
        <v>762</v>
      </c>
      <c r="K904" t="s">
        <v>19</v>
      </c>
      <c r="L904" t="s">
        <v>20</v>
      </c>
      <c r="M904" s="9">
        <v>8481</v>
      </c>
      <c r="N904" t="s">
        <v>3477</v>
      </c>
      <c r="O904">
        <v>18</v>
      </c>
      <c r="P904" t="s">
        <v>3477</v>
      </c>
      <c r="Q904">
        <v>18</v>
      </c>
      <c r="R904" s="13">
        <v>70420</v>
      </c>
      <c r="S904" s="13">
        <v>49294</v>
      </c>
    </row>
    <row r="905" spans="1:19">
      <c r="A905" s="9" t="s">
        <v>22</v>
      </c>
      <c r="B905" s="9" t="s">
        <v>27</v>
      </c>
      <c r="C905" s="9" t="s">
        <v>114</v>
      </c>
      <c r="D905" t="s">
        <v>204</v>
      </c>
      <c r="F905" s="12" t="s">
        <v>2407</v>
      </c>
      <c r="G905" s="10" t="s">
        <v>763</v>
      </c>
      <c r="H905" s="10" t="s">
        <v>763</v>
      </c>
      <c r="K905" t="s">
        <v>19</v>
      </c>
      <c r="L905" t="s">
        <v>20</v>
      </c>
      <c r="M905" s="9">
        <v>8481802</v>
      </c>
      <c r="N905" t="s">
        <v>3477</v>
      </c>
      <c r="O905">
        <v>18</v>
      </c>
      <c r="P905" t="s">
        <v>3477</v>
      </c>
      <c r="Q905">
        <v>18</v>
      </c>
      <c r="R905" s="13">
        <v>65142</v>
      </c>
      <c r="S905" s="13">
        <v>45599.399999999994</v>
      </c>
    </row>
    <row r="906" spans="1:19">
      <c r="A906" s="9" t="s">
        <v>22</v>
      </c>
      <c r="B906" s="9" t="s">
        <v>27</v>
      </c>
      <c r="C906" s="9" t="s">
        <v>114</v>
      </c>
      <c r="D906" t="s">
        <v>204</v>
      </c>
      <c r="F906" s="12" t="s">
        <v>2408</v>
      </c>
      <c r="G906" s="10" t="s">
        <v>764</v>
      </c>
      <c r="H906" s="10" t="s">
        <v>764</v>
      </c>
      <c r="K906" t="s">
        <v>19</v>
      </c>
      <c r="L906" t="s">
        <v>20</v>
      </c>
      <c r="M906" s="9">
        <v>8481802</v>
      </c>
      <c r="N906" t="s">
        <v>3477</v>
      </c>
      <c r="O906">
        <v>18</v>
      </c>
      <c r="P906" t="s">
        <v>3477</v>
      </c>
      <c r="Q906">
        <v>18</v>
      </c>
      <c r="R906" s="13">
        <v>108570</v>
      </c>
      <c r="S906" s="13">
        <v>75999</v>
      </c>
    </row>
    <row r="907" spans="1:19">
      <c r="A907" s="9" t="s">
        <v>22</v>
      </c>
      <c r="B907" s="9" t="s">
        <v>27</v>
      </c>
      <c r="C907" s="9" t="s">
        <v>48</v>
      </c>
      <c r="D907" t="s">
        <v>204</v>
      </c>
      <c r="F907" s="12" t="s">
        <v>2409</v>
      </c>
      <c r="G907" s="10" t="s">
        <v>765</v>
      </c>
      <c r="H907" s="10" t="s">
        <v>765</v>
      </c>
      <c r="K907" t="s">
        <v>19</v>
      </c>
      <c r="L907" t="s">
        <v>20</v>
      </c>
      <c r="M907" s="9">
        <v>8481802</v>
      </c>
      <c r="N907" t="s">
        <v>3477</v>
      </c>
      <c r="O907">
        <v>18</v>
      </c>
      <c r="P907" t="s">
        <v>3477</v>
      </c>
      <c r="Q907">
        <v>18</v>
      </c>
      <c r="R907" s="13">
        <v>85386</v>
      </c>
      <c r="S907" s="13">
        <v>59770.2</v>
      </c>
    </row>
    <row r="908" spans="1:19">
      <c r="A908" s="9" t="s">
        <v>22</v>
      </c>
      <c r="B908" s="9" t="s">
        <v>27</v>
      </c>
      <c r="C908" s="9" t="s">
        <v>48</v>
      </c>
      <c r="D908" t="s">
        <v>204</v>
      </c>
      <c r="F908" s="12" t="s">
        <v>2410</v>
      </c>
      <c r="G908" s="10" t="s">
        <v>766</v>
      </c>
      <c r="H908" s="10" t="s">
        <v>766</v>
      </c>
      <c r="K908" t="s">
        <v>19</v>
      </c>
      <c r="L908" t="s">
        <v>20</v>
      </c>
      <c r="M908" s="9">
        <v>8481802</v>
      </c>
      <c r="N908" t="s">
        <v>3477</v>
      </c>
      <c r="O908">
        <v>18</v>
      </c>
      <c r="P908" t="s">
        <v>3477</v>
      </c>
      <c r="Q908">
        <v>18</v>
      </c>
      <c r="R908" s="13">
        <v>142310</v>
      </c>
      <c r="S908" s="13">
        <v>99617</v>
      </c>
    </row>
    <row r="909" spans="1:19">
      <c r="A909" s="9" t="s">
        <v>22</v>
      </c>
      <c r="B909" s="9" t="s">
        <v>27</v>
      </c>
      <c r="C909" s="9" t="s">
        <v>104</v>
      </c>
      <c r="D909" t="s">
        <v>204</v>
      </c>
      <c r="F909" s="12" t="s">
        <v>2411</v>
      </c>
      <c r="G909" s="10" t="s">
        <v>767</v>
      </c>
      <c r="H909" s="10" t="s">
        <v>767</v>
      </c>
      <c r="K909" t="s">
        <v>19</v>
      </c>
      <c r="L909" t="s">
        <v>20</v>
      </c>
      <c r="M909" s="9">
        <v>8481802</v>
      </c>
      <c r="N909" t="s">
        <v>3477</v>
      </c>
      <c r="O909">
        <v>18</v>
      </c>
      <c r="P909" t="s">
        <v>3477</v>
      </c>
      <c r="Q909">
        <v>18</v>
      </c>
      <c r="R909" s="13">
        <v>58884</v>
      </c>
      <c r="S909" s="13">
        <v>41218.799999999996</v>
      </c>
    </row>
    <row r="910" spans="1:19">
      <c r="A910" s="9" t="s">
        <v>22</v>
      </c>
      <c r="B910" s="9" t="s">
        <v>27</v>
      </c>
      <c r="C910" s="9" t="s">
        <v>104</v>
      </c>
      <c r="D910" t="s">
        <v>204</v>
      </c>
      <c r="F910" s="12" t="s">
        <v>2412</v>
      </c>
      <c r="G910" s="10" t="s">
        <v>768</v>
      </c>
      <c r="H910" s="10" t="s">
        <v>768</v>
      </c>
      <c r="K910" t="s">
        <v>19</v>
      </c>
      <c r="L910" t="s">
        <v>20</v>
      </c>
      <c r="M910" s="9">
        <v>8481802</v>
      </c>
      <c r="N910" t="s">
        <v>3477</v>
      </c>
      <c r="O910">
        <v>18</v>
      </c>
      <c r="P910" t="s">
        <v>3477</v>
      </c>
      <c r="Q910">
        <v>18</v>
      </c>
      <c r="R910" s="13">
        <v>98140</v>
      </c>
      <c r="S910" s="13">
        <v>68698</v>
      </c>
    </row>
    <row r="911" spans="1:19">
      <c r="A911" s="9" t="s">
        <v>22</v>
      </c>
      <c r="B911" s="9" t="s">
        <v>27</v>
      </c>
      <c r="C911" s="9" t="s">
        <v>114</v>
      </c>
      <c r="D911" t="s">
        <v>204</v>
      </c>
      <c r="F911" s="12" t="s">
        <v>2413</v>
      </c>
      <c r="G911" s="10" t="s">
        <v>769</v>
      </c>
      <c r="H911" s="10" t="s">
        <v>769</v>
      </c>
      <c r="K911" t="s">
        <v>19</v>
      </c>
      <c r="L911" t="s">
        <v>20</v>
      </c>
      <c r="M911" s="9">
        <v>8481802</v>
      </c>
      <c r="N911" t="s">
        <v>3477</v>
      </c>
      <c r="O911">
        <v>18</v>
      </c>
      <c r="P911" t="s">
        <v>3477</v>
      </c>
      <c r="Q911">
        <v>18</v>
      </c>
      <c r="R911" s="13">
        <v>97608</v>
      </c>
      <c r="S911" s="13">
        <v>68325.599999999991</v>
      </c>
    </row>
    <row r="912" spans="1:19">
      <c r="A912" s="9" t="s">
        <v>22</v>
      </c>
      <c r="B912" s="9" t="s">
        <v>27</v>
      </c>
      <c r="C912" s="9" t="s">
        <v>114</v>
      </c>
      <c r="D912" t="s">
        <v>204</v>
      </c>
      <c r="F912" s="12" t="s">
        <v>2414</v>
      </c>
      <c r="G912" s="10" t="s">
        <v>770</v>
      </c>
      <c r="H912" s="10" t="s">
        <v>770</v>
      </c>
      <c r="K912" t="s">
        <v>19</v>
      </c>
      <c r="L912" t="s">
        <v>20</v>
      </c>
      <c r="M912" s="9">
        <v>8481802</v>
      </c>
      <c r="N912" t="s">
        <v>3477</v>
      </c>
      <c r="O912">
        <v>18</v>
      </c>
      <c r="P912" t="s">
        <v>3477</v>
      </c>
      <c r="Q912">
        <v>18</v>
      </c>
      <c r="R912" s="13">
        <v>162680</v>
      </c>
      <c r="S912" s="13">
        <v>113876</v>
      </c>
    </row>
    <row r="913" spans="1:19">
      <c r="A913" s="9" t="s">
        <v>23</v>
      </c>
      <c r="B913" s="9" t="s">
        <v>27</v>
      </c>
      <c r="C913" s="9" t="s">
        <v>90</v>
      </c>
      <c r="D913" t="s">
        <v>204</v>
      </c>
      <c r="F913" s="12" t="s">
        <v>2415</v>
      </c>
      <c r="G913" s="10" t="s">
        <v>770</v>
      </c>
      <c r="H913" s="10" t="s">
        <v>770</v>
      </c>
      <c r="K913" t="s">
        <v>19</v>
      </c>
      <c r="L913" t="s">
        <v>20</v>
      </c>
      <c r="M913" s="9">
        <v>39229</v>
      </c>
      <c r="N913" t="s">
        <v>3477</v>
      </c>
      <c r="O913">
        <v>18</v>
      </c>
      <c r="P913" t="s">
        <v>3477</v>
      </c>
      <c r="Q913">
        <v>18</v>
      </c>
      <c r="R913" s="13">
        <v>32500</v>
      </c>
      <c r="S913" s="13">
        <v>19500</v>
      </c>
    </row>
    <row r="914" spans="1:19">
      <c r="A914" s="9" t="s">
        <v>23</v>
      </c>
      <c r="B914" s="9" t="s">
        <v>27</v>
      </c>
      <c r="C914" s="9" t="s">
        <v>90</v>
      </c>
      <c r="D914" t="s">
        <v>204</v>
      </c>
      <c r="F914" s="12" t="s">
        <v>2416</v>
      </c>
      <c r="G914" s="10" t="s">
        <v>770</v>
      </c>
      <c r="H914" s="10" t="s">
        <v>770</v>
      </c>
      <c r="K914" t="s">
        <v>19</v>
      </c>
      <c r="L914" t="s">
        <v>20</v>
      </c>
      <c r="M914" s="9">
        <v>39229</v>
      </c>
      <c r="N914" t="s">
        <v>3477</v>
      </c>
      <c r="O914">
        <v>18</v>
      </c>
      <c r="P914" t="s">
        <v>3477</v>
      </c>
      <c r="Q914">
        <v>18</v>
      </c>
      <c r="R914" s="13">
        <v>36000</v>
      </c>
      <c r="S914" s="13">
        <v>21600</v>
      </c>
    </row>
    <row r="915" spans="1:19">
      <c r="A915" s="9" t="s">
        <v>23</v>
      </c>
      <c r="B915" s="9" t="s">
        <v>27</v>
      </c>
      <c r="C915" s="9" t="s">
        <v>90</v>
      </c>
      <c r="D915" t="s">
        <v>204</v>
      </c>
      <c r="F915" s="12" t="s">
        <v>2417</v>
      </c>
      <c r="G915" s="10" t="s">
        <v>770</v>
      </c>
      <c r="H915" s="10" t="s">
        <v>770</v>
      </c>
      <c r="K915" t="s">
        <v>19</v>
      </c>
      <c r="L915" t="s">
        <v>20</v>
      </c>
      <c r="M915" s="9">
        <v>39229</v>
      </c>
      <c r="N915" t="s">
        <v>3477</v>
      </c>
      <c r="O915">
        <v>18</v>
      </c>
      <c r="P915" t="s">
        <v>3477</v>
      </c>
      <c r="Q915">
        <v>18</v>
      </c>
      <c r="R915" s="13">
        <v>39000</v>
      </c>
      <c r="S915" s="13">
        <v>23400</v>
      </c>
    </row>
    <row r="916" spans="1:19">
      <c r="A916" s="9" t="s">
        <v>23</v>
      </c>
      <c r="B916" s="9" t="s">
        <v>27</v>
      </c>
      <c r="C916" s="9" t="s">
        <v>90</v>
      </c>
      <c r="D916" t="s">
        <v>204</v>
      </c>
      <c r="F916" s="12" t="s">
        <v>2418</v>
      </c>
      <c r="G916" s="10" t="s">
        <v>770</v>
      </c>
      <c r="H916" s="10" t="s">
        <v>770</v>
      </c>
      <c r="K916" t="s">
        <v>19</v>
      </c>
      <c r="L916" t="s">
        <v>20</v>
      </c>
      <c r="M916" s="9">
        <v>39229</v>
      </c>
      <c r="N916" t="s">
        <v>3477</v>
      </c>
      <c r="O916">
        <v>18</v>
      </c>
      <c r="P916" t="s">
        <v>3477</v>
      </c>
      <c r="Q916">
        <v>18</v>
      </c>
      <c r="R916" s="13">
        <v>26000</v>
      </c>
      <c r="S916" s="13">
        <v>15600</v>
      </c>
    </row>
    <row r="917" spans="1:19">
      <c r="A917" s="9" t="s">
        <v>23</v>
      </c>
      <c r="B917" s="9" t="s">
        <v>27</v>
      </c>
      <c r="C917" s="9" t="s">
        <v>90</v>
      </c>
      <c r="D917" t="s">
        <v>204</v>
      </c>
      <c r="F917" s="12" t="s">
        <v>2419</v>
      </c>
      <c r="G917" s="10" t="s">
        <v>771</v>
      </c>
      <c r="H917" s="10" t="s">
        <v>771</v>
      </c>
      <c r="K917" t="s">
        <v>19</v>
      </c>
      <c r="L917" t="s">
        <v>20</v>
      </c>
      <c r="M917" s="9">
        <v>7418201</v>
      </c>
      <c r="N917" t="s">
        <v>3477</v>
      </c>
      <c r="O917">
        <v>18</v>
      </c>
      <c r="P917" t="s">
        <v>3477</v>
      </c>
      <c r="Q917">
        <v>18</v>
      </c>
      <c r="R917" s="13">
        <v>36000</v>
      </c>
      <c r="S917" s="13">
        <v>21600</v>
      </c>
    </row>
    <row r="918" spans="1:19">
      <c r="A918" s="9" t="s">
        <v>23</v>
      </c>
      <c r="B918" s="9" t="s">
        <v>26</v>
      </c>
      <c r="C918" s="9" t="s">
        <v>82</v>
      </c>
      <c r="D918" t="s">
        <v>204</v>
      </c>
      <c r="F918" s="12" t="s">
        <v>2420</v>
      </c>
      <c r="G918" s="10" t="s">
        <v>772</v>
      </c>
      <c r="H918" s="10" t="s">
        <v>772</v>
      </c>
      <c r="K918" t="s">
        <v>19</v>
      </c>
      <c r="L918" t="s">
        <v>20</v>
      </c>
      <c r="M918" s="9">
        <v>70131</v>
      </c>
      <c r="N918" t="s">
        <v>3477</v>
      </c>
      <c r="O918">
        <v>18</v>
      </c>
      <c r="P918" t="s">
        <v>3477</v>
      </c>
      <c r="Q918">
        <v>18</v>
      </c>
      <c r="R918" s="13">
        <v>114000</v>
      </c>
      <c r="S918" s="13">
        <v>68400</v>
      </c>
    </row>
    <row r="919" spans="1:19">
      <c r="A919" s="9" t="s">
        <v>23</v>
      </c>
      <c r="B919" s="9" t="s">
        <v>26</v>
      </c>
      <c r="C919" s="9" t="s">
        <v>82</v>
      </c>
      <c r="D919" t="s">
        <v>204</v>
      </c>
      <c r="F919" s="12" t="s">
        <v>2421</v>
      </c>
      <c r="G919" s="10" t="s">
        <v>773</v>
      </c>
      <c r="H919" s="10" t="s">
        <v>773</v>
      </c>
      <c r="K919" t="s">
        <v>19</v>
      </c>
      <c r="L919" t="s">
        <v>20</v>
      </c>
      <c r="M919" s="9">
        <v>70131</v>
      </c>
      <c r="N919" t="s">
        <v>3477</v>
      </c>
      <c r="O919">
        <v>18</v>
      </c>
      <c r="P919" t="s">
        <v>3477</v>
      </c>
      <c r="Q919">
        <v>18</v>
      </c>
      <c r="R919" s="13">
        <v>143000</v>
      </c>
      <c r="S919" s="13">
        <v>85800</v>
      </c>
    </row>
    <row r="920" spans="1:19">
      <c r="A920" s="9" t="s">
        <v>23</v>
      </c>
      <c r="B920" s="9" t="s">
        <v>27</v>
      </c>
      <c r="C920" s="9" t="s">
        <v>151</v>
      </c>
      <c r="D920" t="s">
        <v>204</v>
      </c>
      <c r="F920" s="12" t="s">
        <v>2422</v>
      </c>
      <c r="G920" s="10" t="s">
        <v>774</v>
      </c>
      <c r="H920" s="10" t="s">
        <v>774</v>
      </c>
      <c r="K920" t="s">
        <v>19</v>
      </c>
      <c r="L920" t="s">
        <v>20</v>
      </c>
      <c r="M920" s="9">
        <v>8481802</v>
      </c>
      <c r="N920" t="s">
        <v>3477</v>
      </c>
      <c r="O920">
        <v>18</v>
      </c>
      <c r="P920" t="s">
        <v>3477</v>
      </c>
      <c r="Q920">
        <v>18</v>
      </c>
      <c r="R920" s="13">
        <v>147000</v>
      </c>
      <c r="S920" s="13">
        <v>88200</v>
      </c>
    </row>
    <row r="921" spans="1:19">
      <c r="A921" s="9" t="s">
        <v>23</v>
      </c>
      <c r="B921" s="9" t="s">
        <v>26</v>
      </c>
      <c r="C921" s="9" t="s">
        <v>43</v>
      </c>
      <c r="D921" t="s">
        <v>204</v>
      </c>
      <c r="F921" s="12" t="s">
        <v>2423</v>
      </c>
      <c r="G921" s="10" t="s">
        <v>774</v>
      </c>
      <c r="H921" s="10" t="s">
        <v>774</v>
      </c>
      <c r="K921" t="s">
        <v>19</v>
      </c>
      <c r="L921" t="s">
        <v>20</v>
      </c>
      <c r="M921" s="9">
        <v>39222</v>
      </c>
      <c r="N921" t="s">
        <v>3477</v>
      </c>
      <c r="O921">
        <v>18</v>
      </c>
      <c r="P921" t="s">
        <v>3477</v>
      </c>
      <c r="Q921">
        <v>18</v>
      </c>
      <c r="R921" s="13">
        <v>45000</v>
      </c>
      <c r="S921" s="13">
        <v>27000</v>
      </c>
    </row>
    <row r="922" spans="1:19">
      <c r="A922" s="9" t="s">
        <v>23</v>
      </c>
      <c r="B922" s="9" t="s">
        <v>26</v>
      </c>
      <c r="C922" s="9" t="s">
        <v>103</v>
      </c>
      <c r="D922" t="s">
        <v>204</v>
      </c>
      <c r="F922" s="12" t="s">
        <v>2424</v>
      </c>
      <c r="G922" s="10" t="s">
        <v>775</v>
      </c>
      <c r="H922" s="10" t="s">
        <v>775</v>
      </c>
      <c r="K922" t="s">
        <v>19</v>
      </c>
      <c r="L922" t="s">
        <v>20</v>
      </c>
      <c r="M922" s="9">
        <v>69101</v>
      </c>
      <c r="N922" t="s">
        <v>3477</v>
      </c>
      <c r="O922">
        <v>18</v>
      </c>
      <c r="P922" t="s">
        <v>3477</v>
      </c>
      <c r="Q922">
        <v>18</v>
      </c>
      <c r="R922" s="13">
        <v>60000</v>
      </c>
      <c r="S922" s="13">
        <v>36000</v>
      </c>
    </row>
    <row r="923" spans="1:19">
      <c r="A923" s="9" t="s">
        <v>23</v>
      </c>
      <c r="B923" s="9" t="s">
        <v>26</v>
      </c>
      <c r="C923" s="9" t="s">
        <v>43</v>
      </c>
      <c r="D923" t="s">
        <v>204</v>
      </c>
      <c r="F923" s="12" t="s">
        <v>2425</v>
      </c>
      <c r="G923" s="10" t="s">
        <v>774</v>
      </c>
      <c r="H923" s="10" t="s">
        <v>774</v>
      </c>
      <c r="K923" t="s">
        <v>19</v>
      </c>
      <c r="L923" t="s">
        <v>20</v>
      </c>
      <c r="M923" s="9">
        <v>39222</v>
      </c>
      <c r="N923" t="s">
        <v>3477</v>
      </c>
      <c r="O923">
        <v>18</v>
      </c>
      <c r="P923" t="s">
        <v>3477</v>
      </c>
      <c r="Q923">
        <v>18</v>
      </c>
      <c r="R923" s="13">
        <v>56250</v>
      </c>
      <c r="S923" s="13">
        <v>33750</v>
      </c>
    </row>
    <row r="924" spans="1:19">
      <c r="A924" s="9" t="s">
        <v>23</v>
      </c>
      <c r="B924" s="9" t="s">
        <v>26</v>
      </c>
      <c r="C924" s="9" t="s">
        <v>43</v>
      </c>
      <c r="D924" t="s">
        <v>204</v>
      </c>
      <c r="F924" s="12" t="s">
        <v>2426</v>
      </c>
      <c r="G924" s="10" t="s">
        <v>776</v>
      </c>
      <c r="H924" s="10" t="s">
        <v>776</v>
      </c>
      <c r="K924" t="s">
        <v>19</v>
      </c>
      <c r="L924" t="s">
        <v>20</v>
      </c>
      <c r="M924" s="9">
        <v>69101</v>
      </c>
      <c r="N924" t="s">
        <v>3477</v>
      </c>
      <c r="O924">
        <v>18</v>
      </c>
      <c r="P924" t="s">
        <v>3477</v>
      </c>
      <c r="Q924">
        <v>18</v>
      </c>
      <c r="R924" s="13">
        <v>60000</v>
      </c>
      <c r="S924" s="13">
        <v>36000</v>
      </c>
    </row>
    <row r="925" spans="1:19">
      <c r="A925" s="9" t="s">
        <v>23</v>
      </c>
      <c r="B925" s="9" t="s">
        <v>26</v>
      </c>
      <c r="C925" s="9" t="s">
        <v>43</v>
      </c>
      <c r="D925" t="s">
        <v>204</v>
      </c>
      <c r="F925" s="12" t="s">
        <v>2427</v>
      </c>
      <c r="G925" s="10" t="s">
        <v>777</v>
      </c>
      <c r="H925" s="10" t="s">
        <v>777</v>
      </c>
      <c r="K925" t="s">
        <v>19</v>
      </c>
      <c r="L925" t="s">
        <v>20</v>
      </c>
      <c r="M925" s="9">
        <v>39222</v>
      </c>
      <c r="N925" t="s">
        <v>3477</v>
      </c>
      <c r="O925">
        <v>18</v>
      </c>
      <c r="P925" t="s">
        <v>3477</v>
      </c>
      <c r="Q925">
        <v>18</v>
      </c>
      <c r="R925" s="13">
        <v>56250</v>
      </c>
      <c r="S925" s="13">
        <v>33750</v>
      </c>
    </row>
    <row r="926" spans="1:19">
      <c r="A926" s="9" t="s">
        <v>23</v>
      </c>
      <c r="B926" s="9" t="s">
        <v>26</v>
      </c>
      <c r="C926" s="9" t="s">
        <v>43</v>
      </c>
      <c r="D926" t="s">
        <v>204</v>
      </c>
      <c r="F926" s="12" t="s">
        <v>2428</v>
      </c>
      <c r="G926" s="10" t="s">
        <v>777</v>
      </c>
      <c r="H926" s="10" t="s">
        <v>777</v>
      </c>
      <c r="K926" t="s">
        <v>19</v>
      </c>
      <c r="L926" t="s">
        <v>20</v>
      </c>
      <c r="M926" s="9">
        <v>69101</v>
      </c>
      <c r="N926" t="s">
        <v>3477</v>
      </c>
      <c r="O926">
        <v>18</v>
      </c>
      <c r="P926" t="s">
        <v>3477</v>
      </c>
      <c r="Q926">
        <v>18</v>
      </c>
      <c r="R926" s="13">
        <v>84000</v>
      </c>
      <c r="S926" s="13">
        <v>50400</v>
      </c>
    </row>
    <row r="927" spans="1:19">
      <c r="A927" s="9" t="s">
        <v>23</v>
      </c>
      <c r="B927" s="9" t="s">
        <v>26</v>
      </c>
      <c r="C927" s="9" t="s">
        <v>43</v>
      </c>
      <c r="D927" t="s">
        <v>204</v>
      </c>
      <c r="F927" s="12" t="s">
        <v>2429</v>
      </c>
      <c r="G927" s="10" t="s">
        <v>778</v>
      </c>
      <c r="H927" s="10" t="s">
        <v>778</v>
      </c>
      <c r="K927" t="s">
        <v>19</v>
      </c>
      <c r="L927" t="s">
        <v>20</v>
      </c>
      <c r="M927" s="9">
        <v>69101</v>
      </c>
      <c r="N927" t="s">
        <v>3477</v>
      </c>
      <c r="O927">
        <v>18</v>
      </c>
      <c r="P927" t="s">
        <v>3477</v>
      </c>
      <c r="Q927">
        <v>18</v>
      </c>
      <c r="R927" s="13">
        <v>78000</v>
      </c>
      <c r="S927" s="13">
        <v>46800</v>
      </c>
    </row>
    <row r="928" spans="1:19">
      <c r="A928" s="9" t="s">
        <v>23</v>
      </c>
      <c r="B928" s="9" t="s">
        <v>26</v>
      </c>
      <c r="C928" s="9" t="s">
        <v>43</v>
      </c>
      <c r="D928" t="s">
        <v>204</v>
      </c>
      <c r="F928" s="12" t="s">
        <v>2430</v>
      </c>
      <c r="G928" s="10" t="s">
        <v>779</v>
      </c>
      <c r="H928" s="10" t="s">
        <v>779</v>
      </c>
      <c r="K928" t="s">
        <v>19</v>
      </c>
      <c r="L928" t="s">
        <v>20</v>
      </c>
      <c r="M928" s="9">
        <v>39222</v>
      </c>
      <c r="N928" t="s">
        <v>3477</v>
      </c>
      <c r="O928">
        <v>18</v>
      </c>
      <c r="P928" t="s">
        <v>3477</v>
      </c>
      <c r="Q928">
        <v>18</v>
      </c>
      <c r="R928" s="13">
        <v>99000</v>
      </c>
      <c r="S928" s="13">
        <v>59400</v>
      </c>
    </row>
    <row r="929" spans="1:19">
      <c r="A929" s="9" t="s">
        <v>22</v>
      </c>
      <c r="B929" s="9" t="s">
        <v>26</v>
      </c>
      <c r="C929" s="9" t="s">
        <v>115</v>
      </c>
      <c r="D929" t="s">
        <v>204</v>
      </c>
      <c r="F929" s="12" t="s">
        <v>2431</v>
      </c>
      <c r="G929" s="10" t="s">
        <v>780</v>
      </c>
      <c r="H929" s="10" t="s">
        <v>780</v>
      </c>
      <c r="K929" t="s">
        <v>19</v>
      </c>
      <c r="L929" t="s">
        <v>20</v>
      </c>
      <c r="M929" s="9">
        <v>69101</v>
      </c>
      <c r="N929" t="s">
        <v>3477</v>
      </c>
      <c r="O929">
        <v>18</v>
      </c>
      <c r="P929" t="s">
        <v>3477</v>
      </c>
      <c r="Q929">
        <v>18</v>
      </c>
      <c r="R929" s="13">
        <v>79740</v>
      </c>
      <c r="S929" s="13">
        <v>55818</v>
      </c>
    </row>
    <row r="930" spans="1:19">
      <c r="A930" s="9" t="s">
        <v>22</v>
      </c>
      <c r="B930" s="9" t="s">
        <v>26</v>
      </c>
      <c r="C930" s="9" t="s">
        <v>115</v>
      </c>
      <c r="D930" t="s">
        <v>204</v>
      </c>
      <c r="F930" s="12" t="s">
        <v>2432</v>
      </c>
      <c r="G930" s="10" t="s">
        <v>781</v>
      </c>
      <c r="H930" s="10" t="s">
        <v>781</v>
      </c>
      <c r="K930" t="s">
        <v>19</v>
      </c>
      <c r="L930" t="s">
        <v>20</v>
      </c>
      <c r="M930" s="9">
        <v>69101</v>
      </c>
      <c r="N930" t="s">
        <v>3477</v>
      </c>
      <c r="O930">
        <v>18</v>
      </c>
      <c r="P930" t="s">
        <v>3477</v>
      </c>
      <c r="Q930">
        <v>18</v>
      </c>
      <c r="R930" s="13">
        <v>132900</v>
      </c>
      <c r="S930" s="13">
        <v>93030</v>
      </c>
    </row>
    <row r="931" spans="1:19">
      <c r="A931" s="9" t="s">
        <v>23</v>
      </c>
      <c r="B931" s="9" t="s">
        <v>26</v>
      </c>
      <c r="C931" s="9" t="s">
        <v>43</v>
      </c>
      <c r="D931" t="s">
        <v>204</v>
      </c>
      <c r="F931" s="12" t="s">
        <v>2433</v>
      </c>
      <c r="G931" s="10" t="s">
        <v>782</v>
      </c>
      <c r="H931" s="10" t="s">
        <v>782</v>
      </c>
      <c r="K931" t="s">
        <v>19</v>
      </c>
      <c r="L931" t="s">
        <v>20</v>
      </c>
      <c r="M931" s="9">
        <v>69101</v>
      </c>
      <c r="N931" t="s">
        <v>3477</v>
      </c>
      <c r="O931">
        <v>18</v>
      </c>
      <c r="P931" t="s">
        <v>3477</v>
      </c>
      <c r="Q931">
        <v>18</v>
      </c>
      <c r="R931" s="13">
        <v>45000</v>
      </c>
      <c r="S931" s="13">
        <v>27000</v>
      </c>
    </row>
    <row r="932" spans="1:19">
      <c r="A932" s="9" t="s">
        <v>23</v>
      </c>
      <c r="B932" s="9" t="s">
        <v>26</v>
      </c>
      <c r="C932" s="9" t="s">
        <v>103</v>
      </c>
      <c r="D932" t="s">
        <v>204</v>
      </c>
      <c r="F932" s="12" t="s">
        <v>2434</v>
      </c>
      <c r="G932" s="10" t="s">
        <v>783</v>
      </c>
      <c r="H932" s="10" t="s">
        <v>783</v>
      </c>
      <c r="K932" t="s">
        <v>19</v>
      </c>
      <c r="L932" t="s">
        <v>20</v>
      </c>
      <c r="M932" s="9">
        <v>69101</v>
      </c>
      <c r="N932" t="s">
        <v>3477</v>
      </c>
      <c r="O932">
        <v>18</v>
      </c>
      <c r="P932" t="s">
        <v>3477</v>
      </c>
      <c r="Q932">
        <v>18</v>
      </c>
      <c r="R932" s="13">
        <v>44000</v>
      </c>
      <c r="S932" s="13">
        <v>26400</v>
      </c>
    </row>
    <row r="933" spans="1:19">
      <c r="A933" s="9" t="s">
        <v>23</v>
      </c>
      <c r="B933" s="9" t="s">
        <v>26</v>
      </c>
      <c r="C933" s="9" t="s">
        <v>103</v>
      </c>
      <c r="D933" t="s">
        <v>204</v>
      </c>
      <c r="F933" s="12" t="s">
        <v>2435</v>
      </c>
      <c r="G933" s="10" t="s">
        <v>782</v>
      </c>
      <c r="H933" s="10" t="s">
        <v>782</v>
      </c>
      <c r="K933" t="s">
        <v>19</v>
      </c>
      <c r="L933" t="s">
        <v>20</v>
      </c>
      <c r="M933" s="9">
        <v>69101</v>
      </c>
      <c r="N933" t="s">
        <v>3477</v>
      </c>
      <c r="O933">
        <v>18</v>
      </c>
      <c r="P933" t="s">
        <v>3477</v>
      </c>
      <c r="Q933">
        <v>18</v>
      </c>
      <c r="R933" s="13">
        <v>41250</v>
      </c>
      <c r="S933" s="13">
        <v>24750</v>
      </c>
    </row>
    <row r="934" spans="1:19">
      <c r="A934" s="9" t="s">
        <v>23</v>
      </c>
      <c r="B934" s="9" t="s">
        <v>26</v>
      </c>
      <c r="C934" s="9" t="s">
        <v>103</v>
      </c>
      <c r="D934" t="s">
        <v>204</v>
      </c>
      <c r="F934" s="12" t="s">
        <v>2436</v>
      </c>
      <c r="G934" s="10" t="s">
        <v>784</v>
      </c>
      <c r="H934" s="10" t="s">
        <v>784</v>
      </c>
      <c r="K934" t="s">
        <v>19</v>
      </c>
      <c r="L934" t="s">
        <v>20</v>
      </c>
      <c r="M934" s="9">
        <v>69101</v>
      </c>
      <c r="N934" t="s">
        <v>3477</v>
      </c>
      <c r="O934">
        <v>18</v>
      </c>
      <c r="P934" t="s">
        <v>3477</v>
      </c>
      <c r="Q934">
        <v>18</v>
      </c>
      <c r="R934" s="13">
        <v>44000</v>
      </c>
      <c r="S934" s="13">
        <v>26400</v>
      </c>
    </row>
    <row r="935" spans="1:19">
      <c r="A935" s="9" t="s">
        <v>23</v>
      </c>
      <c r="B935" s="9" t="s">
        <v>26</v>
      </c>
      <c r="C935" s="9" t="s">
        <v>103</v>
      </c>
      <c r="D935" t="s">
        <v>204</v>
      </c>
      <c r="F935" s="12" t="s">
        <v>2437</v>
      </c>
      <c r="G935" s="10" t="s">
        <v>785</v>
      </c>
      <c r="H935" s="10" t="s">
        <v>785</v>
      </c>
      <c r="K935" t="s">
        <v>19</v>
      </c>
      <c r="L935" t="s">
        <v>20</v>
      </c>
      <c r="M935" s="9">
        <v>69101</v>
      </c>
      <c r="N935" t="s">
        <v>3477</v>
      </c>
      <c r="O935">
        <v>18</v>
      </c>
      <c r="P935" t="s">
        <v>3477</v>
      </c>
      <c r="Q935">
        <v>18</v>
      </c>
      <c r="R935" s="13">
        <v>41250</v>
      </c>
      <c r="S935" s="13">
        <v>24750</v>
      </c>
    </row>
    <row r="936" spans="1:19">
      <c r="A936" s="9" t="s">
        <v>23</v>
      </c>
      <c r="B936" s="9" t="s">
        <v>26</v>
      </c>
      <c r="C936" s="9" t="s">
        <v>103</v>
      </c>
      <c r="D936" t="s">
        <v>204</v>
      </c>
      <c r="F936" s="12" t="s">
        <v>2438</v>
      </c>
      <c r="G936" s="10" t="s">
        <v>785</v>
      </c>
      <c r="H936" s="10" t="s">
        <v>785</v>
      </c>
      <c r="K936" t="s">
        <v>19</v>
      </c>
      <c r="L936" t="s">
        <v>20</v>
      </c>
      <c r="M936" s="9">
        <v>69101</v>
      </c>
      <c r="N936" t="s">
        <v>3477</v>
      </c>
      <c r="O936">
        <v>18</v>
      </c>
      <c r="P936" t="s">
        <v>3477</v>
      </c>
      <c r="Q936">
        <v>18</v>
      </c>
      <c r="R936" s="13">
        <v>33000</v>
      </c>
      <c r="S936" s="13">
        <v>19800</v>
      </c>
    </row>
    <row r="937" spans="1:19">
      <c r="A937" s="9" t="s">
        <v>23</v>
      </c>
      <c r="B937" s="9" t="s">
        <v>26</v>
      </c>
      <c r="C937" s="9" t="s">
        <v>103</v>
      </c>
      <c r="D937" t="s">
        <v>204</v>
      </c>
      <c r="F937" s="12" t="s">
        <v>2439</v>
      </c>
      <c r="G937" s="10" t="s">
        <v>786</v>
      </c>
      <c r="H937" s="10" t="s">
        <v>786</v>
      </c>
      <c r="K937" t="s">
        <v>19</v>
      </c>
      <c r="L937" t="s">
        <v>20</v>
      </c>
      <c r="M937" s="9">
        <v>69101</v>
      </c>
      <c r="N937" t="s">
        <v>3477</v>
      </c>
      <c r="O937">
        <v>18</v>
      </c>
      <c r="P937" t="s">
        <v>3477</v>
      </c>
      <c r="Q937">
        <v>18</v>
      </c>
      <c r="R937" s="13">
        <v>33000</v>
      </c>
      <c r="S937" s="13">
        <v>19800</v>
      </c>
    </row>
    <row r="938" spans="1:19">
      <c r="A938" s="9" t="s">
        <v>23</v>
      </c>
      <c r="B938" s="9" t="s">
        <v>26</v>
      </c>
      <c r="C938" s="9" t="s">
        <v>103</v>
      </c>
      <c r="D938" t="s">
        <v>204</v>
      </c>
      <c r="F938" s="12" t="s">
        <v>2440</v>
      </c>
      <c r="G938" s="10" t="s">
        <v>787</v>
      </c>
      <c r="H938" s="10" t="s">
        <v>787</v>
      </c>
      <c r="K938" t="s">
        <v>19</v>
      </c>
      <c r="L938" t="s">
        <v>20</v>
      </c>
      <c r="M938" s="9">
        <v>39222</v>
      </c>
      <c r="N938" t="s">
        <v>3477</v>
      </c>
      <c r="O938">
        <v>18</v>
      </c>
      <c r="P938" t="s">
        <v>3477</v>
      </c>
      <c r="Q938">
        <v>18</v>
      </c>
      <c r="R938" s="13">
        <v>72000</v>
      </c>
      <c r="S938" s="13">
        <v>43200</v>
      </c>
    </row>
    <row r="939" spans="1:19">
      <c r="A939" s="9" t="s">
        <v>23</v>
      </c>
      <c r="B939" s="9" t="s">
        <v>26</v>
      </c>
      <c r="C939" s="9" t="s">
        <v>103</v>
      </c>
      <c r="D939" t="s">
        <v>204</v>
      </c>
      <c r="F939" s="12" t="s">
        <v>2441</v>
      </c>
      <c r="G939" s="10" t="s">
        <v>788</v>
      </c>
      <c r="H939" s="10" t="s">
        <v>788</v>
      </c>
      <c r="K939" t="s">
        <v>19</v>
      </c>
      <c r="L939" t="s">
        <v>20</v>
      </c>
      <c r="M939" s="9">
        <v>39222</v>
      </c>
      <c r="N939" t="s">
        <v>3477</v>
      </c>
      <c r="O939">
        <v>18</v>
      </c>
      <c r="P939" t="s">
        <v>3477</v>
      </c>
      <c r="Q939">
        <v>18</v>
      </c>
      <c r="R939" s="13">
        <v>66000</v>
      </c>
      <c r="S939" s="13">
        <v>39600</v>
      </c>
    </row>
    <row r="940" spans="1:19">
      <c r="A940" s="9" t="s">
        <v>23</v>
      </c>
      <c r="B940" s="9" t="s">
        <v>26</v>
      </c>
      <c r="C940" s="9" t="s">
        <v>76</v>
      </c>
      <c r="D940" t="s">
        <v>204</v>
      </c>
      <c r="F940" s="12" t="s">
        <v>2442</v>
      </c>
      <c r="G940" s="10" t="s">
        <v>788</v>
      </c>
      <c r="H940" s="10" t="s">
        <v>788</v>
      </c>
      <c r="K940" t="s">
        <v>19</v>
      </c>
      <c r="L940" t="s">
        <v>20</v>
      </c>
      <c r="M940" s="9">
        <v>39222</v>
      </c>
      <c r="N940" t="s">
        <v>3477</v>
      </c>
      <c r="O940">
        <v>18</v>
      </c>
      <c r="P940" t="s">
        <v>3477</v>
      </c>
      <c r="Q940">
        <v>18</v>
      </c>
      <c r="R940" s="13">
        <v>16000</v>
      </c>
      <c r="S940" s="13">
        <v>9600</v>
      </c>
    </row>
    <row r="941" spans="1:19">
      <c r="A941" s="9" t="s">
        <v>23</v>
      </c>
      <c r="B941" s="9" t="s">
        <v>26</v>
      </c>
      <c r="C941" s="9" t="s">
        <v>76</v>
      </c>
      <c r="D941" t="s">
        <v>204</v>
      </c>
      <c r="F941" s="12" t="s">
        <v>2443</v>
      </c>
      <c r="G941" s="10" t="s">
        <v>788</v>
      </c>
      <c r="H941" s="10" t="s">
        <v>788</v>
      </c>
      <c r="K941" t="s">
        <v>19</v>
      </c>
      <c r="L941" t="s">
        <v>20</v>
      </c>
      <c r="M941" s="9">
        <v>39229</v>
      </c>
      <c r="N941" t="s">
        <v>3477</v>
      </c>
      <c r="O941">
        <v>18</v>
      </c>
      <c r="P941" t="s">
        <v>3477</v>
      </c>
      <c r="Q941">
        <v>18</v>
      </c>
      <c r="R941" s="13">
        <v>15000</v>
      </c>
      <c r="S941" s="13">
        <v>9000</v>
      </c>
    </row>
    <row r="942" spans="1:19">
      <c r="A942" s="9" t="s">
        <v>23</v>
      </c>
      <c r="B942" s="9" t="s">
        <v>26</v>
      </c>
      <c r="C942" s="9" t="s">
        <v>76</v>
      </c>
      <c r="D942" t="s">
        <v>204</v>
      </c>
      <c r="F942" s="12" t="s">
        <v>2444</v>
      </c>
      <c r="G942" s="10" t="s">
        <v>788</v>
      </c>
      <c r="H942" s="10" t="s">
        <v>788</v>
      </c>
      <c r="K942" t="s">
        <v>19</v>
      </c>
      <c r="L942" t="s">
        <v>20</v>
      </c>
      <c r="M942" s="9">
        <v>69101</v>
      </c>
      <c r="N942" t="s">
        <v>3477</v>
      </c>
      <c r="O942">
        <v>18</v>
      </c>
      <c r="P942" t="s">
        <v>3477</v>
      </c>
      <c r="Q942">
        <v>18</v>
      </c>
      <c r="R942" s="13">
        <v>16000</v>
      </c>
      <c r="S942" s="13">
        <v>9600</v>
      </c>
    </row>
    <row r="943" spans="1:19">
      <c r="A943" s="9" t="s">
        <v>23</v>
      </c>
      <c r="B943" s="9" t="s">
        <v>26</v>
      </c>
      <c r="C943" s="9" t="s">
        <v>76</v>
      </c>
      <c r="D943" t="s">
        <v>204</v>
      </c>
      <c r="F943" s="12" t="s">
        <v>2445</v>
      </c>
      <c r="G943" s="10" t="s">
        <v>788</v>
      </c>
      <c r="H943" s="10" t="s">
        <v>788</v>
      </c>
      <c r="K943" t="s">
        <v>19</v>
      </c>
      <c r="L943" t="s">
        <v>20</v>
      </c>
      <c r="M943" s="9">
        <v>39229</v>
      </c>
      <c r="N943" t="s">
        <v>3477</v>
      </c>
      <c r="O943">
        <v>18</v>
      </c>
      <c r="P943" t="s">
        <v>3477</v>
      </c>
      <c r="Q943">
        <v>18</v>
      </c>
      <c r="R943" s="13">
        <v>15000</v>
      </c>
      <c r="S943" s="13">
        <v>9000</v>
      </c>
    </row>
    <row r="944" spans="1:19">
      <c r="A944" s="9" t="s">
        <v>23</v>
      </c>
      <c r="B944" s="9" t="s">
        <v>26</v>
      </c>
      <c r="C944" s="9" t="s">
        <v>76</v>
      </c>
      <c r="D944" t="s">
        <v>204</v>
      </c>
      <c r="F944" s="12" t="s">
        <v>2446</v>
      </c>
      <c r="G944" s="10" t="s">
        <v>789</v>
      </c>
      <c r="H944" s="10" t="s">
        <v>789</v>
      </c>
      <c r="K944" t="s">
        <v>19</v>
      </c>
      <c r="L944" t="s">
        <v>20</v>
      </c>
      <c r="M944" s="9">
        <v>39222</v>
      </c>
      <c r="N944" t="s">
        <v>3477</v>
      </c>
      <c r="O944">
        <v>18</v>
      </c>
      <c r="P944" t="s">
        <v>3477</v>
      </c>
      <c r="Q944">
        <v>18</v>
      </c>
      <c r="R944" s="13">
        <v>12000</v>
      </c>
      <c r="S944" s="13">
        <v>7200</v>
      </c>
    </row>
    <row r="945" spans="1:19">
      <c r="A945" s="9" t="s">
        <v>23</v>
      </c>
      <c r="B945" s="9" t="s">
        <v>25</v>
      </c>
      <c r="C945" s="9" t="s">
        <v>152</v>
      </c>
      <c r="D945" t="s">
        <v>204</v>
      </c>
      <c r="F945" s="12" t="s">
        <v>2447</v>
      </c>
      <c r="G945" s="10" t="s">
        <v>789</v>
      </c>
      <c r="H945" s="10" t="s">
        <v>789</v>
      </c>
      <c r="K945" t="s">
        <v>19</v>
      </c>
      <c r="L945" t="s">
        <v>20</v>
      </c>
      <c r="M945" s="9">
        <v>6810999</v>
      </c>
      <c r="N945" t="s">
        <v>3477</v>
      </c>
      <c r="O945">
        <v>18</v>
      </c>
      <c r="P945" t="s">
        <v>3477</v>
      </c>
      <c r="Q945">
        <v>18</v>
      </c>
      <c r="R945" s="13">
        <v>64000</v>
      </c>
      <c r="S945" s="13">
        <v>38400</v>
      </c>
    </row>
    <row r="946" spans="1:19">
      <c r="A946" s="9" t="s">
        <v>23</v>
      </c>
      <c r="B946" s="9" t="s">
        <v>25</v>
      </c>
      <c r="C946" s="9" t="s">
        <v>152</v>
      </c>
      <c r="D946" t="s">
        <v>204</v>
      </c>
      <c r="F946" s="12" t="s">
        <v>2448</v>
      </c>
      <c r="G946" s="10" t="s">
        <v>790</v>
      </c>
      <c r="H946" s="10" t="s">
        <v>790</v>
      </c>
      <c r="K946" t="s">
        <v>19</v>
      </c>
      <c r="L946" t="s">
        <v>20</v>
      </c>
      <c r="M946" s="9">
        <v>6810999</v>
      </c>
      <c r="N946" t="s">
        <v>3477</v>
      </c>
      <c r="O946">
        <v>18</v>
      </c>
      <c r="P946" t="s">
        <v>3477</v>
      </c>
      <c r="Q946">
        <v>18</v>
      </c>
      <c r="R946" s="13">
        <v>59000</v>
      </c>
      <c r="S946" s="13">
        <v>35400</v>
      </c>
    </row>
    <row r="947" spans="1:19">
      <c r="A947" s="9" t="s">
        <v>23</v>
      </c>
      <c r="B947" s="9" t="s">
        <v>27</v>
      </c>
      <c r="C947" s="9" t="s">
        <v>63</v>
      </c>
      <c r="D947" t="s">
        <v>204</v>
      </c>
      <c r="F947" s="12" t="s">
        <v>2449</v>
      </c>
      <c r="G947" s="10" t="s">
        <v>791</v>
      </c>
      <c r="H947" s="10" t="s">
        <v>791</v>
      </c>
      <c r="K947" t="s">
        <v>19</v>
      </c>
      <c r="L947" t="s">
        <v>20</v>
      </c>
      <c r="M947" s="9">
        <v>8481802</v>
      </c>
      <c r="N947" t="s">
        <v>3477</v>
      </c>
      <c r="O947">
        <v>18</v>
      </c>
      <c r="P947" t="s">
        <v>3477</v>
      </c>
      <c r="Q947">
        <v>18</v>
      </c>
      <c r="R947" s="13">
        <v>25000</v>
      </c>
      <c r="S947" s="13">
        <v>15000</v>
      </c>
    </row>
    <row r="948" spans="1:19">
      <c r="A948" s="9" t="s">
        <v>22</v>
      </c>
      <c r="B948" s="9" t="s">
        <v>27</v>
      </c>
      <c r="C948" s="9" t="s">
        <v>134</v>
      </c>
      <c r="D948" t="s">
        <v>204</v>
      </c>
      <c r="F948" s="12" t="s">
        <v>2450</v>
      </c>
      <c r="G948" s="10" t="s">
        <v>792</v>
      </c>
      <c r="H948" s="10" t="s">
        <v>792</v>
      </c>
      <c r="K948" t="s">
        <v>19</v>
      </c>
      <c r="L948" t="s">
        <v>20</v>
      </c>
      <c r="M948" s="9">
        <v>8481802</v>
      </c>
      <c r="N948" t="s">
        <v>3477</v>
      </c>
      <c r="O948">
        <v>18</v>
      </c>
      <c r="P948" t="s">
        <v>3477</v>
      </c>
      <c r="Q948">
        <v>18</v>
      </c>
      <c r="R948" s="13">
        <v>89020</v>
      </c>
      <c r="S948" s="13">
        <v>62313.999999999993</v>
      </c>
    </row>
    <row r="949" spans="1:19">
      <c r="A949" s="9" t="s">
        <v>22</v>
      </c>
      <c r="B949" s="9" t="s">
        <v>27</v>
      </c>
      <c r="C949" s="9" t="s">
        <v>134</v>
      </c>
      <c r="D949" t="s">
        <v>204</v>
      </c>
      <c r="F949" s="12" t="s">
        <v>2451</v>
      </c>
      <c r="G949" s="10" t="s">
        <v>793</v>
      </c>
      <c r="H949" s="10" t="s">
        <v>793</v>
      </c>
      <c r="K949" t="s">
        <v>19</v>
      </c>
      <c r="L949" t="s">
        <v>20</v>
      </c>
      <c r="M949" s="9">
        <v>8481802</v>
      </c>
      <c r="N949" t="s">
        <v>3477</v>
      </c>
      <c r="O949">
        <v>18</v>
      </c>
      <c r="P949" t="s">
        <v>3477</v>
      </c>
      <c r="Q949">
        <v>18</v>
      </c>
      <c r="R949" s="13">
        <v>77800</v>
      </c>
      <c r="S949" s="13">
        <v>54460</v>
      </c>
    </row>
    <row r="950" spans="1:19">
      <c r="A950" s="9" t="s">
        <v>22</v>
      </c>
      <c r="B950" s="9" t="s">
        <v>27</v>
      </c>
      <c r="C950" s="9" t="s">
        <v>134</v>
      </c>
      <c r="D950" t="s">
        <v>204</v>
      </c>
      <c r="F950" s="12" t="s">
        <v>2452</v>
      </c>
      <c r="G950" s="10" t="s">
        <v>794</v>
      </c>
      <c r="H950" s="10" t="s">
        <v>794</v>
      </c>
      <c r="K950" t="s">
        <v>19</v>
      </c>
      <c r="L950" t="s">
        <v>20</v>
      </c>
      <c r="M950" s="9">
        <v>8481802</v>
      </c>
      <c r="N950" t="s">
        <v>3477</v>
      </c>
      <c r="O950">
        <v>18</v>
      </c>
      <c r="P950" t="s">
        <v>3477</v>
      </c>
      <c r="Q950">
        <v>18</v>
      </c>
      <c r="R950" s="13">
        <v>69420</v>
      </c>
      <c r="S950" s="13">
        <v>48594</v>
      </c>
    </row>
    <row r="951" spans="1:19">
      <c r="A951" s="9" t="s">
        <v>22</v>
      </c>
      <c r="B951" s="9" t="s">
        <v>27</v>
      </c>
      <c r="C951" s="9" t="s">
        <v>153</v>
      </c>
      <c r="D951" t="s">
        <v>204</v>
      </c>
      <c r="F951" s="12" t="s">
        <v>2453</v>
      </c>
      <c r="G951" s="10" t="s">
        <v>795</v>
      </c>
      <c r="H951" s="10" t="s">
        <v>795</v>
      </c>
      <c r="K951" t="s">
        <v>19</v>
      </c>
      <c r="L951" t="s">
        <v>20</v>
      </c>
      <c r="M951" s="9">
        <v>94036</v>
      </c>
      <c r="N951" t="s">
        <v>3477</v>
      </c>
      <c r="O951">
        <v>18</v>
      </c>
      <c r="P951" t="s">
        <v>3477</v>
      </c>
      <c r="Q951">
        <v>18</v>
      </c>
      <c r="R951" s="13">
        <v>174</v>
      </c>
      <c r="S951" s="13">
        <v>121.8</v>
      </c>
    </row>
    <row r="952" spans="1:19">
      <c r="A952" s="9" t="s">
        <v>23</v>
      </c>
      <c r="B952" s="9" t="s">
        <v>27</v>
      </c>
      <c r="C952" s="9" t="s">
        <v>100</v>
      </c>
      <c r="D952" t="s">
        <v>204</v>
      </c>
      <c r="F952" s="12" t="s">
        <v>2454</v>
      </c>
      <c r="G952" s="10" t="s">
        <v>796</v>
      </c>
      <c r="H952" s="10" t="s">
        <v>796</v>
      </c>
      <c r="K952" t="s">
        <v>19</v>
      </c>
      <c r="L952" t="s">
        <v>20</v>
      </c>
      <c r="M952" s="9">
        <v>8481802</v>
      </c>
      <c r="N952" t="s">
        <v>3477</v>
      </c>
      <c r="O952">
        <v>18</v>
      </c>
      <c r="P952" t="s">
        <v>3477</v>
      </c>
      <c r="Q952">
        <v>18</v>
      </c>
      <c r="R952" s="13">
        <v>80390</v>
      </c>
      <c r="S952" s="13">
        <v>48234</v>
      </c>
    </row>
    <row r="953" spans="1:19">
      <c r="A953" s="9" t="s">
        <v>23</v>
      </c>
      <c r="B953" s="9" t="s">
        <v>27</v>
      </c>
      <c r="C953" s="9" t="s">
        <v>63</v>
      </c>
      <c r="D953" t="s">
        <v>204</v>
      </c>
      <c r="F953" s="12" t="s">
        <v>2455</v>
      </c>
      <c r="G953" s="10" t="s">
        <v>796</v>
      </c>
      <c r="H953" s="10" t="s">
        <v>796</v>
      </c>
      <c r="K953" t="s">
        <v>19</v>
      </c>
      <c r="L953" t="s">
        <v>20</v>
      </c>
      <c r="M953" s="9">
        <v>8481802</v>
      </c>
      <c r="N953" t="s">
        <v>3477</v>
      </c>
      <c r="O953">
        <v>18</v>
      </c>
      <c r="P953" t="s">
        <v>3477</v>
      </c>
      <c r="Q953">
        <v>18</v>
      </c>
      <c r="R953" s="13">
        <v>175000</v>
      </c>
      <c r="S953" s="13">
        <v>105000</v>
      </c>
    </row>
    <row r="954" spans="1:19">
      <c r="A954" s="9" t="s">
        <v>23</v>
      </c>
      <c r="B954" s="9" t="s">
        <v>27</v>
      </c>
      <c r="C954" s="9" t="s">
        <v>63</v>
      </c>
      <c r="D954" t="s">
        <v>204</v>
      </c>
      <c r="F954" s="12" t="s">
        <v>2456</v>
      </c>
      <c r="G954" s="10" t="s">
        <v>797</v>
      </c>
      <c r="H954" s="10" t="s">
        <v>797</v>
      </c>
      <c r="K954" t="s">
        <v>19</v>
      </c>
      <c r="L954" t="s">
        <v>20</v>
      </c>
      <c r="M954" s="9">
        <v>8481802</v>
      </c>
      <c r="N954" t="s">
        <v>3477</v>
      </c>
      <c r="O954">
        <v>18</v>
      </c>
      <c r="P954" t="s">
        <v>3477</v>
      </c>
      <c r="Q954">
        <v>18</v>
      </c>
      <c r="R954" s="13">
        <v>200000</v>
      </c>
      <c r="S954" s="13">
        <v>120000</v>
      </c>
    </row>
    <row r="955" spans="1:19">
      <c r="A955" s="9" t="s">
        <v>23</v>
      </c>
      <c r="B955" s="9" t="s">
        <v>27</v>
      </c>
      <c r="C955" s="9" t="s">
        <v>63</v>
      </c>
      <c r="D955" t="s">
        <v>204</v>
      </c>
      <c r="F955" s="12" t="s">
        <v>2457</v>
      </c>
      <c r="G955" s="10" t="s">
        <v>798</v>
      </c>
      <c r="H955" s="10" t="s">
        <v>798</v>
      </c>
      <c r="K955" t="s">
        <v>19</v>
      </c>
      <c r="L955" t="s">
        <v>20</v>
      </c>
      <c r="M955" s="9">
        <v>8481802</v>
      </c>
      <c r="N955" t="s">
        <v>3477</v>
      </c>
      <c r="O955">
        <v>18</v>
      </c>
      <c r="P955" t="s">
        <v>3477</v>
      </c>
      <c r="Q955">
        <v>18</v>
      </c>
      <c r="R955" s="13">
        <v>225000</v>
      </c>
      <c r="S955" s="13">
        <v>135000</v>
      </c>
    </row>
    <row r="956" spans="1:19">
      <c r="A956" s="9" t="s">
        <v>23</v>
      </c>
      <c r="B956" s="9" t="s">
        <v>27</v>
      </c>
      <c r="C956" s="9" t="s">
        <v>154</v>
      </c>
      <c r="D956" t="s">
        <v>204</v>
      </c>
      <c r="F956" s="12" t="s">
        <v>2458</v>
      </c>
      <c r="G956" s="10" t="s">
        <v>799</v>
      </c>
      <c r="H956" s="10" t="s">
        <v>799</v>
      </c>
      <c r="K956" t="s">
        <v>19</v>
      </c>
      <c r="L956" t="s">
        <v>20</v>
      </c>
      <c r="M956" s="9">
        <v>85371</v>
      </c>
      <c r="N956" t="s">
        <v>3477</v>
      </c>
      <c r="O956">
        <v>18</v>
      </c>
      <c r="P956" t="s">
        <v>3477</v>
      </c>
      <c r="Q956">
        <v>18</v>
      </c>
      <c r="R956" s="13">
        <v>120000</v>
      </c>
      <c r="S956" s="13">
        <v>72000</v>
      </c>
    </row>
    <row r="957" spans="1:19">
      <c r="A957" s="9" t="s">
        <v>23</v>
      </c>
      <c r="B957" s="9" t="s">
        <v>27</v>
      </c>
      <c r="C957" s="9" t="s">
        <v>154</v>
      </c>
      <c r="D957" t="s">
        <v>204</v>
      </c>
      <c r="F957" s="12" t="s">
        <v>2459</v>
      </c>
      <c r="G957" s="10" t="s">
        <v>798</v>
      </c>
      <c r="H957" s="10" t="s">
        <v>798</v>
      </c>
      <c r="K957" t="s">
        <v>19</v>
      </c>
      <c r="L957" t="s">
        <v>20</v>
      </c>
      <c r="M957" s="9">
        <v>8481802</v>
      </c>
      <c r="N957" t="s">
        <v>3477</v>
      </c>
      <c r="O957">
        <v>18</v>
      </c>
      <c r="P957" t="s">
        <v>3477</v>
      </c>
      <c r="Q957">
        <v>18</v>
      </c>
      <c r="R957" s="13">
        <v>137500</v>
      </c>
      <c r="S957" s="13">
        <v>82500</v>
      </c>
    </row>
    <row r="958" spans="1:19">
      <c r="A958" s="9" t="s">
        <v>23</v>
      </c>
      <c r="B958" s="9" t="s">
        <v>27</v>
      </c>
      <c r="C958" s="9" t="s">
        <v>154</v>
      </c>
      <c r="D958" t="s">
        <v>204</v>
      </c>
      <c r="F958" s="12" t="s">
        <v>2460</v>
      </c>
      <c r="G958" s="10" t="s">
        <v>800</v>
      </c>
      <c r="H958" s="10" t="s">
        <v>800</v>
      </c>
      <c r="K958" t="s">
        <v>19</v>
      </c>
      <c r="L958" t="s">
        <v>20</v>
      </c>
      <c r="M958" s="9">
        <v>8481802</v>
      </c>
      <c r="N958" t="s">
        <v>3477</v>
      </c>
      <c r="O958">
        <v>18</v>
      </c>
      <c r="P958" t="s">
        <v>3477</v>
      </c>
      <c r="Q958">
        <v>18</v>
      </c>
      <c r="R958" s="13">
        <v>116000</v>
      </c>
      <c r="S958" s="13">
        <v>69600</v>
      </c>
    </row>
    <row r="959" spans="1:19">
      <c r="A959" s="9" t="s">
        <v>23</v>
      </c>
      <c r="B959" s="9" t="s">
        <v>26</v>
      </c>
      <c r="C959" s="9" t="s">
        <v>72</v>
      </c>
      <c r="D959" t="s">
        <v>204</v>
      </c>
      <c r="F959" s="12" t="s">
        <v>2461</v>
      </c>
      <c r="G959" s="10" t="s">
        <v>801</v>
      </c>
      <c r="H959" s="10" t="s">
        <v>801</v>
      </c>
      <c r="K959" t="s">
        <v>19</v>
      </c>
      <c r="L959" t="s">
        <v>20</v>
      </c>
      <c r="M959" s="9">
        <v>69101</v>
      </c>
      <c r="N959" t="s">
        <v>3477</v>
      </c>
      <c r="O959">
        <v>18</v>
      </c>
      <c r="P959" t="s">
        <v>3477</v>
      </c>
      <c r="Q959">
        <v>18</v>
      </c>
      <c r="R959" s="13">
        <v>52000</v>
      </c>
      <c r="S959" s="13">
        <v>31200</v>
      </c>
    </row>
    <row r="960" spans="1:19">
      <c r="A960" s="9" t="s">
        <v>22</v>
      </c>
      <c r="B960" s="9" t="s">
        <v>38</v>
      </c>
      <c r="C960" s="9" t="s">
        <v>70</v>
      </c>
      <c r="D960" t="s">
        <v>204</v>
      </c>
      <c r="F960" s="12" t="s">
        <v>2462</v>
      </c>
      <c r="G960" s="10" t="s">
        <v>802</v>
      </c>
      <c r="H960" s="10" t="s">
        <v>802</v>
      </c>
      <c r="K960" t="s">
        <v>19</v>
      </c>
      <c r="L960" t="s">
        <v>20</v>
      </c>
      <c r="M960" s="9">
        <v>69101</v>
      </c>
      <c r="N960" t="s">
        <v>3477</v>
      </c>
      <c r="O960">
        <v>18</v>
      </c>
      <c r="P960" t="s">
        <v>3477</v>
      </c>
      <c r="Q960">
        <v>18</v>
      </c>
      <c r="R960" s="13">
        <v>93820</v>
      </c>
      <c r="S960" s="13">
        <v>65674</v>
      </c>
    </row>
    <row r="961" spans="1:19">
      <c r="A961" s="9" t="s">
        <v>23</v>
      </c>
      <c r="B961" s="9" t="s">
        <v>26</v>
      </c>
      <c r="C961" s="9" t="s">
        <v>115</v>
      </c>
      <c r="D961" t="s">
        <v>204</v>
      </c>
      <c r="F961" s="12" t="s">
        <v>2463</v>
      </c>
      <c r="G961" s="10" t="s">
        <v>803</v>
      </c>
      <c r="H961" s="10" t="s">
        <v>803</v>
      </c>
      <c r="K961" t="s">
        <v>19</v>
      </c>
      <c r="L961" t="s">
        <v>20</v>
      </c>
      <c r="M961" s="9">
        <v>69101</v>
      </c>
      <c r="N961" t="s">
        <v>3477</v>
      </c>
      <c r="O961">
        <v>18</v>
      </c>
      <c r="P961" t="s">
        <v>3477</v>
      </c>
      <c r="Q961">
        <v>18</v>
      </c>
      <c r="R961" s="13">
        <v>1316000</v>
      </c>
      <c r="S961" s="13">
        <v>789600</v>
      </c>
    </row>
    <row r="962" spans="1:19">
      <c r="A962" s="9" t="s">
        <v>23</v>
      </c>
      <c r="B962" s="9" t="s">
        <v>26</v>
      </c>
      <c r="C962" s="9" t="s">
        <v>115</v>
      </c>
      <c r="D962" t="s">
        <v>204</v>
      </c>
      <c r="F962" s="12" t="s">
        <v>2464</v>
      </c>
      <c r="G962" s="10" t="s">
        <v>804</v>
      </c>
      <c r="H962" s="10" t="s">
        <v>804</v>
      </c>
      <c r="K962" t="s">
        <v>19</v>
      </c>
      <c r="L962" t="s">
        <v>20</v>
      </c>
      <c r="M962" s="9">
        <v>69101</v>
      </c>
      <c r="N962" t="s">
        <v>3477</v>
      </c>
      <c r="O962">
        <v>18</v>
      </c>
      <c r="P962" t="s">
        <v>3477</v>
      </c>
      <c r="Q962">
        <v>18</v>
      </c>
      <c r="R962" s="13">
        <v>1380000</v>
      </c>
      <c r="S962" s="13">
        <v>828000</v>
      </c>
    </row>
    <row r="963" spans="1:19">
      <c r="A963" s="9" t="s">
        <v>23</v>
      </c>
      <c r="B963" s="9" t="s">
        <v>27</v>
      </c>
      <c r="C963" s="9" t="s">
        <v>63</v>
      </c>
      <c r="D963" t="s">
        <v>204</v>
      </c>
      <c r="F963" s="12" t="s">
        <v>2465</v>
      </c>
      <c r="G963" s="10" t="s">
        <v>805</v>
      </c>
      <c r="H963" s="10" t="s">
        <v>805</v>
      </c>
      <c r="K963" t="s">
        <v>19</v>
      </c>
      <c r="L963" t="s">
        <v>20</v>
      </c>
      <c r="M963" s="9">
        <v>8481802</v>
      </c>
      <c r="N963" t="s">
        <v>3477</v>
      </c>
      <c r="O963">
        <v>18</v>
      </c>
      <c r="P963" t="s">
        <v>3477</v>
      </c>
      <c r="Q963">
        <v>18</v>
      </c>
      <c r="R963" s="13">
        <v>75000</v>
      </c>
      <c r="S963" s="13">
        <v>45000</v>
      </c>
    </row>
    <row r="964" spans="1:19">
      <c r="A964" s="9" t="s">
        <v>23</v>
      </c>
      <c r="B964" s="9" t="s">
        <v>26</v>
      </c>
      <c r="C964" s="9" t="s">
        <v>155</v>
      </c>
      <c r="D964" t="s">
        <v>204</v>
      </c>
      <c r="F964" s="12" t="s">
        <v>2466</v>
      </c>
      <c r="G964" s="10" t="s">
        <v>806</v>
      </c>
      <c r="H964" s="10" t="s">
        <v>806</v>
      </c>
      <c r="K964" t="s">
        <v>19</v>
      </c>
      <c r="L964" t="s">
        <v>20</v>
      </c>
      <c r="M964" s="9">
        <v>39222</v>
      </c>
      <c r="N964" t="s">
        <v>3477</v>
      </c>
      <c r="O964">
        <v>18</v>
      </c>
      <c r="P964" t="s">
        <v>3477</v>
      </c>
      <c r="Q964">
        <v>18</v>
      </c>
      <c r="R964" s="13">
        <v>150000</v>
      </c>
      <c r="S964" s="13">
        <v>90000</v>
      </c>
    </row>
    <row r="965" spans="1:19">
      <c r="A965" s="9" t="s">
        <v>23</v>
      </c>
      <c r="B965" s="9" t="s">
        <v>26</v>
      </c>
      <c r="C965" s="9" t="s">
        <v>155</v>
      </c>
      <c r="D965" t="s">
        <v>204</v>
      </c>
      <c r="F965" s="12" t="s">
        <v>2467</v>
      </c>
      <c r="G965" s="10" t="s">
        <v>807</v>
      </c>
      <c r="H965" s="10" t="s">
        <v>807</v>
      </c>
      <c r="K965" t="s">
        <v>19</v>
      </c>
      <c r="L965" t="s">
        <v>20</v>
      </c>
      <c r="M965" s="9">
        <v>39229</v>
      </c>
      <c r="N965" t="s">
        <v>3477</v>
      </c>
      <c r="O965">
        <v>18</v>
      </c>
      <c r="P965" t="s">
        <v>3477</v>
      </c>
      <c r="Q965">
        <v>18</v>
      </c>
      <c r="R965" s="13">
        <v>150000</v>
      </c>
      <c r="S965" s="13">
        <v>90000</v>
      </c>
    </row>
    <row r="966" spans="1:19">
      <c r="A966" s="9" t="s">
        <v>24</v>
      </c>
      <c r="B966" s="9" t="s">
        <v>26</v>
      </c>
      <c r="C966" s="9" t="s">
        <v>127</v>
      </c>
      <c r="D966" t="s">
        <v>204</v>
      </c>
      <c r="F966" s="12" t="s">
        <v>2468</v>
      </c>
      <c r="G966" s="10" t="s">
        <v>808</v>
      </c>
      <c r="H966" s="10" t="s">
        <v>808</v>
      </c>
      <c r="K966" t="s">
        <v>19</v>
      </c>
      <c r="L966" t="s">
        <v>20</v>
      </c>
      <c r="M966" s="9">
        <v>69101</v>
      </c>
      <c r="N966" t="s">
        <v>3477</v>
      </c>
      <c r="O966">
        <v>18</v>
      </c>
      <c r="P966" t="s">
        <v>3477</v>
      </c>
      <c r="Q966">
        <v>18</v>
      </c>
      <c r="R966" s="13">
        <v>1850</v>
      </c>
      <c r="S966" s="13">
        <v>1387.5</v>
      </c>
    </row>
    <row r="967" spans="1:19">
      <c r="A967" s="9" t="s">
        <v>24</v>
      </c>
      <c r="B967" s="9" t="s">
        <v>26</v>
      </c>
      <c r="C967" s="9" t="s">
        <v>127</v>
      </c>
      <c r="D967" t="s">
        <v>204</v>
      </c>
      <c r="F967" s="12" t="s">
        <v>2469</v>
      </c>
      <c r="G967" s="10" t="s">
        <v>809</v>
      </c>
      <c r="H967" s="10" t="s">
        <v>809</v>
      </c>
      <c r="K967" t="s">
        <v>19</v>
      </c>
      <c r="L967" t="s">
        <v>20</v>
      </c>
      <c r="M967" s="9">
        <v>69101</v>
      </c>
      <c r="N967" t="s">
        <v>3477</v>
      </c>
      <c r="O967">
        <v>18</v>
      </c>
      <c r="P967" t="s">
        <v>3477</v>
      </c>
      <c r="Q967">
        <v>18</v>
      </c>
      <c r="R967" s="13">
        <v>1700</v>
      </c>
      <c r="S967" s="13">
        <v>1275</v>
      </c>
    </row>
    <row r="968" spans="1:19">
      <c r="A968" s="9" t="s">
        <v>23</v>
      </c>
      <c r="B968" s="9" t="s">
        <v>26</v>
      </c>
      <c r="C968" s="9" t="s">
        <v>156</v>
      </c>
      <c r="D968" t="s">
        <v>204</v>
      </c>
      <c r="F968" s="12" t="s">
        <v>2470</v>
      </c>
      <c r="G968" s="10" t="s">
        <v>810</v>
      </c>
      <c r="H968" s="10" t="s">
        <v>810</v>
      </c>
      <c r="K968" t="s">
        <v>19</v>
      </c>
      <c r="L968" t="s">
        <v>20</v>
      </c>
      <c r="M968" s="9">
        <v>69101</v>
      </c>
      <c r="N968" t="s">
        <v>3477</v>
      </c>
      <c r="O968">
        <v>18</v>
      </c>
      <c r="P968" t="s">
        <v>3477</v>
      </c>
      <c r="Q968">
        <v>18</v>
      </c>
      <c r="R968" s="13">
        <v>450000</v>
      </c>
      <c r="S968" s="13">
        <v>270000</v>
      </c>
    </row>
    <row r="969" spans="1:19">
      <c r="A969" s="9" t="s">
        <v>22</v>
      </c>
      <c r="B969" s="9" t="s">
        <v>27</v>
      </c>
      <c r="C969" s="9" t="s">
        <v>65</v>
      </c>
      <c r="D969" t="s">
        <v>204</v>
      </c>
      <c r="F969" s="12" t="s">
        <v>2471</v>
      </c>
      <c r="G969" s="10" t="s">
        <v>811</v>
      </c>
      <c r="H969" s="10" t="s">
        <v>811</v>
      </c>
      <c r="K969" t="s">
        <v>19</v>
      </c>
      <c r="L969" t="s">
        <v>20</v>
      </c>
      <c r="M969" s="9">
        <v>39229</v>
      </c>
      <c r="N969" t="s">
        <v>3477</v>
      </c>
      <c r="O969">
        <v>18</v>
      </c>
      <c r="P969" t="s">
        <v>3477</v>
      </c>
      <c r="Q969">
        <v>18</v>
      </c>
      <c r="R969" s="13">
        <v>3600</v>
      </c>
      <c r="S969" s="13">
        <v>2520</v>
      </c>
    </row>
    <row r="970" spans="1:19">
      <c r="A970" s="9" t="s">
        <v>22</v>
      </c>
      <c r="B970" s="9" t="s">
        <v>27</v>
      </c>
      <c r="C970" s="9" t="s">
        <v>65</v>
      </c>
      <c r="D970" t="s">
        <v>204</v>
      </c>
      <c r="F970" s="12" t="s">
        <v>2472</v>
      </c>
      <c r="G970" s="10" t="s">
        <v>811</v>
      </c>
      <c r="H970" s="10" t="s">
        <v>811</v>
      </c>
      <c r="K970" t="s">
        <v>19</v>
      </c>
      <c r="L970" t="s">
        <v>20</v>
      </c>
      <c r="M970" s="9">
        <v>39229</v>
      </c>
      <c r="N970" t="s">
        <v>3477</v>
      </c>
      <c r="O970">
        <v>18</v>
      </c>
      <c r="P970" t="s">
        <v>3477</v>
      </c>
      <c r="Q970">
        <v>18</v>
      </c>
      <c r="R970" s="13">
        <v>14500</v>
      </c>
      <c r="S970" s="13">
        <v>10150</v>
      </c>
    </row>
    <row r="971" spans="1:19">
      <c r="A971" s="9" t="s">
        <v>22</v>
      </c>
      <c r="B971" s="9" t="s">
        <v>27</v>
      </c>
      <c r="C971" s="9" t="s">
        <v>65</v>
      </c>
      <c r="D971" t="s">
        <v>204</v>
      </c>
      <c r="F971" s="12" t="s">
        <v>2473</v>
      </c>
      <c r="G971" s="10" t="s">
        <v>811</v>
      </c>
      <c r="H971" s="10" t="s">
        <v>811</v>
      </c>
      <c r="K971" t="s">
        <v>19</v>
      </c>
      <c r="L971" t="s">
        <v>20</v>
      </c>
      <c r="M971" s="9">
        <v>39229</v>
      </c>
      <c r="N971" t="s">
        <v>3477</v>
      </c>
      <c r="O971">
        <v>18</v>
      </c>
      <c r="P971" t="s">
        <v>3477</v>
      </c>
      <c r="Q971">
        <v>18</v>
      </c>
      <c r="R971" s="13">
        <v>16200</v>
      </c>
      <c r="S971" s="13">
        <v>11340</v>
      </c>
    </row>
    <row r="972" spans="1:19">
      <c r="A972" s="9" t="s">
        <v>22</v>
      </c>
      <c r="B972" s="9" t="s">
        <v>27</v>
      </c>
      <c r="C972" s="9" t="s">
        <v>65</v>
      </c>
      <c r="D972" t="s">
        <v>204</v>
      </c>
      <c r="F972" s="12" t="s">
        <v>2474</v>
      </c>
      <c r="G972" s="10" t="s">
        <v>811</v>
      </c>
      <c r="H972" s="10" t="s">
        <v>811</v>
      </c>
      <c r="K972" t="s">
        <v>19</v>
      </c>
      <c r="L972" t="s">
        <v>20</v>
      </c>
      <c r="M972" s="9">
        <v>39229</v>
      </c>
      <c r="N972" t="s">
        <v>3477</v>
      </c>
      <c r="O972">
        <v>18</v>
      </c>
      <c r="P972" t="s">
        <v>3477</v>
      </c>
      <c r="Q972">
        <v>18</v>
      </c>
      <c r="R972" s="13">
        <v>17400</v>
      </c>
      <c r="S972" s="13">
        <v>12180</v>
      </c>
    </row>
    <row r="973" spans="1:19">
      <c r="A973" s="9" t="s">
        <v>22</v>
      </c>
      <c r="B973" s="9" t="s">
        <v>27</v>
      </c>
      <c r="C973" s="9" t="s">
        <v>65</v>
      </c>
      <c r="D973" t="s">
        <v>204</v>
      </c>
      <c r="F973" s="12" t="s">
        <v>2475</v>
      </c>
      <c r="G973" s="10" t="s">
        <v>811</v>
      </c>
      <c r="H973" s="10" t="s">
        <v>811</v>
      </c>
      <c r="K973" t="s">
        <v>19</v>
      </c>
      <c r="L973" t="s">
        <v>20</v>
      </c>
      <c r="M973" s="9">
        <v>39229</v>
      </c>
      <c r="N973" t="s">
        <v>3477</v>
      </c>
      <c r="O973">
        <v>18</v>
      </c>
      <c r="P973" t="s">
        <v>3477</v>
      </c>
      <c r="Q973">
        <v>18</v>
      </c>
      <c r="R973" s="13">
        <v>17400</v>
      </c>
      <c r="S973" s="13">
        <v>12180</v>
      </c>
    </row>
    <row r="974" spans="1:19">
      <c r="A974" s="9" t="s">
        <v>22</v>
      </c>
      <c r="B974" s="9" t="s">
        <v>27</v>
      </c>
      <c r="C974" s="9" t="s">
        <v>65</v>
      </c>
      <c r="D974" t="s">
        <v>204</v>
      </c>
      <c r="F974" s="12" t="s">
        <v>2476</v>
      </c>
      <c r="G974" s="10" t="s">
        <v>811</v>
      </c>
      <c r="H974" s="10" t="s">
        <v>811</v>
      </c>
      <c r="K974" t="s">
        <v>19</v>
      </c>
      <c r="L974" t="s">
        <v>20</v>
      </c>
      <c r="M974" s="9">
        <v>39229</v>
      </c>
      <c r="N974" t="s">
        <v>3477</v>
      </c>
      <c r="O974">
        <v>18</v>
      </c>
      <c r="P974" t="s">
        <v>3477</v>
      </c>
      <c r="Q974">
        <v>18</v>
      </c>
      <c r="R974" s="13">
        <v>11600</v>
      </c>
      <c r="S974" s="13">
        <v>8119.9999999999991</v>
      </c>
    </row>
    <row r="975" spans="1:19">
      <c r="A975" s="9" t="s">
        <v>22</v>
      </c>
      <c r="B975" s="9" t="s">
        <v>27</v>
      </c>
      <c r="C975" s="9" t="s">
        <v>65</v>
      </c>
      <c r="D975" t="s">
        <v>204</v>
      </c>
      <c r="F975" s="12" t="s">
        <v>2477</v>
      </c>
      <c r="G975" s="10" t="s">
        <v>812</v>
      </c>
      <c r="H975" s="10" t="s">
        <v>812</v>
      </c>
      <c r="K975" t="s">
        <v>19</v>
      </c>
      <c r="L975" t="s">
        <v>20</v>
      </c>
      <c r="M975" s="9">
        <v>39229</v>
      </c>
      <c r="N975" t="s">
        <v>3477</v>
      </c>
      <c r="O975">
        <v>18</v>
      </c>
      <c r="P975" t="s">
        <v>3477</v>
      </c>
      <c r="Q975">
        <v>18</v>
      </c>
      <c r="R975" s="13">
        <v>16200</v>
      </c>
      <c r="S975" s="13">
        <v>11340</v>
      </c>
    </row>
    <row r="976" spans="1:19">
      <c r="A976" s="9" t="s">
        <v>22</v>
      </c>
      <c r="B976" s="9" t="s">
        <v>27</v>
      </c>
      <c r="C976" s="9" t="s">
        <v>65</v>
      </c>
      <c r="D976" t="s">
        <v>204</v>
      </c>
      <c r="F976" s="12" t="s">
        <v>2478</v>
      </c>
      <c r="G976" s="10" t="s">
        <v>813</v>
      </c>
      <c r="H976" s="10" t="s">
        <v>813</v>
      </c>
      <c r="K976" t="s">
        <v>19</v>
      </c>
      <c r="L976" t="s">
        <v>20</v>
      </c>
      <c r="M976" s="9">
        <v>39229</v>
      </c>
      <c r="N976" t="s">
        <v>3477</v>
      </c>
      <c r="O976">
        <v>18</v>
      </c>
      <c r="P976" t="s">
        <v>3477</v>
      </c>
      <c r="Q976">
        <v>18</v>
      </c>
      <c r="R976" s="13">
        <v>11900</v>
      </c>
      <c r="S976" s="13">
        <v>8330</v>
      </c>
    </row>
    <row r="977" spans="1:19">
      <c r="A977" s="9" t="s">
        <v>22</v>
      </c>
      <c r="B977" s="9" t="s">
        <v>27</v>
      </c>
      <c r="C977" s="9" t="s">
        <v>65</v>
      </c>
      <c r="D977" t="s">
        <v>204</v>
      </c>
      <c r="F977" s="12" t="s">
        <v>2479</v>
      </c>
      <c r="G977" s="10" t="s">
        <v>812</v>
      </c>
      <c r="H977" s="10" t="s">
        <v>812</v>
      </c>
      <c r="K977" t="s">
        <v>19</v>
      </c>
      <c r="L977" t="s">
        <v>20</v>
      </c>
      <c r="M977" s="9">
        <v>39229</v>
      </c>
      <c r="N977" t="s">
        <v>3477</v>
      </c>
      <c r="O977">
        <v>18</v>
      </c>
      <c r="P977" t="s">
        <v>3477</v>
      </c>
      <c r="Q977">
        <v>18</v>
      </c>
      <c r="R977" s="13">
        <v>13300</v>
      </c>
      <c r="S977" s="13">
        <v>9310</v>
      </c>
    </row>
    <row r="978" spans="1:19">
      <c r="A978" s="9" t="s">
        <v>22</v>
      </c>
      <c r="B978" s="9" t="s">
        <v>27</v>
      </c>
      <c r="C978" s="9" t="s">
        <v>65</v>
      </c>
      <c r="D978" t="s">
        <v>204</v>
      </c>
      <c r="F978" s="12" t="s">
        <v>2480</v>
      </c>
      <c r="G978" s="10" t="s">
        <v>812</v>
      </c>
      <c r="H978" s="10" t="s">
        <v>812</v>
      </c>
      <c r="K978" t="s">
        <v>19</v>
      </c>
      <c r="L978" t="s">
        <v>20</v>
      </c>
      <c r="M978" s="9">
        <v>39229</v>
      </c>
      <c r="N978" t="s">
        <v>3477</v>
      </c>
      <c r="O978">
        <v>18</v>
      </c>
      <c r="P978" t="s">
        <v>3477</v>
      </c>
      <c r="Q978">
        <v>18</v>
      </c>
      <c r="R978" s="13">
        <v>14300</v>
      </c>
      <c r="S978" s="13">
        <v>10010</v>
      </c>
    </row>
    <row r="979" spans="1:19">
      <c r="A979" s="9" t="s">
        <v>22</v>
      </c>
      <c r="B979" s="9" t="s">
        <v>27</v>
      </c>
      <c r="C979" s="9" t="s">
        <v>65</v>
      </c>
      <c r="D979" t="s">
        <v>204</v>
      </c>
      <c r="F979" s="12" t="s">
        <v>2481</v>
      </c>
      <c r="G979" s="10" t="s">
        <v>812</v>
      </c>
      <c r="H979" s="10" t="s">
        <v>812</v>
      </c>
      <c r="K979" t="s">
        <v>19</v>
      </c>
      <c r="L979" t="s">
        <v>20</v>
      </c>
      <c r="M979" s="9">
        <v>39229</v>
      </c>
      <c r="N979" t="s">
        <v>3477</v>
      </c>
      <c r="O979">
        <v>18</v>
      </c>
      <c r="P979" t="s">
        <v>3477</v>
      </c>
      <c r="Q979">
        <v>18</v>
      </c>
      <c r="R979" s="13">
        <v>14300</v>
      </c>
      <c r="S979" s="13">
        <v>10010</v>
      </c>
    </row>
    <row r="980" spans="1:19">
      <c r="A980" s="9" t="s">
        <v>22</v>
      </c>
      <c r="B980" s="9" t="s">
        <v>27</v>
      </c>
      <c r="C980" s="9" t="s">
        <v>65</v>
      </c>
      <c r="D980" t="s">
        <v>204</v>
      </c>
      <c r="F980" s="12" t="s">
        <v>2482</v>
      </c>
      <c r="G980" s="10" t="s">
        <v>812</v>
      </c>
      <c r="H980" s="10" t="s">
        <v>812</v>
      </c>
      <c r="K980" t="s">
        <v>19</v>
      </c>
      <c r="L980" t="s">
        <v>20</v>
      </c>
      <c r="M980" s="9">
        <v>39229</v>
      </c>
      <c r="N980" t="s">
        <v>3477</v>
      </c>
      <c r="O980">
        <v>18</v>
      </c>
      <c r="P980" t="s">
        <v>3477</v>
      </c>
      <c r="Q980">
        <v>18</v>
      </c>
      <c r="R980" s="13">
        <v>9500</v>
      </c>
      <c r="S980" s="13">
        <v>6650</v>
      </c>
    </row>
    <row r="981" spans="1:19">
      <c r="A981" s="9" t="s">
        <v>22</v>
      </c>
      <c r="B981" s="9" t="s">
        <v>27</v>
      </c>
      <c r="C981" s="9" t="s">
        <v>65</v>
      </c>
      <c r="D981" t="s">
        <v>204</v>
      </c>
      <c r="F981" s="12" t="s">
        <v>2483</v>
      </c>
      <c r="G981" s="10" t="s">
        <v>814</v>
      </c>
      <c r="H981" s="10" t="s">
        <v>814</v>
      </c>
      <c r="K981" t="s">
        <v>19</v>
      </c>
      <c r="L981" t="s">
        <v>20</v>
      </c>
      <c r="M981" s="9">
        <v>39229</v>
      </c>
      <c r="N981" t="s">
        <v>3477</v>
      </c>
      <c r="O981">
        <v>18</v>
      </c>
      <c r="P981" t="s">
        <v>3477</v>
      </c>
      <c r="Q981">
        <v>18</v>
      </c>
      <c r="R981" s="13">
        <v>13300</v>
      </c>
      <c r="S981" s="13">
        <v>9310</v>
      </c>
    </row>
    <row r="982" spans="1:19">
      <c r="A982" s="9" t="s">
        <v>23</v>
      </c>
      <c r="B982" s="9" t="s">
        <v>26</v>
      </c>
      <c r="C982" s="9" t="s">
        <v>80</v>
      </c>
      <c r="D982" t="s">
        <v>204</v>
      </c>
      <c r="F982" s="12" t="s">
        <v>2484</v>
      </c>
      <c r="G982" s="10" t="s">
        <v>815</v>
      </c>
      <c r="H982" s="10" t="s">
        <v>815</v>
      </c>
      <c r="K982" t="s">
        <v>19</v>
      </c>
      <c r="L982" t="s">
        <v>20</v>
      </c>
      <c r="M982" s="9">
        <v>69101</v>
      </c>
      <c r="N982" t="s">
        <v>3477</v>
      </c>
      <c r="O982">
        <v>18</v>
      </c>
      <c r="P982" t="s">
        <v>3477</v>
      </c>
      <c r="Q982">
        <v>18</v>
      </c>
      <c r="R982" s="13">
        <v>90000</v>
      </c>
      <c r="S982" s="13">
        <v>54000</v>
      </c>
    </row>
    <row r="983" spans="1:19">
      <c r="A983" s="9" t="s">
        <v>23</v>
      </c>
      <c r="B983" s="9" t="s">
        <v>26</v>
      </c>
      <c r="C983" s="9" t="s">
        <v>81</v>
      </c>
      <c r="D983" t="s">
        <v>204</v>
      </c>
      <c r="F983" s="12" t="s">
        <v>2485</v>
      </c>
      <c r="G983" s="10" t="s">
        <v>816</v>
      </c>
      <c r="H983" s="10" t="s">
        <v>816</v>
      </c>
      <c r="K983" t="s">
        <v>19</v>
      </c>
      <c r="L983" t="s">
        <v>20</v>
      </c>
      <c r="M983" s="9">
        <v>69101</v>
      </c>
      <c r="N983" t="s">
        <v>3477</v>
      </c>
      <c r="O983">
        <v>18</v>
      </c>
      <c r="P983" t="s">
        <v>3477</v>
      </c>
      <c r="Q983">
        <v>18</v>
      </c>
      <c r="R983" s="13">
        <v>78000</v>
      </c>
      <c r="S983" s="13">
        <v>46800</v>
      </c>
    </row>
    <row r="984" spans="1:19">
      <c r="A984" s="9" t="s">
        <v>22</v>
      </c>
      <c r="B984" s="9" t="s">
        <v>38</v>
      </c>
      <c r="C984" s="9" t="s">
        <v>81</v>
      </c>
      <c r="D984" t="s">
        <v>204</v>
      </c>
      <c r="F984" s="12" t="s">
        <v>2486</v>
      </c>
      <c r="G984" s="10" t="s">
        <v>817</v>
      </c>
      <c r="H984" s="10" t="s">
        <v>817</v>
      </c>
      <c r="K984" t="s">
        <v>19</v>
      </c>
      <c r="L984" t="s">
        <v>20</v>
      </c>
      <c r="M984" s="9">
        <v>73249</v>
      </c>
      <c r="N984" t="s">
        <v>3477</v>
      </c>
      <c r="O984">
        <v>18</v>
      </c>
      <c r="P984" t="s">
        <v>3477</v>
      </c>
      <c r="Q984">
        <v>18</v>
      </c>
      <c r="R984" s="13">
        <v>35340</v>
      </c>
      <c r="S984" s="13">
        <v>24738</v>
      </c>
    </row>
    <row r="985" spans="1:19">
      <c r="A985" s="9" t="s">
        <v>22</v>
      </c>
      <c r="B985" s="9" t="s">
        <v>26</v>
      </c>
      <c r="C985" s="9" t="s">
        <v>43</v>
      </c>
      <c r="D985" t="s">
        <v>204</v>
      </c>
      <c r="F985" s="12" t="s">
        <v>2487</v>
      </c>
      <c r="G985" s="10" t="s">
        <v>818</v>
      </c>
      <c r="H985" s="10" t="s">
        <v>818</v>
      </c>
      <c r="K985" t="s">
        <v>19</v>
      </c>
      <c r="L985" t="s">
        <v>20</v>
      </c>
      <c r="M985" s="9">
        <v>69101</v>
      </c>
      <c r="N985" t="s">
        <v>3477</v>
      </c>
      <c r="O985">
        <v>18</v>
      </c>
      <c r="P985" t="s">
        <v>3477</v>
      </c>
      <c r="Q985">
        <v>18</v>
      </c>
      <c r="R985" s="13">
        <v>19690</v>
      </c>
      <c r="S985" s="13">
        <v>13783</v>
      </c>
    </row>
    <row r="986" spans="1:19">
      <c r="A986" s="9" t="s">
        <v>22</v>
      </c>
      <c r="B986" s="9" t="s">
        <v>26</v>
      </c>
      <c r="C986" s="9" t="s">
        <v>103</v>
      </c>
      <c r="D986" t="s">
        <v>204</v>
      </c>
      <c r="F986" s="12" t="s">
        <v>2488</v>
      </c>
      <c r="G986" s="10" t="s">
        <v>818</v>
      </c>
      <c r="H986" s="10" t="s">
        <v>818</v>
      </c>
      <c r="K986" t="s">
        <v>19</v>
      </c>
      <c r="L986" t="s">
        <v>20</v>
      </c>
      <c r="M986" s="9">
        <v>69101</v>
      </c>
      <c r="N986" t="s">
        <v>3477</v>
      </c>
      <c r="O986">
        <v>18</v>
      </c>
      <c r="P986" t="s">
        <v>3477</v>
      </c>
      <c r="Q986">
        <v>18</v>
      </c>
      <c r="R986" s="13">
        <v>18000</v>
      </c>
      <c r="S986" s="13">
        <v>12600</v>
      </c>
    </row>
    <row r="987" spans="1:19">
      <c r="A987" s="9" t="s">
        <v>22</v>
      </c>
      <c r="B987" s="9" t="s">
        <v>26</v>
      </c>
      <c r="C987" s="9" t="s">
        <v>103</v>
      </c>
      <c r="D987" t="s">
        <v>204</v>
      </c>
      <c r="F987" s="12" t="s">
        <v>2489</v>
      </c>
      <c r="G987" s="10" t="s">
        <v>818</v>
      </c>
      <c r="H987" s="10" t="s">
        <v>818</v>
      </c>
      <c r="K987" t="s">
        <v>19</v>
      </c>
      <c r="L987" t="s">
        <v>20</v>
      </c>
      <c r="M987" s="9">
        <v>69101</v>
      </c>
      <c r="N987" t="s">
        <v>3477</v>
      </c>
      <c r="O987">
        <v>18</v>
      </c>
      <c r="P987" t="s">
        <v>3477</v>
      </c>
      <c r="Q987">
        <v>18</v>
      </c>
      <c r="R987" s="13">
        <v>21390</v>
      </c>
      <c r="S987" s="13">
        <v>14972.999999999998</v>
      </c>
    </row>
    <row r="988" spans="1:19">
      <c r="A988" s="9" t="s">
        <v>22</v>
      </c>
      <c r="B988" s="9" t="s">
        <v>26</v>
      </c>
      <c r="C988" s="9" t="s">
        <v>103</v>
      </c>
      <c r="D988" t="s">
        <v>204</v>
      </c>
      <c r="F988" s="12" t="s">
        <v>2490</v>
      </c>
      <c r="G988" s="10" t="s">
        <v>819</v>
      </c>
      <c r="H988" s="10" t="s">
        <v>819</v>
      </c>
      <c r="K988" t="s">
        <v>19</v>
      </c>
      <c r="L988" t="s">
        <v>20</v>
      </c>
      <c r="M988" s="9">
        <v>69101</v>
      </c>
      <c r="N988" t="s">
        <v>3477</v>
      </c>
      <c r="O988">
        <v>18</v>
      </c>
      <c r="P988" t="s">
        <v>3477</v>
      </c>
      <c r="Q988">
        <v>18</v>
      </c>
      <c r="R988" s="13">
        <v>21390</v>
      </c>
      <c r="S988" s="13">
        <v>14972.999999999998</v>
      </c>
    </row>
    <row r="989" spans="1:19">
      <c r="A989" s="9" t="s">
        <v>22</v>
      </c>
      <c r="B989" s="9" t="s">
        <v>26</v>
      </c>
      <c r="C989" s="9" t="s">
        <v>103</v>
      </c>
      <c r="D989" t="s">
        <v>204</v>
      </c>
      <c r="F989" s="12" t="s">
        <v>2491</v>
      </c>
      <c r="G989" s="10" t="s">
        <v>818</v>
      </c>
      <c r="H989" s="10" t="s">
        <v>818</v>
      </c>
      <c r="K989" t="s">
        <v>19</v>
      </c>
      <c r="L989" t="s">
        <v>20</v>
      </c>
      <c r="M989" s="9">
        <v>69101</v>
      </c>
      <c r="N989" t="s">
        <v>3477</v>
      </c>
      <c r="O989">
        <v>18</v>
      </c>
      <c r="P989" t="s">
        <v>3477</v>
      </c>
      <c r="Q989">
        <v>18</v>
      </c>
      <c r="R989" s="13">
        <v>18000</v>
      </c>
      <c r="S989" s="13">
        <v>12600</v>
      </c>
    </row>
    <row r="990" spans="1:19">
      <c r="A990" s="9" t="s">
        <v>22</v>
      </c>
      <c r="B990" s="9" t="s">
        <v>26</v>
      </c>
      <c r="C990" s="9" t="s">
        <v>103</v>
      </c>
      <c r="D990" t="s">
        <v>204</v>
      </c>
      <c r="F990" s="12" t="s">
        <v>2492</v>
      </c>
      <c r="G990" s="10" t="s">
        <v>818</v>
      </c>
      <c r="H990" s="10" t="s">
        <v>818</v>
      </c>
      <c r="K990" t="s">
        <v>19</v>
      </c>
      <c r="L990" t="s">
        <v>20</v>
      </c>
      <c r="M990" s="9">
        <v>69101</v>
      </c>
      <c r="N990" t="s">
        <v>3477</v>
      </c>
      <c r="O990">
        <v>18</v>
      </c>
      <c r="P990" t="s">
        <v>3477</v>
      </c>
      <c r="Q990">
        <v>18</v>
      </c>
      <c r="R990" s="13">
        <v>21390</v>
      </c>
      <c r="S990" s="13">
        <v>14972.999999999998</v>
      </c>
    </row>
    <row r="991" spans="1:19">
      <c r="A991" s="9" t="s">
        <v>22</v>
      </c>
      <c r="B991" s="9" t="s">
        <v>26</v>
      </c>
      <c r="C991" s="9" t="s">
        <v>103</v>
      </c>
      <c r="D991" t="s">
        <v>204</v>
      </c>
      <c r="F991" s="12" t="s">
        <v>2493</v>
      </c>
      <c r="G991" s="10" t="s">
        <v>820</v>
      </c>
      <c r="H991" s="10" t="s">
        <v>820</v>
      </c>
      <c r="K991" t="s">
        <v>19</v>
      </c>
      <c r="L991" t="s">
        <v>20</v>
      </c>
      <c r="M991" s="9">
        <v>69101</v>
      </c>
      <c r="N991" t="s">
        <v>3477</v>
      </c>
      <c r="O991">
        <v>18</v>
      </c>
      <c r="P991" t="s">
        <v>3477</v>
      </c>
      <c r="Q991">
        <v>18</v>
      </c>
      <c r="R991" s="13">
        <v>21500</v>
      </c>
      <c r="S991" s="13">
        <v>15049.999999999998</v>
      </c>
    </row>
    <row r="992" spans="1:19">
      <c r="A992" s="9" t="s">
        <v>22</v>
      </c>
      <c r="B992" s="9" t="s">
        <v>26</v>
      </c>
      <c r="C992" s="9" t="s">
        <v>76</v>
      </c>
      <c r="D992" t="s">
        <v>204</v>
      </c>
      <c r="F992" s="12" t="s">
        <v>2494</v>
      </c>
      <c r="G992" s="10" t="s">
        <v>820</v>
      </c>
      <c r="H992" s="10" t="s">
        <v>820</v>
      </c>
      <c r="K992" t="s">
        <v>19</v>
      </c>
      <c r="L992" t="s">
        <v>20</v>
      </c>
      <c r="M992" s="9">
        <v>69101</v>
      </c>
      <c r="N992" t="s">
        <v>3477</v>
      </c>
      <c r="O992">
        <v>18</v>
      </c>
      <c r="P992" t="s">
        <v>3477</v>
      </c>
      <c r="Q992">
        <v>18</v>
      </c>
      <c r="R992" s="13">
        <v>8000</v>
      </c>
      <c r="S992" s="13">
        <v>5600</v>
      </c>
    </row>
    <row r="993" spans="1:19">
      <c r="A993" s="9" t="s">
        <v>22</v>
      </c>
      <c r="B993" s="9" t="s">
        <v>26</v>
      </c>
      <c r="C993" s="9" t="s">
        <v>76</v>
      </c>
      <c r="D993" t="s">
        <v>204</v>
      </c>
      <c r="F993" s="12" t="s">
        <v>2495</v>
      </c>
      <c r="G993" s="10" t="s">
        <v>820</v>
      </c>
      <c r="H993" s="10" t="s">
        <v>820</v>
      </c>
      <c r="K993" t="s">
        <v>19</v>
      </c>
      <c r="L993" t="s">
        <v>20</v>
      </c>
      <c r="M993" s="9">
        <v>39222</v>
      </c>
      <c r="N993" t="s">
        <v>3477</v>
      </c>
      <c r="O993">
        <v>18</v>
      </c>
      <c r="P993" t="s">
        <v>3477</v>
      </c>
      <c r="Q993">
        <v>18</v>
      </c>
      <c r="R993" s="13">
        <v>8510</v>
      </c>
      <c r="S993" s="13">
        <v>5957</v>
      </c>
    </row>
    <row r="994" spans="1:19">
      <c r="A994" s="9" t="s">
        <v>22</v>
      </c>
      <c r="B994" s="9" t="s">
        <v>26</v>
      </c>
      <c r="C994" s="9" t="s">
        <v>76</v>
      </c>
      <c r="D994" t="s">
        <v>204</v>
      </c>
      <c r="F994" s="12" t="s">
        <v>2496</v>
      </c>
      <c r="G994" s="10" t="s">
        <v>820</v>
      </c>
      <c r="H994" s="10" t="s">
        <v>820</v>
      </c>
      <c r="K994" t="s">
        <v>19</v>
      </c>
      <c r="L994" t="s">
        <v>20</v>
      </c>
      <c r="M994" s="9">
        <v>39222</v>
      </c>
      <c r="N994" t="s">
        <v>3477</v>
      </c>
      <c r="O994">
        <v>18</v>
      </c>
      <c r="P994" t="s">
        <v>3477</v>
      </c>
      <c r="Q994">
        <v>18</v>
      </c>
      <c r="R994" s="13">
        <v>8510</v>
      </c>
      <c r="S994" s="13">
        <v>5957</v>
      </c>
    </row>
    <row r="995" spans="1:19">
      <c r="A995" s="9" t="s">
        <v>22</v>
      </c>
      <c r="B995" s="9" t="s">
        <v>26</v>
      </c>
      <c r="C995" s="9" t="s">
        <v>76</v>
      </c>
      <c r="D995" t="s">
        <v>204</v>
      </c>
      <c r="F995" s="12" t="s">
        <v>2497</v>
      </c>
      <c r="G995" s="10" t="s">
        <v>821</v>
      </c>
      <c r="H995" s="10" t="s">
        <v>821</v>
      </c>
      <c r="K995" t="s">
        <v>19</v>
      </c>
      <c r="L995" t="s">
        <v>20</v>
      </c>
      <c r="M995" s="9">
        <v>69101</v>
      </c>
      <c r="N995" t="s">
        <v>3477</v>
      </c>
      <c r="O995">
        <v>18</v>
      </c>
      <c r="P995" t="s">
        <v>3477</v>
      </c>
      <c r="Q995">
        <v>18</v>
      </c>
      <c r="R995" s="13">
        <v>10000</v>
      </c>
      <c r="S995" s="13">
        <v>7000</v>
      </c>
    </row>
    <row r="996" spans="1:19">
      <c r="A996" s="9" t="s">
        <v>22</v>
      </c>
      <c r="B996" s="9" t="s">
        <v>26</v>
      </c>
      <c r="C996" s="9" t="s">
        <v>150</v>
      </c>
      <c r="D996" t="s">
        <v>204</v>
      </c>
      <c r="F996" s="12" t="s">
        <v>2498</v>
      </c>
      <c r="G996" s="10" t="s">
        <v>822</v>
      </c>
      <c r="H996" s="10" t="s">
        <v>822</v>
      </c>
      <c r="K996" t="s">
        <v>19</v>
      </c>
      <c r="L996" t="s">
        <v>20</v>
      </c>
      <c r="M996" s="9">
        <v>69101</v>
      </c>
      <c r="N996" t="s">
        <v>3477</v>
      </c>
      <c r="O996">
        <v>18</v>
      </c>
      <c r="P996" t="s">
        <v>3477</v>
      </c>
      <c r="Q996">
        <v>18</v>
      </c>
      <c r="R996" s="13">
        <v>26000</v>
      </c>
      <c r="S996" s="13">
        <v>18200</v>
      </c>
    </row>
    <row r="997" spans="1:19">
      <c r="A997" s="9" t="s">
        <v>22</v>
      </c>
      <c r="B997" s="9" t="s">
        <v>26</v>
      </c>
      <c r="C997" s="9" t="s">
        <v>80</v>
      </c>
      <c r="D997" t="s">
        <v>204</v>
      </c>
      <c r="F997" s="12" t="s">
        <v>2499</v>
      </c>
      <c r="G997" s="10" t="s">
        <v>822</v>
      </c>
      <c r="H997" s="10" t="s">
        <v>822</v>
      </c>
      <c r="K997" t="s">
        <v>19</v>
      </c>
      <c r="L997" t="s">
        <v>20</v>
      </c>
      <c r="M997" s="9">
        <v>69101</v>
      </c>
      <c r="N997" t="s">
        <v>3477</v>
      </c>
      <c r="O997">
        <v>18</v>
      </c>
      <c r="P997" t="s">
        <v>3477</v>
      </c>
      <c r="Q997">
        <v>18</v>
      </c>
      <c r="R997" s="13">
        <v>13000</v>
      </c>
      <c r="S997" s="13">
        <v>9100</v>
      </c>
    </row>
    <row r="998" spans="1:19">
      <c r="A998" s="9" t="s">
        <v>22</v>
      </c>
      <c r="B998" s="9" t="s">
        <v>26</v>
      </c>
      <c r="C998" s="9" t="s">
        <v>80</v>
      </c>
      <c r="D998" t="s">
        <v>204</v>
      </c>
      <c r="F998" s="12" t="s">
        <v>2500</v>
      </c>
      <c r="G998" s="10" t="s">
        <v>822</v>
      </c>
      <c r="H998" s="10" t="s">
        <v>822</v>
      </c>
      <c r="K998" t="s">
        <v>19</v>
      </c>
      <c r="L998" t="s">
        <v>20</v>
      </c>
      <c r="M998" s="9">
        <v>69101</v>
      </c>
      <c r="N998" t="s">
        <v>3477</v>
      </c>
      <c r="O998">
        <v>18</v>
      </c>
      <c r="P998" t="s">
        <v>3477</v>
      </c>
      <c r="Q998">
        <v>18</v>
      </c>
      <c r="R998" s="13">
        <v>14950</v>
      </c>
      <c r="S998" s="13">
        <v>10465</v>
      </c>
    </row>
    <row r="999" spans="1:19">
      <c r="A999" s="9" t="s">
        <v>22</v>
      </c>
      <c r="B999" s="9" t="s">
        <v>26</v>
      </c>
      <c r="C999" s="9" t="s">
        <v>80</v>
      </c>
      <c r="D999" t="s">
        <v>204</v>
      </c>
      <c r="F999" s="12" t="s">
        <v>2501</v>
      </c>
      <c r="G999" s="10" t="s">
        <v>822</v>
      </c>
      <c r="H999" s="10" t="s">
        <v>822</v>
      </c>
      <c r="K999" t="s">
        <v>19</v>
      </c>
      <c r="L999" t="s">
        <v>20</v>
      </c>
      <c r="M999" s="9">
        <v>69101</v>
      </c>
      <c r="N999" t="s">
        <v>3477</v>
      </c>
      <c r="O999">
        <v>18</v>
      </c>
      <c r="P999" t="s">
        <v>3477</v>
      </c>
      <c r="Q999">
        <v>18</v>
      </c>
      <c r="R999" s="13">
        <v>14950</v>
      </c>
      <c r="S999" s="13">
        <v>10465</v>
      </c>
    </row>
    <row r="1000" spans="1:19">
      <c r="A1000" s="9" t="s">
        <v>22</v>
      </c>
      <c r="B1000" s="9" t="s">
        <v>26</v>
      </c>
      <c r="C1000" s="9" t="s">
        <v>80</v>
      </c>
      <c r="D1000" t="s">
        <v>204</v>
      </c>
      <c r="F1000" s="12" t="s">
        <v>2502</v>
      </c>
      <c r="G1000" s="10" t="s">
        <v>823</v>
      </c>
      <c r="H1000" s="10" t="s">
        <v>823</v>
      </c>
      <c r="K1000" t="s">
        <v>19</v>
      </c>
      <c r="L1000" t="s">
        <v>20</v>
      </c>
      <c r="M1000" s="9">
        <v>84819</v>
      </c>
      <c r="N1000" t="s">
        <v>3477</v>
      </c>
      <c r="O1000">
        <v>18</v>
      </c>
      <c r="P1000" t="s">
        <v>3477</v>
      </c>
      <c r="Q1000">
        <v>18</v>
      </c>
      <c r="R1000" s="13">
        <v>14950</v>
      </c>
      <c r="S1000" s="13">
        <v>10465</v>
      </c>
    </row>
    <row r="1001" spans="1:19">
      <c r="A1001" s="9" t="s">
        <v>22</v>
      </c>
      <c r="B1001" s="9" t="s">
        <v>26</v>
      </c>
      <c r="C1001" s="9" t="s">
        <v>80</v>
      </c>
      <c r="D1001" t="s">
        <v>204</v>
      </c>
      <c r="F1001" s="12" t="s">
        <v>2503</v>
      </c>
      <c r="G1001" s="10" t="s">
        <v>824</v>
      </c>
      <c r="H1001" s="10" t="s">
        <v>824</v>
      </c>
      <c r="K1001" t="s">
        <v>19</v>
      </c>
      <c r="L1001" t="s">
        <v>20</v>
      </c>
      <c r="M1001" s="9">
        <v>69101</v>
      </c>
      <c r="N1001" t="s">
        <v>3477</v>
      </c>
      <c r="O1001">
        <v>18</v>
      </c>
      <c r="P1001" t="s">
        <v>3477</v>
      </c>
      <c r="Q1001">
        <v>18</v>
      </c>
      <c r="R1001" s="13">
        <v>16500</v>
      </c>
      <c r="S1001" s="13">
        <v>11550</v>
      </c>
    </row>
    <row r="1002" spans="1:19">
      <c r="A1002" s="9" t="s">
        <v>22</v>
      </c>
      <c r="B1002" s="9" t="s">
        <v>26</v>
      </c>
      <c r="C1002" s="9" t="s">
        <v>80</v>
      </c>
      <c r="D1002" t="s">
        <v>204</v>
      </c>
      <c r="F1002" s="12" t="s">
        <v>2504</v>
      </c>
      <c r="G1002" s="10" t="s">
        <v>824</v>
      </c>
      <c r="H1002" s="10" t="s">
        <v>824</v>
      </c>
      <c r="K1002" t="s">
        <v>19</v>
      </c>
      <c r="L1002" t="s">
        <v>20</v>
      </c>
      <c r="M1002" s="9">
        <v>69101</v>
      </c>
      <c r="N1002" t="s">
        <v>3477</v>
      </c>
      <c r="O1002">
        <v>18</v>
      </c>
      <c r="P1002" t="s">
        <v>3477</v>
      </c>
      <c r="Q1002">
        <v>18</v>
      </c>
      <c r="R1002" s="13">
        <v>14000</v>
      </c>
      <c r="S1002" s="13">
        <v>9800</v>
      </c>
    </row>
    <row r="1003" spans="1:19">
      <c r="A1003" s="9" t="s">
        <v>22</v>
      </c>
      <c r="B1003" s="9" t="s">
        <v>26</v>
      </c>
      <c r="C1003" s="9" t="s">
        <v>80</v>
      </c>
      <c r="D1003" t="s">
        <v>204</v>
      </c>
      <c r="F1003" s="12" t="s">
        <v>2505</v>
      </c>
      <c r="G1003" s="10" t="s">
        <v>824</v>
      </c>
      <c r="H1003" s="10" t="s">
        <v>824</v>
      </c>
      <c r="K1003" t="s">
        <v>19</v>
      </c>
      <c r="L1003" t="s">
        <v>20</v>
      </c>
      <c r="M1003" s="9">
        <v>69101</v>
      </c>
      <c r="N1003" t="s">
        <v>3477</v>
      </c>
      <c r="O1003">
        <v>18</v>
      </c>
      <c r="P1003" t="s">
        <v>3477</v>
      </c>
      <c r="Q1003">
        <v>18</v>
      </c>
      <c r="R1003" s="13">
        <v>16100</v>
      </c>
      <c r="S1003" s="13">
        <v>11270</v>
      </c>
    </row>
    <row r="1004" spans="1:19">
      <c r="A1004" s="9" t="s">
        <v>22</v>
      </c>
      <c r="B1004" s="9" t="s">
        <v>26</v>
      </c>
      <c r="C1004" s="9" t="s">
        <v>80</v>
      </c>
      <c r="D1004" t="s">
        <v>204</v>
      </c>
      <c r="F1004" s="12" t="s">
        <v>2506</v>
      </c>
      <c r="G1004" s="10" t="s">
        <v>825</v>
      </c>
      <c r="H1004" s="10" t="s">
        <v>825</v>
      </c>
      <c r="K1004" t="s">
        <v>19</v>
      </c>
      <c r="L1004" t="s">
        <v>20</v>
      </c>
      <c r="M1004" s="9">
        <v>69101</v>
      </c>
      <c r="N1004" t="s">
        <v>3477</v>
      </c>
      <c r="O1004">
        <v>18</v>
      </c>
      <c r="P1004" t="s">
        <v>3477</v>
      </c>
      <c r="Q1004">
        <v>18</v>
      </c>
      <c r="R1004" s="13">
        <v>16100</v>
      </c>
      <c r="S1004" s="13">
        <v>11270</v>
      </c>
    </row>
    <row r="1005" spans="1:19">
      <c r="A1005" s="9" t="s">
        <v>22</v>
      </c>
      <c r="B1005" s="9" t="s">
        <v>26</v>
      </c>
      <c r="C1005" s="9" t="s">
        <v>80</v>
      </c>
      <c r="D1005" t="s">
        <v>204</v>
      </c>
      <c r="F1005" s="12" t="s">
        <v>2507</v>
      </c>
      <c r="G1005" s="10" t="s">
        <v>826</v>
      </c>
      <c r="H1005" s="10" t="s">
        <v>826</v>
      </c>
      <c r="K1005" t="s">
        <v>19</v>
      </c>
      <c r="L1005" t="s">
        <v>20</v>
      </c>
      <c r="M1005" s="9">
        <v>69101</v>
      </c>
      <c r="N1005" t="s">
        <v>3477</v>
      </c>
      <c r="O1005">
        <v>18</v>
      </c>
      <c r="P1005" t="s">
        <v>3477</v>
      </c>
      <c r="Q1005">
        <v>18</v>
      </c>
      <c r="R1005" s="13">
        <v>16100</v>
      </c>
      <c r="S1005" s="13">
        <v>11270</v>
      </c>
    </row>
    <row r="1006" spans="1:19">
      <c r="A1006" s="9" t="s">
        <v>22</v>
      </c>
      <c r="B1006" s="9" t="s">
        <v>26</v>
      </c>
      <c r="C1006" s="9" t="s">
        <v>80</v>
      </c>
      <c r="D1006" t="s">
        <v>204</v>
      </c>
      <c r="F1006" s="12" t="s">
        <v>2508</v>
      </c>
      <c r="G1006" s="10" t="s">
        <v>827</v>
      </c>
      <c r="H1006" s="10" t="s">
        <v>827</v>
      </c>
      <c r="K1006" t="s">
        <v>19</v>
      </c>
      <c r="L1006" t="s">
        <v>20</v>
      </c>
      <c r="M1006" s="9">
        <v>69101</v>
      </c>
      <c r="N1006" t="s">
        <v>3477</v>
      </c>
      <c r="O1006">
        <v>18</v>
      </c>
      <c r="P1006" t="s">
        <v>3477</v>
      </c>
      <c r="Q1006">
        <v>18</v>
      </c>
      <c r="R1006" s="13">
        <v>15600</v>
      </c>
      <c r="S1006" s="13">
        <v>10920</v>
      </c>
    </row>
    <row r="1007" spans="1:19">
      <c r="A1007" s="9" t="s">
        <v>23</v>
      </c>
      <c r="B1007" s="9" t="s">
        <v>26</v>
      </c>
      <c r="C1007" s="9" t="s">
        <v>43</v>
      </c>
      <c r="D1007" t="s">
        <v>204</v>
      </c>
      <c r="F1007" s="12" t="s">
        <v>2509</v>
      </c>
      <c r="G1007" s="10" t="s">
        <v>828</v>
      </c>
      <c r="H1007" s="10" t="s">
        <v>828</v>
      </c>
      <c r="K1007" t="s">
        <v>19</v>
      </c>
      <c r="L1007" t="s">
        <v>20</v>
      </c>
      <c r="M1007" s="9">
        <v>69101</v>
      </c>
      <c r="N1007" t="s">
        <v>3477</v>
      </c>
      <c r="O1007">
        <v>18</v>
      </c>
      <c r="P1007" t="s">
        <v>3477</v>
      </c>
      <c r="Q1007">
        <v>18</v>
      </c>
      <c r="R1007" s="13">
        <v>150000</v>
      </c>
      <c r="S1007" s="13">
        <v>90000</v>
      </c>
    </row>
    <row r="1008" spans="1:19">
      <c r="A1008" s="9" t="s">
        <v>22</v>
      </c>
      <c r="B1008" s="9" t="s">
        <v>26</v>
      </c>
      <c r="C1008" s="9" t="s">
        <v>81</v>
      </c>
      <c r="D1008" t="s">
        <v>204</v>
      </c>
      <c r="F1008" s="12" t="s">
        <v>2510</v>
      </c>
      <c r="G1008" s="10" t="s">
        <v>829</v>
      </c>
      <c r="H1008" s="10" t="s">
        <v>829</v>
      </c>
      <c r="K1008" t="s">
        <v>19</v>
      </c>
      <c r="L1008" t="s">
        <v>20</v>
      </c>
      <c r="M1008" s="9">
        <v>69101</v>
      </c>
      <c r="N1008" t="s">
        <v>3477</v>
      </c>
      <c r="O1008">
        <v>18</v>
      </c>
      <c r="P1008" t="s">
        <v>3477</v>
      </c>
      <c r="Q1008">
        <v>18</v>
      </c>
      <c r="R1008" s="13">
        <v>23240</v>
      </c>
      <c r="S1008" s="13">
        <v>16267.999999999998</v>
      </c>
    </row>
    <row r="1009" spans="1:19">
      <c r="A1009" s="9" t="s">
        <v>24</v>
      </c>
      <c r="B1009" s="9" t="s">
        <v>26</v>
      </c>
      <c r="C1009" s="9" t="s">
        <v>81</v>
      </c>
      <c r="D1009" t="s">
        <v>204</v>
      </c>
      <c r="F1009" s="12" t="s">
        <v>2511</v>
      </c>
      <c r="G1009" s="10" t="s">
        <v>830</v>
      </c>
      <c r="H1009" s="10" t="s">
        <v>830</v>
      </c>
      <c r="K1009" t="s">
        <v>19</v>
      </c>
      <c r="L1009" t="s">
        <v>20</v>
      </c>
      <c r="M1009" s="9">
        <v>69101</v>
      </c>
      <c r="N1009" t="s">
        <v>3477</v>
      </c>
      <c r="O1009">
        <v>18</v>
      </c>
      <c r="P1009" t="s">
        <v>3477</v>
      </c>
      <c r="Q1009">
        <v>18</v>
      </c>
      <c r="R1009" s="13">
        <v>8200</v>
      </c>
      <c r="S1009" s="13">
        <v>6150</v>
      </c>
    </row>
    <row r="1010" spans="1:19">
      <c r="A1010" s="9" t="s">
        <v>22</v>
      </c>
      <c r="B1010" s="9" t="s">
        <v>26</v>
      </c>
      <c r="C1010" s="9" t="s">
        <v>103</v>
      </c>
      <c r="D1010" t="s">
        <v>204</v>
      </c>
      <c r="F1010" s="12" t="s">
        <v>2512</v>
      </c>
      <c r="G1010" s="10" t="s">
        <v>830</v>
      </c>
      <c r="H1010" s="10" t="s">
        <v>830</v>
      </c>
      <c r="K1010" t="s">
        <v>19</v>
      </c>
      <c r="L1010" t="s">
        <v>20</v>
      </c>
      <c r="M1010" s="9">
        <v>69101</v>
      </c>
      <c r="N1010" t="s">
        <v>3477</v>
      </c>
      <c r="O1010">
        <v>18</v>
      </c>
      <c r="P1010" t="s">
        <v>3477</v>
      </c>
      <c r="Q1010">
        <v>18</v>
      </c>
      <c r="R1010" s="13">
        <v>15000</v>
      </c>
      <c r="S1010" s="13">
        <v>10500</v>
      </c>
    </row>
    <row r="1011" spans="1:19">
      <c r="A1011" s="9" t="s">
        <v>22</v>
      </c>
      <c r="B1011" s="9" t="s">
        <v>26</v>
      </c>
      <c r="C1011" s="9" t="s">
        <v>103</v>
      </c>
      <c r="D1011" t="s">
        <v>204</v>
      </c>
      <c r="F1011" s="12" t="s">
        <v>2513</v>
      </c>
      <c r="G1011" s="10" t="s">
        <v>831</v>
      </c>
      <c r="H1011" s="10" t="s">
        <v>831</v>
      </c>
      <c r="K1011" t="s">
        <v>19</v>
      </c>
      <c r="L1011" t="s">
        <v>20</v>
      </c>
      <c r="M1011" s="9">
        <v>69101</v>
      </c>
      <c r="N1011" t="s">
        <v>3477</v>
      </c>
      <c r="O1011">
        <v>18</v>
      </c>
      <c r="P1011" t="s">
        <v>3477</v>
      </c>
      <c r="Q1011">
        <v>18</v>
      </c>
      <c r="R1011" s="13">
        <v>17250</v>
      </c>
      <c r="S1011" s="13">
        <v>12075</v>
      </c>
    </row>
    <row r="1012" spans="1:19">
      <c r="A1012" s="9" t="s">
        <v>22</v>
      </c>
      <c r="B1012" s="9" t="s">
        <v>26</v>
      </c>
      <c r="C1012" s="9" t="s">
        <v>43</v>
      </c>
      <c r="D1012" t="s">
        <v>204</v>
      </c>
      <c r="F1012" s="12" t="s">
        <v>2514</v>
      </c>
      <c r="G1012" s="10" t="s">
        <v>831</v>
      </c>
      <c r="H1012" s="10" t="s">
        <v>831</v>
      </c>
      <c r="K1012" t="s">
        <v>19</v>
      </c>
      <c r="L1012" t="s">
        <v>20</v>
      </c>
      <c r="M1012" s="9">
        <v>69101</v>
      </c>
      <c r="N1012" t="s">
        <v>3477</v>
      </c>
      <c r="O1012">
        <v>18</v>
      </c>
      <c r="P1012" t="s">
        <v>3477</v>
      </c>
      <c r="Q1012">
        <v>18</v>
      </c>
      <c r="R1012" s="13">
        <v>20000</v>
      </c>
      <c r="S1012" s="13">
        <v>14000</v>
      </c>
    </row>
    <row r="1013" spans="1:19">
      <c r="A1013" s="9" t="s">
        <v>22</v>
      </c>
      <c r="B1013" s="9" t="s">
        <v>26</v>
      </c>
      <c r="C1013" s="9" t="s">
        <v>43</v>
      </c>
      <c r="D1013" t="s">
        <v>204</v>
      </c>
      <c r="F1013" s="12" t="s">
        <v>2515</v>
      </c>
      <c r="G1013" s="10" t="s">
        <v>832</v>
      </c>
      <c r="H1013" s="10" t="s">
        <v>832</v>
      </c>
      <c r="K1013" t="s">
        <v>19</v>
      </c>
      <c r="L1013" t="s">
        <v>20</v>
      </c>
      <c r="M1013" s="9">
        <v>69101</v>
      </c>
      <c r="N1013" t="s">
        <v>3477</v>
      </c>
      <c r="O1013">
        <v>18</v>
      </c>
      <c r="P1013" t="s">
        <v>3477</v>
      </c>
      <c r="Q1013">
        <v>18</v>
      </c>
      <c r="R1013" s="13">
        <v>23000</v>
      </c>
      <c r="S1013" s="13">
        <v>16099.999999999998</v>
      </c>
    </row>
    <row r="1014" spans="1:19">
      <c r="A1014" s="9" t="s">
        <v>22</v>
      </c>
      <c r="B1014" s="9" t="s">
        <v>26</v>
      </c>
      <c r="C1014" s="9" t="s">
        <v>76</v>
      </c>
      <c r="D1014" t="s">
        <v>204</v>
      </c>
      <c r="F1014" s="12" t="s">
        <v>2516</v>
      </c>
      <c r="G1014" s="10" t="s">
        <v>832</v>
      </c>
      <c r="H1014" s="10" t="s">
        <v>832</v>
      </c>
      <c r="K1014" t="s">
        <v>19</v>
      </c>
      <c r="L1014" t="s">
        <v>20</v>
      </c>
      <c r="M1014" s="9">
        <v>69101</v>
      </c>
      <c r="N1014" t="s">
        <v>3477</v>
      </c>
      <c r="O1014">
        <v>18</v>
      </c>
      <c r="P1014" t="s">
        <v>3477</v>
      </c>
      <c r="Q1014">
        <v>18</v>
      </c>
      <c r="R1014" s="13">
        <v>5000</v>
      </c>
      <c r="S1014" s="13">
        <v>3500</v>
      </c>
    </row>
    <row r="1015" spans="1:19">
      <c r="A1015" s="9" t="s">
        <v>22</v>
      </c>
      <c r="B1015" s="9" t="s">
        <v>26</v>
      </c>
      <c r="C1015" s="9" t="s">
        <v>76</v>
      </c>
      <c r="D1015" t="s">
        <v>204</v>
      </c>
      <c r="F1015" s="12" t="s">
        <v>2517</v>
      </c>
      <c r="G1015" s="10" t="s">
        <v>833</v>
      </c>
      <c r="H1015" s="10" t="s">
        <v>833</v>
      </c>
      <c r="K1015" t="s">
        <v>19</v>
      </c>
      <c r="L1015" t="s">
        <v>20</v>
      </c>
      <c r="M1015" s="9">
        <v>69101</v>
      </c>
      <c r="N1015" t="s">
        <v>3477</v>
      </c>
      <c r="O1015">
        <v>18</v>
      </c>
      <c r="P1015" t="s">
        <v>3477</v>
      </c>
      <c r="Q1015">
        <v>18</v>
      </c>
      <c r="R1015" s="13">
        <v>5750</v>
      </c>
      <c r="S1015" s="13">
        <v>4024.9999999999995</v>
      </c>
    </row>
    <row r="1016" spans="1:19">
      <c r="A1016" s="9" t="s">
        <v>23</v>
      </c>
      <c r="B1016" s="9" t="s">
        <v>25</v>
      </c>
      <c r="C1016" s="9" t="s">
        <v>157</v>
      </c>
      <c r="D1016" t="s">
        <v>204</v>
      </c>
      <c r="F1016" s="12" t="s">
        <v>2518</v>
      </c>
      <c r="G1016" s="10" t="s">
        <v>834</v>
      </c>
      <c r="H1016" s="10" t="s">
        <v>834</v>
      </c>
      <c r="K1016" t="s">
        <v>19</v>
      </c>
      <c r="L1016" t="s">
        <v>20</v>
      </c>
      <c r="M1016" s="9">
        <v>7323939</v>
      </c>
      <c r="N1016" t="s">
        <v>3477</v>
      </c>
      <c r="O1016">
        <v>18</v>
      </c>
      <c r="P1016" t="s">
        <v>3477</v>
      </c>
      <c r="Q1016">
        <v>18</v>
      </c>
      <c r="R1016" s="13">
        <v>5000</v>
      </c>
      <c r="S1016" s="13">
        <v>3000</v>
      </c>
    </row>
    <row r="1017" spans="1:19">
      <c r="A1017" s="9" t="s">
        <v>23</v>
      </c>
      <c r="B1017" s="9" t="s">
        <v>27</v>
      </c>
      <c r="C1017" s="9" t="s">
        <v>83</v>
      </c>
      <c r="D1017" t="s">
        <v>204</v>
      </c>
      <c r="F1017" s="12" t="s">
        <v>2519</v>
      </c>
      <c r="G1017" s="10" t="s">
        <v>835</v>
      </c>
      <c r="H1017" s="10" t="s">
        <v>835</v>
      </c>
      <c r="K1017" t="s">
        <v>19</v>
      </c>
      <c r="L1017" t="s">
        <v>20</v>
      </c>
      <c r="M1017" s="9">
        <v>8481802</v>
      </c>
      <c r="N1017" t="s">
        <v>3477</v>
      </c>
      <c r="O1017">
        <v>18</v>
      </c>
      <c r="P1017" t="s">
        <v>3477</v>
      </c>
      <c r="Q1017">
        <v>18</v>
      </c>
      <c r="R1017" s="13">
        <v>46000</v>
      </c>
      <c r="S1017" s="13">
        <v>27600</v>
      </c>
    </row>
    <row r="1018" spans="1:19">
      <c r="A1018" s="9" t="s">
        <v>22</v>
      </c>
      <c r="B1018" s="9" t="s">
        <v>26</v>
      </c>
      <c r="C1018" s="9" t="s">
        <v>76</v>
      </c>
      <c r="D1018" t="s">
        <v>204</v>
      </c>
      <c r="F1018" s="12" t="s">
        <v>2520</v>
      </c>
      <c r="G1018" s="10" t="s">
        <v>836</v>
      </c>
      <c r="H1018" s="10" t="s">
        <v>836</v>
      </c>
      <c r="K1018" t="s">
        <v>19</v>
      </c>
      <c r="L1018" t="s">
        <v>20</v>
      </c>
      <c r="M1018" s="9">
        <v>39222</v>
      </c>
      <c r="N1018" t="s">
        <v>3477</v>
      </c>
      <c r="O1018">
        <v>18</v>
      </c>
      <c r="P1018" t="s">
        <v>3477</v>
      </c>
      <c r="Q1018">
        <v>18</v>
      </c>
      <c r="R1018" s="13">
        <v>6900</v>
      </c>
      <c r="S1018" s="13">
        <v>4830</v>
      </c>
    </row>
    <row r="1019" spans="1:19">
      <c r="A1019" s="9" t="s">
        <v>23</v>
      </c>
      <c r="B1019" s="9" t="s">
        <v>26</v>
      </c>
      <c r="C1019" s="9" t="s">
        <v>80</v>
      </c>
      <c r="D1019" t="s">
        <v>204</v>
      </c>
      <c r="F1019" s="12" t="s">
        <v>2521</v>
      </c>
      <c r="G1019" s="10" t="s">
        <v>837</v>
      </c>
      <c r="H1019" s="10" t="s">
        <v>837</v>
      </c>
      <c r="K1019" t="s">
        <v>19</v>
      </c>
      <c r="L1019" t="s">
        <v>20</v>
      </c>
      <c r="M1019" s="9">
        <v>69101</v>
      </c>
      <c r="N1019" t="s">
        <v>3477</v>
      </c>
      <c r="O1019">
        <v>18</v>
      </c>
      <c r="P1019" t="s">
        <v>3477</v>
      </c>
      <c r="Q1019">
        <v>18</v>
      </c>
      <c r="R1019" s="13">
        <v>30500</v>
      </c>
      <c r="S1019" s="13">
        <v>18300</v>
      </c>
    </row>
    <row r="1020" spans="1:19">
      <c r="A1020" s="9" t="s">
        <v>22</v>
      </c>
      <c r="B1020" s="9" t="s">
        <v>26</v>
      </c>
      <c r="C1020" s="9" t="s">
        <v>80</v>
      </c>
      <c r="D1020" t="s">
        <v>204</v>
      </c>
      <c r="F1020" s="12" t="s">
        <v>2522</v>
      </c>
      <c r="G1020" s="10" t="s">
        <v>838</v>
      </c>
      <c r="H1020" s="10" t="s">
        <v>838</v>
      </c>
      <c r="K1020" t="s">
        <v>19</v>
      </c>
      <c r="L1020" t="s">
        <v>20</v>
      </c>
      <c r="M1020" s="9">
        <v>69101</v>
      </c>
      <c r="N1020" t="s">
        <v>3477</v>
      </c>
      <c r="O1020">
        <v>18</v>
      </c>
      <c r="P1020" t="s">
        <v>3477</v>
      </c>
      <c r="Q1020">
        <v>18</v>
      </c>
      <c r="R1020" s="13">
        <v>9050</v>
      </c>
      <c r="S1020" s="13">
        <v>6335</v>
      </c>
    </row>
    <row r="1021" spans="1:19">
      <c r="A1021" s="9" t="s">
        <v>22</v>
      </c>
      <c r="B1021" s="9" t="s">
        <v>27</v>
      </c>
      <c r="C1021" s="9" t="s">
        <v>50</v>
      </c>
      <c r="D1021" t="s">
        <v>204</v>
      </c>
      <c r="F1021" s="12" t="s">
        <v>2523</v>
      </c>
      <c r="G1021" s="10" t="s">
        <v>838</v>
      </c>
      <c r="H1021" s="10" t="s">
        <v>838</v>
      </c>
      <c r="K1021" t="s">
        <v>19</v>
      </c>
      <c r="L1021" t="s">
        <v>20</v>
      </c>
      <c r="M1021" s="9">
        <v>8481809</v>
      </c>
      <c r="N1021" t="s">
        <v>3477</v>
      </c>
      <c r="O1021">
        <v>18</v>
      </c>
      <c r="P1021" t="s">
        <v>3477</v>
      </c>
      <c r="Q1021">
        <v>18</v>
      </c>
      <c r="R1021" s="13">
        <v>3563</v>
      </c>
      <c r="S1021" s="13">
        <v>2494.1</v>
      </c>
    </row>
    <row r="1022" spans="1:19">
      <c r="A1022" s="9" t="s">
        <v>22</v>
      </c>
      <c r="B1022" s="9" t="s">
        <v>30</v>
      </c>
      <c r="C1022" s="9" t="s">
        <v>134</v>
      </c>
      <c r="D1022" t="s">
        <v>204</v>
      </c>
      <c r="F1022" s="12" t="s">
        <v>2524</v>
      </c>
      <c r="G1022" s="10" t="s">
        <v>839</v>
      </c>
      <c r="H1022" s="10" t="s">
        <v>839</v>
      </c>
      <c r="K1022" t="s">
        <v>19</v>
      </c>
      <c r="L1022" t="s">
        <v>20</v>
      </c>
      <c r="M1022" s="9">
        <v>8481909</v>
      </c>
      <c r="N1022" t="s">
        <v>3477</v>
      </c>
      <c r="O1022">
        <v>18</v>
      </c>
      <c r="P1022" t="s">
        <v>3477</v>
      </c>
      <c r="Q1022">
        <v>18</v>
      </c>
      <c r="R1022" s="13">
        <v>3857</v>
      </c>
      <c r="S1022" s="13">
        <v>2699.8999999999996</v>
      </c>
    </row>
    <row r="1023" spans="1:19">
      <c r="A1023" s="9" t="s">
        <v>22</v>
      </c>
      <c r="B1023" s="9" t="s">
        <v>27</v>
      </c>
      <c r="C1023" s="9" t="s">
        <v>146</v>
      </c>
      <c r="D1023" t="s">
        <v>204</v>
      </c>
      <c r="F1023" s="12" t="s">
        <v>2525</v>
      </c>
      <c r="G1023" s="10" t="s">
        <v>840</v>
      </c>
      <c r="H1023" s="10" t="s">
        <v>840</v>
      </c>
      <c r="K1023" t="s">
        <v>19</v>
      </c>
      <c r="L1023" t="s">
        <v>20</v>
      </c>
      <c r="M1023" s="9">
        <v>8481801</v>
      </c>
      <c r="N1023" t="s">
        <v>3477</v>
      </c>
      <c r="O1023">
        <v>18</v>
      </c>
      <c r="P1023" t="s">
        <v>3477</v>
      </c>
      <c r="Q1023">
        <v>18</v>
      </c>
      <c r="R1023" s="13">
        <v>68700</v>
      </c>
      <c r="S1023" s="13">
        <v>48090</v>
      </c>
    </row>
    <row r="1024" spans="1:19">
      <c r="A1024" s="9" t="s">
        <v>22</v>
      </c>
      <c r="B1024" s="9" t="s">
        <v>27</v>
      </c>
      <c r="C1024" s="9" t="s">
        <v>146</v>
      </c>
      <c r="D1024" t="s">
        <v>204</v>
      </c>
      <c r="F1024" s="12" t="s">
        <v>2526</v>
      </c>
      <c r="G1024" s="10" t="s">
        <v>841</v>
      </c>
      <c r="H1024" s="10" t="s">
        <v>841</v>
      </c>
      <c r="K1024" t="s">
        <v>19</v>
      </c>
      <c r="L1024" t="s">
        <v>20</v>
      </c>
      <c r="M1024" s="9">
        <v>8481801</v>
      </c>
      <c r="N1024" t="s">
        <v>3477</v>
      </c>
      <c r="O1024">
        <v>18</v>
      </c>
      <c r="P1024" t="s">
        <v>3477</v>
      </c>
      <c r="Q1024">
        <v>18</v>
      </c>
      <c r="R1024" s="13">
        <v>85950</v>
      </c>
      <c r="S1024" s="13">
        <v>60164.999999999993</v>
      </c>
    </row>
    <row r="1025" spans="1:19">
      <c r="A1025" s="9" t="s">
        <v>22</v>
      </c>
      <c r="B1025" s="9" t="s">
        <v>26</v>
      </c>
      <c r="C1025" s="9" t="s">
        <v>115</v>
      </c>
      <c r="D1025" t="s">
        <v>204</v>
      </c>
      <c r="F1025" s="12" t="s">
        <v>2527</v>
      </c>
      <c r="G1025" s="10" t="s">
        <v>842</v>
      </c>
      <c r="H1025" s="10" t="s">
        <v>842</v>
      </c>
      <c r="K1025" t="s">
        <v>19</v>
      </c>
      <c r="L1025" t="s">
        <v>20</v>
      </c>
      <c r="M1025" s="9">
        <v>69101</v>
      </c>
      <c r="N1025" t="s">
        <v>3477</v>
      </c>
      <c r="O1025">
        <v>18</v>
      </c>
      <c r="P1025" t="s">
        <v>3477</v>
      </c>
      <c r="Q1025">
        <v>18</v>
      </c>
      <c r="R1025" s="13">
        <v>17490</v>
      </c>
      <c r="S1025" s="13">
        <v>12243</v>
      </c>
    </row>
    <row r="1026" spans="1:19">
      <c r="A1026" s="9" t="s">
        <v>22</v>
      </c>
      <c r="B1026" s="9" t="s">
        <v>26</v>
      </c>
      <c r="C1026" s="9" t="s">
        <v>115</v>
      </c>
      <c r="D1026" t="s">
        <v>204</v>
      </c>
      <c r="F1026" s="12" t="s">
        <v>2528</v>
      </c>
      <c r="G1026" s="10" t="s">
        <v>843</v>
      </c>
      <c r="H1026" s="10" t="s">
        <v>843</v>
      </c>
      <c r="K1026" t="s">
        <v>19</v>
      </c>
      <c r="L1026" t="s">
        <v>20</v>
      </c>
      <c r="M1026" s="9">
        <v>69101</v>
      </c>
      <c r="N1026" t="s">
        <v>3477</v>
      </c>
      <c r="O1026">
        <v>18</v>
      </c>
      <c r="P1026" t="s">
        <v>3477</v>
      </c>
      <c r="Q1026">
        <v>18</v>
      </c>
      <c r="R1026" s="13">
        <v>9540</v>
      </c>
      <c r="S1026" s="13">
        <v>6678</v>
      </c>
    </row>
    <row r="1027" spans="1:19">
      <c r="A1027" s="9" t="s">
        <v>22</v>
      </c>
      <c r="B1027" s="9" t="s">
        <v>26</v>
      </c>
      <c r="C1027" s="9" t="s">
        <v>115</v>
      </c>
      <c r="D1027" t="s">
        <v>204</v>
      </c>
      <c r="F1027" s="12" t="s">
        <v>2529</v>
      </c>
      <c r="G1027" s="10" t="s">
        <v>844</v>
      </c>
      <c r="H1027" s="10" t="s">
        <v>844</v>
      </c>
      <c r="K1027" t="s">
        <v>19</v>
      </c>
      <c r="L1027" t="s">
        <v>20</v>
      </c>
      <c r="M1027" s="9">
        <v>69101</v>
      </c>
      <c r="N1027" t="s">
        <v>3477</v>
      </c>
      <c r="O1027">
        <v>18</v>
      </c>
      <c r="P1027" t="s">
        <v>3477</v>
      </c>
      <c r="Q1027">
        <v>18</v>
      </c>
      <c r="R1027" s="13">
        <v>17490</v>
      </c>
      <c r="S1027" s="13">
        <v>12243</v>
      </c>
    </row>
    <row r="1028" spans="1:19">
      <c r="A1028" s="9" t="s">
        <v>22</v>
      </c>
      <c r="B1028" s="9" t="s">
        <v>26</v>
      </c>
      <c r="C1028" s="9" t="s">
        <v>115</v>
      </c>
      <c r="D1028" t="s">
        <v>204</v>
      </c>
      <c r="F1028" s="12" t="s">
        <v>2530</v>
      </c>
      <c r="G1028" s="10" t="s">
        <v>845</v>
      </c>
      <c r="H1028" s="10" t="s">
        <v>845</v>
      </c>
      <c r="K1028" t="s">
        <v>19</v>
      </c>
      <c r="L1028" t="s">
        <v>20</v>
      </c>
      <c r="M1028" s="9">
        <v>69101</v>
      </c>
      <c r="N1028" t="s">
        <v>3477</v>
      </c>
      <c r="O1028">
        <v>18</v>
      </c>
      <c r="P1028" t="s">
        <v>3477</v>
      </c>
      <c r="Q1028">
        <v>18</v>
      </c>
      <c r="R1028" s="13">
        <v>9540</v>
      </c>
      <c r="S1028" s="13">
        <v>6678</v>
      </c>
    </row>
    <row r="1029" spans="1:19">
      <c r="A1029" s="9" t="s">
        <v>22</v>
      </c>
      <c r="B1029" s="9" t="s">
        <v>26</v>
      </c>
      <c r="C1029" s="9" t="s">
        <v>115</v>
      </c>
      <c r="D1029" t="s">
        <v>204</v>
      </c>
      <c r="F1029" s="12" t="s">
        <v>2531</v>
      </c>
      <c r="G1029" s="10" t="s">
        <v>846</v>
      </c>
      <c r="H1029" s="10" t="s">
        <v>846</v>
      </c>
      <c r="K1029" t="s">
        <v>19</v>
      </c>
      <c r="L1029" t="s">
        <v>20</v>
      </c>
      <c r="M1029" s="9">
        <v>69101</v>
      </c>
      <c r="N1029" t="s">
        <v>3477</v>
      </c>
      <c r="O1029">
        <v>18</v>
      </c>
      <c r="P1029" t="s">
        <v>3477</v>
      </c>
      <c r="Q1029">
        <v>18</v>
      </c>
      <c r="R1029" s="13">
        <v>17490</v>
      </c>
      <c r="S1029" s="13">
        <v>12243</v>
      </c>
    </row>
    <row r="1030" spans="1:19">
      <c r="A1030" s="9" t="s">
        <v>22</v>
      </c>
      <c r="B1030" s="9" t="s">
        <v>26</v>
      </c>
      <c r="C1030" s="9" t="s">
        <v>115</v>
      </c>
      <c r="D1030" t="s">
        <v>204</v>
      </c>
      <c r="F1030" s="12" t="s">
        <v>2532</v>
      </c>
      <c r="G1030" s="10" t="s">
        <v>847</v>
      </c>
      <c r="H1030" s="10" t="s">
        <v>847</v>
      </c>
      <c r="K1030" t="s">
        <v>19</v>
      </c>
      <c r="L1030" t="s">
        <v>20</v>
      </c>
      <c r="M1030" s="9">
        <v>69101</v>
      </c>
      <c r="N1030" t="s">
        <v>3477</v>
      </c>
      <c r="O1030">
        <v>18</v>
      </c>
      <c r="P1030" t="s">
        <v>3477</v>
      </c>
      <c r="Q1030">
        <v>18</v>
      </c>
      <c r="R1030" s="13">
        <v>17490</v>
      </c>
      <c r="S1030" s="13">
        <v>12243</v>
      </c>
    </row>
    <row r="1031" spans="1:19">
      <c r="A1031" s="9" t="s">
        <v>23</v>
      </c>
      <c r="B1031" s="9" t="s">
        <v>33</v>
      </c>
      <c r="C1031" s="9" t="s">
        <v>158</v>
      </c>
      <c r="D1031" t="s">
        <v>204</v>
      </c>
      <c r="F1031" s="12" t="s">
        <v>2533</v>
      </c>
      <c r="G1031" s="10" t="s">
        <v>848</v>
      </c>
      <c r="H1031" s="10" t="s">
        <v>848</v>
      </c>
      <c r="K1031" t="s">
        <v>19</v>
      </c>
      <c r="L1031" t="s">
        <v>20</v>
      </c>
      <c r="M1031" s="9">
        <v>700991</v>
      </c>
      <c r="N1031" t="s">
        <v>3477</v>
      </c>
      <c r="O1031">
        <v>18</v>
      </c>
      <c r="P1031" t="s">
        <v>3477</v>
      </c>
      <c r="Q1031">
        <v>18</v>
      </c>
      <c r="R1031" s="13">
        <v>29500</v>
      </c>
      <c r="S1031" s="13">
        <v>17700</v>
      </c>
    </row>
    <row r="1032" spans="1:19">
      <c r="A1032" s="9" t="s">
        <v>23</v>
      </c>
      <c r="B1032" s="9" t="s">
        <v>33</v>
      </c>
      <c r="C1032" s="9" t="s">
        <v>131</v>
      </c>
      <c r="D1032" t="s">
        <v>204</v>
      </c>
      <c r="F1032" s="12" t="s">
        <v>2534</v>
      </c>
      <c r="G1032" s="10" t="s">
        <v>849</v>
      </c>
      <c r="H1032" s="10" t="s">
        <v>849</v>
      </c>
      <c r="K1032" t="s">
        <v>19</v>
      </c>
      <c r="L1032" t="s">
        <v>20</v>
      </c>
      <c r="M1032" s="9">
        <v>700991</v>
      </c>
      <c r="N1032" t="s">
        <v>3477</v>
      </c>
      <c r="O1032">
        <v>18</v>
      </c>
      <c r="P1032" t="s">
        <v>3477</v>
      </c>
      <c r="Q1032">
        <v>18</v>
      </c>
      <c r="R1032" s="13">
        <v>30750</v>
      </c>
      <c r="S1032" s="13">
        <v>18450</v>
      </c>
    </row>
    <row r="1033" spans="1:19">
      <c r="A1033" s="9" t="s">
        <v>22</v>
      </c>
      <c r="B1033" s="9" t="s">
        <v>26</v>
      </c>
      <c r="C1033" s="9" t="s">
        <v>115</v>
      </c>
      <c r="D1033" t="s">
        <v>204</v>
      </c>
      <c r="F1033" s="12" t="s">
        <v>2535</v>
      </c>
      <c r="G1033" s="10" t="s">
        <v>850</v>
      </c>
      <c r="H1033" s="10" t="s">
        <v>850</v>
      </c>
      <c r="K1033" t="s">
        <v>19</v>
      </c>
      <c r="L1033" t="s">
        <v>20</v>
      </c>
      <c r="M1033" s="9">
        <v>69101</v>
      </c>
      <c r="N1033" t="s">
        <v>3477</v>
      </c>
      <c r="O1033">
        <v>18</v>
      </c>
      <c r="P1033" t="s">
        <v>3477</v>
      </c>
      <c r="Q1033">
        <v>18</v>
      </c>
      <c r="R1033" s="13">
        <v>23089</v>
      </c>
      <c r="S1033" s="13">
        <v>16162.3</v>
      </c>
    </row>
    <row r="1034" spans="1:19">
      <c r="A1034" s="9" t="s">
        <v>22</v>
      </c>
      <c r="B1034" s="9" t="s">
        <v>26</v>
      </c>
      <c r="C1034" s="9" t="s">
        <v>115</v>
      </c>
      <c r="D1034" t="s">
        <v>204</v>
      </c>
      <c r="F1034" s="12" t="s">
        <v>2536</v>
      </c>
      <c r="G1034" s="10" t="s">
        <v>851</v>
      </c>
      <c r="H1034" s="10" t="s">
        <v>851</v>
      </c>
      <c r="K1034" t="s">
        <v>19</v>
      </c>
      <c r="L1034" t="s">
        <v>20</v>
      </c>
      <c r="M1034" s="9">
        <v>69101</v>
      </c>
      <c r="N1034" t="s">
        <v>3477</v>
      </c>
      <c r="O1034">
        <v>18</v>
      </c>
      <c r="P1034" t="s">
        <v>3477</v>
      </c>
      <c r="Q1034">
        <v>18</v>
      </c>
      <c r="R1034" s="13">
        <v>23089</v>
      </c>
      <c r="S1034" s="13">
        <v>16162.3</v>
      </c>
    </row>
    <row r="1035" spans="1:19">
      <c r="A1035" s="9" t="s">
        <v>22</v>
      </c>
      <c r="B1035" s="9" t="s">
        <v>26</v>
      </c>
      <c r="C1035" s="9" t="s">
        <v>115</v>
      </c>
      <c r="D1035" t="s">
        <v>204</v>
      </c>
      <c r="F1035" s="12" t="s">
        <v>2537</v>
      </c>
      <c r="G1035" s="10" t="s">
        <v>852</v>
      </c>
      <c r="H1035" s="10" t="s">
        <v>852</v>
      </c>
      <c r="K1035" t="s">
        <v>19</v>
      </c>
      <c r="L1035" t="s">
        <v>20</v>
      </c>
      <c r="M1035" s="9">
        <v>69101</v>
      </c>
      <c r="N1035" t="s">
        <v>3477</v>
      </c>
      <c r="O1035">
        <v>18</v>
      </c>
      <c r="P1035" t="s">
        <v>3477</v>
      </c>
      <c r="Q1035">
        <v>18</v>
      </c>
      <c r="R1035" s="13">
        <v>20900</v>
      </c>
      <c r="S1035" s="13">
        <v>14629.999999999998</v>
      </c>
    </row>
    <row r="1036" spans="1:19">
      <c r="A1036" s="9" t="s">
        <v>22</v>
      </c>
      <c r="B1036" s="9" t="s">
        <v>26</v>
      </c>
      <c r="C1036" s="9" t="s">
        <v>115</v>
      </c>
      <c r="D1036" t="s">
        <v>204</v>
      </c>
      <c r="F1036" s="12" t="s">
        <v>2538</v>
      </c>
      <c r="G1036" s="10" t="s">
        <v>853</v>
      </c>
      <c r="H1036" s="10" t="s">
        <v>853</v>
      </c>
      <c r="K1036" t="s">
        <v>19</v>
      </c>
      <c r="L1036" t="s">
        <v>20</v>
      </c>
      <c r="M1036" s="9">
        <v>69101</v>
      </c>
      <c r="N1036" t="s">
        <v>3477</v>
      </c>
      <c r="O1036">
        <v>18</v>
      </c>
      <c r="P1036" t="s">
        <v>3477</v>
      </c>
      <c r="Q1036">
        <v>18</v>
      </c>
      <c r="R1036" s="13">
        <v>20900</v>
      </c>
      <c r="S1036" s="13">
        <v>14629.999999999998</v>
      </c>
    </row>
    <row r="1037" spans="1:19">
      <c r="A1037" s="9" t="s">
        <v>24</v>
      </c>
      <c r="B1037" s="9" t="s">
        <v>26</v>
      </c>
      <c r="C1037" s="9" t="s">
        <v>103</v>
      </c>
      <c r="D1037" t="s">
        <v>204</v>
      </c>
      <c r="F1037" s="12" t="s">
        <v>2539</v>
      </c>
      <c r="G1037" s="10" t="s">
        <v>854</v>
      </c>
      <c r="H1037" s="10" t="s">
        <v>854</v>
      </c>
      <c r="K1037" t="s">
        <v>19</v>
      </c>
      <c r="L1037" t="s">
        <v>20</v>
      </c>
      <c r="M1037" s="9">
        <v>69101</v>
      </c>
      <c r="N1037" t="s">
        <v>3477</v>
      </c>
      <c r="O1037">
        <v>18</v>
      </c>
      <c r="P1037" t="s">
        <v>3477</v>
      </c>
      <c r="Q1037">
        <v>18</v>
      </c>
      <c r="R1037" s="13">
        <v>8200</v>
      </c>
      <c r="S1037" s="13">
        <v>6150</v>
      </c>
    </row>
    <row r="1038" spans="1:19">
      <c r="A1038" s="9" t="s">
        <v>24</v>
      </c>
      <c r="B1038" s="9" t="s">
        <v>26</v>
      </c>
      <c r="C1038" s="9" t="s">
        <v>76</v>
      </c>
      <c r="D1038" t="s">
        <v>204</v>
      </c>
      <c r="F1038" s="12" t="s">
        <v>2540</v>
      </c>
      <c r="G1038" s="10" t="s">
        <v>855</v>
      </c>
      <c r="H1038" s="10" t="s">
        <v>855</v>
      </c>
      <c r="K1038" t="s">
        <v>19</v>
      </c>
      <c r="L1038" t="s">
        <v>20</v>
      </c>
      <c r="M1038" s="9">
        <v>39222</v>
      </c>
      <c r="N1038" t="s">
        <v>3477</v>
      </c>
      <c r="O1038">
        <v>18</v>
      </c>
      <c r="P1038" t="s">
        <v>3477</v>
      </c>
      <c r="Q1038">
        <v>18</v>
      </c>
      <c r="R1038" s="13">
        <v>3500</v>
      </c>
      <c r="S1038" s="13">
        <v>2625</v>
      </c>
    </row>
    <row r="1039" spans="1:19">
      <c r="A1039" s="9" t="s">
        <v>24</v>
      </c>
      <c r="B1039" s="9" t="s">
        <v>26</v>
      </c>
      <c r="C1039" s="9" t="s">
        <v>43</v>
      </c>
      <c r="D1039" t="s">
        <v>204</v>
      </c>
      <c r="F1039" s="12" t="s">
        <v>2541</v>
      </c>
      <c r="G1039" s="10" t="s">
        <v>856</v>
      </c>
      <c r="H1039" s="10" t="s">
        <v>856</v>
      </c>
      <c r="K1039" t="s">
        <v>19</v>
      </c>
      <c r="L1039" t="s">
        <v>20</v>
      </c>
      <c r="M1039" s="9">
        <v>69101</v>
      </c>
      <c r="N1039" t="s">
        <v>3477</v>
      </c>
      <c r="O1039">
        <v>18</v>
      </c>
      <c r="P1039" t="s">
        <v>3477</v>
      </c>
      <c r="Q1039">
        <v>18</v>
      </c>
      <c r="R1039" s="13">
        <v>11700</v>
      </c>
      <c r="S1039" s="13">
        <v>8775</v>
      </c>
    </row>
    <row r="1040" spans="1:19">
      <c r="A1040" s="9" t="s">
        <v>22</v>
      </c>
      <c r="B1040" s="9" t="s">
        <v>26</v>
      </c>
      <c r="C1040" s="9" t="s">
        <v>103</v>
      </c>
      <c r="D1040" t="s">
        <v>204</v>
      </c>
      <c r="F1040" s="12" t="s">
        <v>2542</v>
      </c>
      <c r="G1040" s="10" t="s">
        <v>857</v>
      </c>
      <c r="H1040" s="10" t="s">
        <v>857</v>
      </c>
      <c r="K1040" t="s">
        <v>19</v>
      </c>
      <c r="L1040" t="s">
        <v>20</v>
      </c>
      <c r="M1040" s="9">
        <v>69101</v>
      </c>
      <c r="N1040" t="s">
        <v>3477</v>
      </c>
      <c r="O1040">
        <v>18</v>
      </c>
      <c r="P1040" t="s">
        <v>3477</v>
      </c>
      <c r="Q1040">
        <v>18</v>
      </c>
      <c r="R1040" s="13">
        <v>8690</v>
      </c>
      <c r="S1040" s="13">
        <v>6083</v>
      </c>
    </row>
    <row r="1041" spans="1:19">
      <c r="A1041" s="9" t="s">
        <v>22</v>
      </c>
      <c r="B1041" s="9" t="s">
        <v>26</v>
      </c>
      <c r="C1041" s="9" t="s">
        <v>76</v>
      </c>
      <c r="D1041" t="s">
        <v>204</v>
      </c>
      <c r="F1041" s="12" t="s">
        <v>2543</v>
      </c>
      <c r="G1041" s="10" t="s">
        <v>858</v>
      </c>
      <c r="H1041" s="10" t="s">
        <v>858</v>
      </c>
      <c r="K1041" t="s">
        <v>19</v>
      </c>
      <c r="L1041" t="s">
        <v>20</v>
      </c>
      <c r="M1041" s="9">
        <v>39222</v>
      </c>
      <c r="N1041" t="s">
        <v>3477</v>
      </c>
      <c r="O1041">
        <v>18</v>
      </c>
      <c r="P1041" t="s">
        <v>3477</v>
      </c>
      <c r="Q1041">
        <v>18</v>
      </c>
      <c r="R1041" s="13">
        <v>4210</v>
      </c>
      <c r="S1041" s="13">
        <v>2947</v>
      </c>
    </row>
    <row r="1042" spans="1:19">
      <c r="A1042" s="9" t="s">
        <v>22</v>
      </c>
      <c r="B1042" s="9" t="s">
        <v>26</v>
      </c>
      <c r="C1042" s="9" t="s">
        <v>43</v>
      </c>
      <c r="D1042" t="s">
        <v>204</v>
      </c>
      <c r="F1042" s="12" t="s">
        <v>2544</v>
      </c>
      <c r="G1042" s="10" t="s">
        <v>859</v>
      </c>
      <c r="H1042" s="10" t="s">
        <v>859</v>
      </c>
      <c r="K1042" t="s">
        <v>19</v>
      </c>
      <c r="L1042" t="s">
        <v>20</v>
      </c>
      <c r="M1042" s="9">
        <v>69101</v>
      </c>
      <c r="N1042" t="s">
        <v>3477</v>
      </c>
      <c r="O1042">
        <v>18</v>
      </c>
      <c r="P1042" t="s">
        <v>3477</v>
      </c>
      <c r="Q1042">
        <v>18</v>
      </c>
      <c r="R1042" s="13">
        <v>12900</v>
      </c>
      <c r="S1042" s="13">
        <v>9030</v>
      </c>
    </row>
    <row r="1043" spans="1:19">
      <c r="A1043" s="9" t="s">
        <v>23</v>
      </c>
      <c r="B1043" s="9" t="s">
        <v>27</v>
      </c>
      <c r="C1043" s="9" t="s">
        <v>117</v>
      </c>
      <c r="D1043" t="s">
        <v>204</v>
      </c>
      <c r="F1043" s="12" t="s">
        <v>2545</v>
      </c>
      <c r="G1043" s="10" t="s">
        <v>860</v>
      </c>
      <c r="H1043" s="10" t="s">
        <v>860</v>
      </c>
      <c r="K1043" t="s">
        <v>19</v>
      </c>
      <c r="L1043" t="s">
        <v>20</v>
      </c>
      <c r="M1043" s="9">
        <v>8481802</v>
      </c>
      <c r="N1043" t="s">
        <v>3477</v>
      </c>
      <c r="O1043">
        <v>18</v>
      </c>
      <c r="P1043" t="s">
        <v>3477</v>
      </c>
      <c r="Q1043">
        <v>18</v>
      </c>
      <c r="R1043" s="13">
        <v>42000</v>
      </c>
      <c r="S1043" s="13">
        <v>25200</v>
      </c>
    </row>
    <row r="1044" spans="1:19">
      <c r="A1044" s="9" t="s">
        <v>23</v>
      </c>
      <c r="B1044" s="9" t="s">
        <v>27</v>
      </c>
      <c r="C1044" s="9" t="s">
        <v>114</v>
      </c>
      <c r="D1044" t="s">
        <v>204</v>
      </c>
      <c r="F1044" s="12" t="s">
        <v>2546</v>
      </c>
      <c r="G1044" s="10" t="s">
        <v>861</v>
      </c>
      <c r="H1044" s="10" t="s">
        <v>861</v>
      </c>
      <c r="K1044" t="s">
        <v>19</v>
      </c>
      <c r="L1044" t="s">
        <v>20</v>
      </c>
      <c r="M1044" s="9">
        <v>8481802</v>
      </c>
      <c r="N1044" t="s">
        <v>3477</v>
      </c>
      <c r="O1044">
        <v>18</v>
      </c>
      <c r="P1044" t="s">
        <v>3477</v>
      </c>
      <c r="Q1044">
        <v>18</v>
      </c>
      <c r="R1044" s="13">
        <v>46200</v>
      </c>
      <c r="S1044" s="13">
        <v>27720</v>
      </c>
    </row>
    <row r="1045" spans="1:19">
      <c r="A1045" s="9" t="s">
        <v>24</v>
      </c>
      <c r="B1045" s="9" t="s">
        <v>27</v>
      </c>
      <c r="C1045" s="9" t="s">
        <v>108</v>
      </c>
      <c r="D1045" t="s">
        <v>204</v>
      </c>
      <c r="F1045" s="12" t="s">
        <v>2547</v>
      </c>
      <c r="G1045" s="10" t="s">
        <v>862</v>
      </c>
      <c r="H1045" s="10" t="s">
        <v>862</v>
      </c>
      <c r="K1045" t="s">
        <v>19</v>
      </c>
      <c r="L1045" t="s">
        <v>20</v>
      </c>
      <c r="M1045" s="9">
        <v>8481802</v>
      </c>
      <c r="N1045" t="s">
        <v>3477</v>
      </c>
      <c r="O1045">
        <v>18</v>
      </c>
      <c r="P1045" t="s">
        <v>3477</v>
      </c>
      <c r="Q1045">
        <v>18</v>
      </c>
      <c r="R1045" s="13">
        <v>2800</v>
      </c>
      <c r="S1045" s="13">
        <v>2100</v>
      </c>
    </row>
    <row r="1046" spans="1:19">
      <c r="A1046" s="9" t="s">
        <v>24</v>
      </c>
      <c r="B1046" s="9" t="s">
        <v>27</v>
      </c>
      <c r="C1046" s="9" t="s">
        <v>108</v>
      </c>
      <c r="D1046" t="s">
        <v>204</v>
      </c>
      <c r="F1046" s="12" t="s">
        <v>2548</v>
      </c>
      <c r="G1046" s="10" t="s">
        <v>863</v>
      </c>
      <c r="H1046" s="10" t="s">
        <v>863</v>
      </c>
      <c r="K1046" t="s">
        <v>19</v>
      </c>
      <c r="L1046" t="s">
        <v>20</v>
      </c>
      <c r="M1046" s="9">
        <v>8481802</v>
      </c>
      <c r="N1046" t="s">
        <v>3477</v>
      </c>
      <c r="O1046">
        <v>18</v>
      </c>
      <c r="P1046" t="s">
        <v>3477</v>
      </c>
      <c r="Q1046">
        <v>18</v>
      </c>
      <c r="R1046" s="13">
        <v>2950</v>
      </c>
      <c r="S1046" s="13">
        <v>2212.5</v>
      </c>
    </row>
    <row r="1047" spans="1:19">
      <c r="A1047" s="9" t="s">
        <v>24</v>
      </c>
      <c r="B1047" s="9" t="s">
        <v>27</v>
      </c>
      <c r="C1047" s="9" t="s">
        <v>108</v>
      </c>
      <c r="D1047" t="s">
        <v>204</v>
      </c>
      <c r="F1047" s="12" t="s">
        <v>2549</v>
      </c>
      <c r="G1047" s="10" t="s">
        <v>864</v>
      </c>
      <c r="H1047" s="10" t="s">
        <v>864</v>
      </c>
      <c r="K1047" t="s">
        <v>19</v>
      </c>
      <c r="L1047" t="s">
        <v>20</v>
      </c>
      <c r="M1047" s="9">
        <v>8481802</v>
      </c>
      <c r="N1047" t="s">
        <v>3477</v>
      </c>
      <c r="O1047">
        <v>18</v>
      </c>
      <c r="P1047" t="s">
        <v>3477</v>
      </c>
      <c r="Q1047">
        <v>18</v>
      </c>
      <c r="R1047" s="13">
        <v>3200</v>
      </c>
      <c r="S1047" s="13">
        <v>2400</v>
      </c>
    </row>
    <row r="1048" spans="1:19">
      <c r="A1048" s="9" t="s">
        <v>23</v>
      </c>
      <c r="B1048" s="9" t="s">
        <v>27</v>
      </c>
      <c r="C1048" s="9" t="s">
        <v>117</v>
      </c>
      <c r="D1048" t="s">
        <v>204</v>
      </c>
      <c r="F1048" s="12" t="s">
        <v>2550</v>
      </c>
      <c r="G1048" s="10" t="s">
        <v>864</v>
      </c>
      <c r="H1048" s="10" t="s">
        <v>864</v>
      </c>
      <c r="K1048" t="s">
        <v>19</v>
      </c>
      <c r="L1048" t="s">
        <v>20</v>
      </c>
      <c r="M1048" s="9">
        <v>8481802</v>
      </c>
      <c r="N1048" t="s">
        <v>3477</v>
      </c>
      <c r="O1048">
        <v>18</v>
      </c>
      <c r="P1048" t="s">
        <v>3477</v>
      </c>
      <c r="Q1048">
        <v>18</v>
      </c>
      <c r="R1048" s="13">
        <v>44000</v>
      </c>
      <c r="S1048" s="13">
        <v>26400</v>
      </c>
    </row>
    <row r="1049" spans="1:19">
      <c r="A1049" s="9" t="s">
        <v>23</v>
      </c>
      <c r="B1049" s="9" t="s">
        <v>27</v>
      </c>
      <c r="C1049" s="9" t="s">
        <v>117</v>
      </c>
      <c r="D1049" t="s">
        <v>204</v>
      </c>
      <c r="F1049" s="12" t="s">
        <v>2551</v>
      </c>
      <c r="G1049" s="10" t="s">
        <v>864</v>
      </c>
      <c r="H1049" s="10" t="s">
        <v>864</v>
      </c>
      <c r="K1049" t="s">
        <v>19</v>
      </c>
      <c r="L1049" t="s">
        <v>20</v>
      </c>
      <c r="M1049" s="9">
        <v>8481802</v>
      </c>
      <c r="N1049" t="s">
        <v>3477</v>
      </c>
      <c r="O1049">
        <v>18</v>
      </c>
      <c r="P1049" t="s">
        <v>3477</v>
      </c>
      <c r="Q1049">
        <v>18</v>
      </c>
      <c r="R1049" s="13">
        <v>44000</v>
      </c>
      <c r="S1049" s="13">
        <v>26400</v>
      </c>
    </row>
    <row r="1050" spans="1:19">
      <c r="A1050" s="9" t="s">
        <v>23</v>
      </c>
      <c r="B1050" s="9" t="s">
        <v>27</v>
      </c>
      <c r="C1050" s="9" t="s">
        <v>117</v>
      </c>
      <c r="D1050" t="s">
        <v>204</v>
      </c>
      <c r="F1050" s="12" t="s">
        <v>2552</v>
      </c>
      <c r="G1050" s="10" t="s">
        <v>864</v>
      </c>
      <c r="H1050" s="10" t="s">
        <v>864</v>
      </c>
      <c r="K1050" t="s">
        <v>19</v>
      </c>
      <c r="L1050" t="s">
        <v>20</v>
      </c>
      <c r="M1050" s="9">
        <v>8481802</v>
      </c>
      <c r="N1050" t="s">
        <v>3477</v>
      </c>
      <c r="O1050">
        <v>18</v>
      </c>
      <c r="P1050" t="s">
        <v>3477</v>
      </c>
      <c r="Q1050">
        <v>18</v>
      </c>
      <c r="R1050" s="13">
        <v>44000</v>
      </c>
      <c r="S1050" s="13">
        <v>26400</v>
      </c>
    </row>
    <row r="1051" spans="1:19">
      <c r="A1051" s="9" t="s">
        <v>23</v>
      </c>
      <c r="B1051" s="9" t="s">
        <v>27</v>
      </c>
      <c r="C1051" s="9" t="s">
        <v>117</v>
      </c>
      <c r="D1051" t="s">
        <v>204</v>
      </c>
      <c r="F1051" s="12" t="s">
        <v>2553</v>
      </c>
      <c r="G1051" s="10" t="s">
        <v>865</v>
      </c>
      <c r="H1051" s="10" t="s">
        <v>865</v>
      </c>
      <c r="K1051" t="s">
        <v>19</v>
      </c>
      <c r="L1051" t="s">
        <v>20</v>
      </c>
      <c r="M1051" s="9">
        <v>8481802</v>
      </c>
      <c r="N1051" t="s">
        <v>3477</v>
      </c>
      <c r="O1051">
        <v>18</v>
      </c>
      <c r="P1051" t="s">
        <v>3477</v>
      </c>
      <c r="Q1051">
        <v>18</v>
      </c>
      <c r="R1051" s="13">
        <v>44000</v>
      </c>
      <c r="S1051" s="13">
        <v>26400</v>
      </c>
    </row>
    <row r="1052" spans="1:19">
      <c r="A1052" s="9" t="s">
        <v>22</v>
      </c>
      <c r="B1052" s="9" t="s">
        <v>26</v>
      </c>
      <c r="C1052" s="9" t="s">
        <v>81</v>
      </c>
      <c r="D1052" t="s">
        <v>204</v>
      </c>
      <c r="F1052" s="12" t="s">
        <v>2554</v>
      </c>
      <c r="G1052" s="10" t="s">
        <v>866</v>
      </c>
      <c r="H1052" s="10" t="s">
        <v>866</v>
      </c>
      <c r="K1052" t="s">
        <v>19</v>
      </c>
      <c r="L1052" t="s">
        <v>20</v>
      </c>
      <c r="M1052" s="9">
        <v>69101</v>
      </c>
      <c r="N1052" t="s">
        <v>3477</v>
      </c>
      <c r="O1052">
        <v>18</v>
      </c>
      <c r="P1052" t="s">
        <v>3477</v>
      </c>
      <c r="Q1052">
        <v>18</v>
      </c>
      <c r="R1052" s="13">
        <v>10600</v>
      </c>
      <c r="S1052" s="13">
        <v>7419.9999999999991</v>
      </c>
    </row>
    <row r="1053" spans="1:19">
      <c r="A1053" s="9" t="s">
        <v>22</v>
      </c>
      <c r="B1053" s="9" t="s">
        <v>26</v>
      </c>
      <c r="C1053" s="9" t="s">
        <v>115</v>
      </c>
      <c r="D1053" t="s">
        <v>204</v>
      </c>
      <c r="F1053" s="12" t="s">
        <v>2555</v>
      </c>
      <c r="G1053" s="10" t="s">
        <v>867</v>
      </c>
      <c r="H1053" s="10" t="s">
        <v>867</v>
      </c>
      <c r="K1053" t="s">
        <v>19</v>
      </c>
      <c r="L1053" t="s">
        <v>20</v>
      </c>
      <c r="M1053" s="9">
        <v>69101</v>
      </c>
      <c r="N1053" t="s">
        <v>3477</v>
      </c>
      <c r="O1053">
        <v>18</v>
      </c>
      <c r="P1053" t="s">
        <v>3477</v>
      </c>
      <c r="Q1053">
        <v>18</v>
      </c>
      <c r="R1053" s="13">
        <v>10070</v>
      </c>
      <c r="S1053" s="13">
        <v>7049</v>
      </c>
    </row>
    <row r="1054" spans="1:19">
      <c r="A1054" s="9" t="s">
        <v>22</v>
      </c>
      <c r="B1054" s="9" t="s">
        <v>26</v>
      </c>
      <c r="C1054" s="9" t="s">
        <v>115</v>
      </c>
      <c r="D1054" t="s">
        <v>204</v>
      </c>
      <c r="F1054" s="12" t="s">
        <v>2556</v>
      </c>
      <c r="G1054" s="10" t="s">
        <v>868</v>
      </c>
      <c r="H1054" s="10" t="s">
        <v>868</v>
      </c>
      <c r="K1054" t="s">
        <v>19</v>
      </c>
      <c r="L1054" t="s">
        <v>20</v>
      </c>
      <c r="M1054" s="9">
        <v>69101</v>
      </c>
      <c r="N1054" t="s">
        <v>3477</v>
      </c>
      <c r="O1054">
        <v>18</v>
      </c>
      <c r="P1054" t="s">
        <v>3477</v>
      </c>
      <c r="Q1054">
        <v>18</v>
      </c>
      <c r="R1054" s="13">
        <v>10070</v>
      </c>
      <c r="S1054" s="13">
        <v>7049</v>
      </c>
    </row>
    <row r="1055" spans="1:19">
      <c r="A1055" s="9" t="s">
        <v>22</v>
      </c>
      <c r="B1055" s="9" t="s">
        <v>27</v>
      </c>
      <c r="C1055" s="9" t="s">
        <v>112</v>
      </c>
      <c r="D1055" t="s">
        <v>204</v>
      </c>
      <c r="F1055" s="12" t="s">
        <v>2557</v>
      </c>
      <c r="G1055" s="10" t="s">
        <v>869</v>
      </c>
      <c r="H1055" s="10" t="s">
        <v>869</v>
      </c>
      <c r="K1055" t="s">
        <v>19</v>
      </c>
      <c r="L1055" t="s">
        <v>20</v>
      </c>
      <c r="M1055" s="9">
        <v>94049099</v>
      </c>
      <c r="N1055" t="s">
        <v>3477</v>
      </c>
      <c r="O1055">
        <v>18</v>
      </c>
      <c r="P1055" t="s">
        <v>3477</v>
      </c>
      <c r="Q1055">
        <v>18</v>
      </c>
      <c r="R1055" s="13">
        <v>4886</v>
      </c>
      <c r="S1055" s="13">
        <v>3420.2</v>
      </c>
    </row>
    <row r="1056" spans="1:19">
      <c r="A1056" s="9" t="s">
        <v>22</v>
      </c>
      <c r="B1056" s="9" t="s">
        <v>36</v>
      </c>
      <c r="C1056" s="9" t="s">
        <v>159</v>
      </c>
      <c r="D1056" t="s">
        <v>204</v>
      </c>
      <c r="F1056" s="12" t="s">
        <v>2558</v>
      </c>
      <c r="G1056" s="10" t="s">
        <v>870</v>
      </c>
      <c r="H1056" s="10" t="s">
        <v>870</v>
      </c>
      <c r="K1056" t="s">
        <v>19</v>
      </c>
      <c r="L1056" t="s">
        <v>20</v>
      </c>
      <c r="M1056" s="9">
        <v>8421211</v>
      </c>
      <c r="N1056" t="s">
        <v>3477</v>
      </c>
      <c r="O1056">
        <v>18</v>
      </c>
      <c r="P1056" t="s">
        <v>3477</v>
      </c>
      <c r="Q1056">
        <v>18</v>
      </c>
      <c r="R1056" s="13">
        <v>15000</v>
      </c>
      <c r="S1056" s="13">
        <v>10500</v>
      </c>
    </row>
    <row r="1057" spans="1:19">
      <c r="A1057" s="9" t="s">
        <v>22</v>
      </c>
      <c r="B1057" s="9" t="s">
        <v>27</v>
      </c>
      <c r="C1057" s="9" t="s">
        <v>50</v>
      </c>
      <c r="D1057" t="s">
        <v>204</v>
      </c>
      <c r="F1057" s="12" t="s">
        <v>2559</v>
      </c>
      <c r="G1057" s="10" t="s">
        <v>870</v>
      </c>
      <c r="H1057" s="10" t="s">
        <v>870</v>
      </c>
      <c r="K1057" t="s">
        <v>19</v>
      </c>
      <c r="L1057" t="s">
        <v>20</v>
      </c>
      <c r="M1057" s="9">
        <v>8481809</v>
      </c>
      <c r="N1057" t="s">
        <v>3477</v>
      </c>
      <c r="O1057">
        <v>18</v>
      </c>
      <c r="P1057" t="s">
        <v>3477</v>
      </c>
      <c r="Q1057">
        <v>18</v>
      </c>
      <c r="R1057" s="13">
        <v>3209</v>
      </c>
      <c r="S1057" s="13">
        <v>2246.2999999999997</v>
      </c>
    </row>
    <row r="1058" spans="1:19">
      <c r="A1058" s="9" t="s">
        <v>22</v>
      </c>
      <c r="B1058" s="9" t="s">
        <v>27</v>
      </c>
      <c r="C1058" s="9" t="s">
        <v>50</v>
      </c>
      <c r="D1058" t="s">
        <v>204</v>
      </c>
      <c r="F1058" s="12" t="s">
        <v>2560</v>
      </c>
      <c r="G1058" s="10" t="s">
        <v>870</v>
      </c>
      <c r="H1058" s="10" t="s">
        <v>870</v>
      </c>
      <c r="K1058" t="s">
        <v>19</v>
      </c>
      <c r="L1058" t="s">
        <v>20</v>
      </c>
      <c r="M1058" s="9">
        <v>8481909</v>
      </c>
      <c r="N1058" t="s">
        <v>3477</v>
      </c>
      <c r="O1058">
        <v>18</v>
      </c>
      <c r="P1058" t="s">
        <v>3477</v>
      </c>
      <c r="Q1058">
        <v>18</v>
      </c>
      <c r="R1058" s="13">
        <v>2895</v>
      </c>
      <c r="S1058" s="13">
        <v>2026.4999999999998</v>
      </c>
    </row>
    <row r="1059" spans="1:19">
      <c r="A1059" s="9" t="s">
        <v>22</v>
      </c>
      <c r="B1059" s="9" t="s">
        <v>27</v>
      </c>
      <c r="C1059" s="9" t="s">
        <v>50</v>
      </c>
      <c r="D1059" t="s">
        <v>204</v>
      </c>
      <c r="F1059" s="12" t="s">
        <v>2561</v>
      </c>
      <c r="G1059" s="10" t="s">
        <v>871</v>
      </c>
      <c r="H1059" s="10" t="s">
        <v>871</v>
      </c>
      <c r="K1059" t="s">
        <v>19</v>
      </c>
      <c r="L1059" t="s">
        <v>20</v>
      </c>
      <c r="M1059" s="9">
        <v>9404211</v>
      </c>
      <c r="N1059" t="s">
        <v>3477</v>
      </c>
      <c r="O1059">
        <v>18</v>
      </c>
      <c r="P1059" t="s">
        <v>3477</v>
      </c>
      <c r="Q1059">
        <v>18</v>
      </c>
      <c r="R1059" s="13">
        <v>4295</v>
      </c>
      <c r="S1059" s="13">
        <v>3006.5</v>
      </c>
    </row>
    <row r="1060" spans="1:19">
      <c r="A1060" s="9" t="s">
        <v>23</v>
      </c>
      <c r="B1060" s="9" t="s">
        <v>26</v>
      </c>
      <c r="C1060" s="9" t="s">
        <v>156</v>
      </c>
      <c r="D1060" t="s">
        <v>204</v>
      </c>
      <c r="F1060" s="12" t="s">
        <v>2562</v>
      </c>
      <c r="G1060" s="10" t="s">
        <v>872</v>
      </c>
      <c r="H1060" s="10" t="s">
        <v>872</v>
      </c>
      <c r="K1060" t="s">
        <v>19</v>
      </c>
      <c r="L1060" t="s">
        <v>20</v>
      </c>
      <c r="M1060" s="9">
        <v>69101</v>
      </c>
      <c r="N1060" t="s">
        <v>3477</v>
      </c>
      <c r="O1060">
        <v>18</v>
      </c>
      <c r="P1060" t="s">
        <v>3477</v>
      </c>
      <c r="Q1060">
        <v>18</v>
      </c>
      <c r="R1060" s="13">
        <v>300000</v>
      </c>
      <c r="S1060" s="13">
        <v>180000</v>
      </c>
    </row>
    <row r="1061" spans="1:19">
      <c r="A1061" s="9" t="s">
        <v>23</v>
      </c>
      <c r="B1061" s="9" t="s">
        <v>27</v>
      </c>
      <c r="C1061" s="9" t="s">
        <v>63</v>
      </c>
      <c r="D1061" t="s">
        <v>204</v>
      </c>
      <c r="F1061" s="12" t="s">
        <v>2563</v>
      </c>
      <c r="G1061" s="10" t="s">
        <v>873</v>
      </c>
      <c r="H1061" s="10" t="s">
        <v>873</v>
      </c>
      <c r="K1061" t="s">
        <v>19</v>
      </c>
      <c r="L1061" t="s">
        <v>20</v>
      </c>
      <c r="M1061" s="9">
        <v>8481802</v>
      </c>
      <c r="N1061" t="s">
        <v>3477</v>
      </c>
      <c r="O1061">
        <v>18</v>
      </c>
      <c r="P1061" t="s">
        <v>3477</v>
      </c>
      <c r="Q1061">
        <v>18</v>
      </c>
      <c r="R1061" s="13">
        <v>15000</v>
      </c>
      <c r="S1061" s="13">
        <v>9000</v>
      </c>
    </row>
    <row r="1062" spans="1:19">
      <c r="A1062" s="9" t="s">
        <v>23</v>
      </c>
      <c r="B1062" s="9" t="s">
        <v>27</v>
      </c>
      <c r="C1062" s="9" t="s">
        <v>83</v>
      </c>
      <c r="D1062" t="s">
        <v>204</v>
      </c>
      <c r="F1062" s="12" t="s">
        <v>2564</v>
      </c>
      <c r="G1062" s="10" t="s">
        <v>874</v>
      </c>
      <c r="H1062" s="10" t="s">
        <v>874</v>
      </c>
      <c r="K1062" t="s">
        <v>19</v>
      </c>
      <c r="L1062" t="s">
        <v>20</v>
      </c>
      <c r="M1062" s="9">
        <v>8481802</v>
      </c>
      <c r="N1062" t="s">
        <v>3477</v>
      </c>
      <c r="O1062">
        <v>18</v>
      </c>
      <c r="P1062" t="s">
        <v>3477</v>
      </c>
      <c r="Q1062">
        <v>18</v>
      </c>
      <c r="R1062" s="13">
        <v>77000</v>
      </c>
      <c r="S1062" s="13">
        <v>46200</v>
      </c>
    </row>
    <row r="1063" spans="1:19">
      <c r="A1063" s="9" t="s">
        <v>22</v>
      </c>
      <c r="B1063" s="9" t="s">
        <v>26</v>
      </c>
      <c r="C1063" s="9" t="s">
        <v>122</v>
      </c>
      <c r="D1063" t="s">
        <v>204</v>
      </c>
      <c r="F1063" s="12" t="s">
        <v>2565</v>
      </c>
      <c r="G1063" s="10" t="s">
        <v>875</v>
      </c>
      <c r="H1063" s="10" t="s">
        <v>875</v>
      </c>
      <c r="K1063" t="s">
        <v>19</v>
      </c>
      <c r="L1063" t="s">
        <v>20</v>
      </c>
      <c r="M1063" s="9">
        <v>39229</v>
      </c>
      <c r="N1063" t="s">
        <v>3477</v>
      </c>
      <c r="O1063">
        <v>18</v>
      </c>
      <c r="P1063" t="s">
        <v>3477</v>
      </c>
      <c r="Q1063">
        <v>18</v>
      </c>
      <c r="R1063" s="13">
        <v>4400</v>
      </c>
      <c r="S1063" s="13">
        <v>3080</v>
      </c>
    </row>
    <row r="1064" spans="1:19">
      <c r="A1064" s="9" t="s">
        <v>23</v>
      </c>
      <c r="B1064" s="9" t="s">
        <v>27</v>
      </c>
      <c r="C1064" s="9" t="s">
        <v>160</v>
      </c>
      <c r="D1064" t="s">
        <v>204</v>
      </c>
      <c r="F1064" s="12" t="s">
        <v>2566</v>
      </c>
      <c r="G1064" s="10" t="s">
        <v>875</v>
      </c>
      <c r="H1064" s="10" t="s">
        <v>875</v>
      </c>
      <c r="K1064" t="s">
        <v>19</v>
      </c>
      <c r="L1064" t="s">
        <v>20</v>
      </c>
      <c r="M1064" s="9">
        <v>7418201</v>
      </c>
      <c r="N1064" t="s">
        <v>3477</v>
      </c>
      <c r="O1064">
        <v>18</v>
      </c>
      <c r="P1064" t="s">
        <v>3477</v>
      </c>
      <c r="Q1064">
        <v>18</v>
      </c>
      <c r="R1064" s="13">
        <v>157500</v>
      </c>
      <c r="S1064" s="13">
        <v>94500</v>
      </c>
    </row>
    <row r="1065" spans="1:19">
      <c r="A1065" s="9" t="s">
        <v>23</v>
      </c>
      <c r="B1065" s="9" t="s">
        <v>27</v>
      </c>
      <c r="C1065" s="9" t="s">
        <v>160</v>
      </c>
      <c r="D1065" t="s">
        <v>204</v>
      </c>
      <c r="F1065" s="12" t="s">
        <v>2567</v>
      </c>
      <c r="G1065" s="10" t="s">
        <v>875</v>
      </c>
      <c r="H1065" s="10" t="s">
        <v>875</v>
      </c>
      <c r="K1065" t="s">
        <v>19</v>
      </c>
      <c r="L1065" t="s">
        <v>20</v>
      </c>
      <c r="M1065" s="9">
        <v>7418201</v>
      </c>
      <c r="N1065" t="s">
        <v>3477</v>
      </c>
      <c r="O1065">
        <v>18</v>
      </c>
      <c r="P1065" t="s">
        <v>3477</v>
      </c>
      <c r="Q1065">
        <v>18</v>
      </c>
      <c r="R1065" s="13">
        <v>176500</v>
      </c>
      <c r="S1065" s="13">
        <v>105900</v>
      </c>
    </row>
    <row r="1066" spans="1:19">
      <c r="A1066" s="9" t="s">
        <v>23</v>
      </c>
      <c r="B1066" s="9" t="s">
        <v>27</v>
      </c>
      <c r="C1066" s="9" t="s">
        <v>160</v>
      </c>
      <c r="D1066" t="s">
        <v>204</v>
      </c>
      <c r="F1066" s="12" t="s">
        <v>2568</v>
      </c>
      <c r="G1066" s="10" t="s">
        <v>875</v>
      </c>
      <c r="H1066" s="10" t="s">
        <v>875</v>
      </c>
      <c r="K1066" t="s">
        <v>19</v>
      </c>
      <c r="L1066" t="s">
        <v>20</v>
      </c>
      <c r="M1066" s="9">
        <v>7418201</v>
      </c>
      <c r="N1066" t="s">
        <v>3477</v>
      </c>
      <c r="O1066">
        <v>18</v>
      </c>
      <c r="P1066" t="s">
        <v>3477</v>
      </c>
      <c r="Q1066">
        <v>18</v>
      </c>
      <c r="R1066" s="13">
        <v>189000</v>
      </c>
      <c r="S1066" s="13">
        <v>113400</v>
      </c>
    </row>
    <row r="1067" spans="1:19">
      <c r="A1067" s="9" t="s">
        <v>23</v>
      </c>
      <c r="B1067" s="9" t="s">
        <v>27</v>
      </c>
      <c r="C1067" s="9" t="s">
        <v>160</v>
      </c>
      <c r="D1067" t="s">
        <v>204</v>
      </c>
      <c r="F1067" s="12" t="s">
        <v>2569</v>
      </c>
      <c r="G1067" s="10" t="s">
        <v>875</v>
      </c>
      <c r="H1067" s="10" t="s">
        <v>875</v>
      </c>
      <c r="K1067" t="s">
        <v>19</v>
      </c>
      <c r="L1067" t="s">
        <v>20</v>
      </c>
      <c r="M1067" s="9">
        <v>7418201</v>
      </c>
      <c r="N1067" t="s">
        <v>3477</v>
      </c>
      <c r="O1067">
        <v>18</v>
      </c>
      <c r="P1067" t="s">
        <v>3477</v>
      </c>
      <c r="Q1067">
        <v>18</v>
      </c>
      <c r="R1067" s="13">
        <v>126000</v>
      </c>
      <c r="S1067" s="13">
        <v>75600</v>
      </c>
    </row>
    <row r="1068" spans="1:19">
      <c r="A1068" s="9" t="s">
        <v>23</v>
      </c>
      <c r="B1068" s="9" t="s">
        <v>27</v>
      </c>
      <c r="C1068" s="9" t="s">
        <v>160</v>
      </c>
      <c r="D1068" t="s">
        <v>204</v>
      </c>
      <c r="F1068" s="12" t="s">
        <v>2570</v>
      </c>
      <c r="G1068" s="10" t="s">
        <v>876</v>
      </c>
      <c r="H1068" s="10" t="s">
        <v>876</v>
      </c>
      <c r="K1068" t="s">
        <v>19</v>
      </c>
      <c r="L1068" t="s">
        <v>20</v>
      </c>
      <c r="M1068" s="9">
        <v>7418201</v>
      </c>
      <c r="N1068" t="s">
        <v>3477</v>
      </c>
      <c r="O1068">
        <v>18</v>
      </c>
      <c r="P1068" t="s">
        <v>3477</v>
      </c>
      <c r="Q1068">
        <v>18</v>
      </c>
      <c r="R1068" s="13">
        <v>176500</v>
      </c>
      <c r="S1068" s="13">
        <v>105900</v>
      </c>
    </row>
    <row r="1069" spans="1:19">
      <c r="A1069" s="9" t="s">
        <v>23</v>
      </c>
      <c r="B1069" s="9" t="s">
        <v>27</v>
      </c>
      <c r="C1069" s="9" t="s">
        <v>160</v>
      </c>
      <c r="D1069" t="s">
        <v>204</v>
      </c>
      <c r="F1069" s="12" t="s">
        <v>2571</v>
      </c>
      <c r="G1069" s="10" t="s">
        <v>190</v>
      </c>
      <c r="H1069" s="10" t="s">
        <v>190</v>
      </c>
      <c r="K1069" t="s">
        <v>19</v>
      </c>
      <c r="L1069" t="s">
        <v>20</v>
      </c>
      <c r="M1069" s="9">
        <v>73249</v>
      </c>
      <c r="N1069" t="s">
        <v>3477</v>
      </c>
      <c r="O1069">
        <v>18</v>
      </c>
      <c r="P1069" t="s">
        <v>3477</v>
      </c>
      <c r="Q1069">
        <v>18</v>
      </c>
      <c r="R1069" s="13">
        <v>95000</v>
      </c>
      <c r="S1069" s="13">
        <v>57000</v>
      </c>
    </row>
    <row r="1070" spans="1:19">
      <c r="A1070" s="9" t="s">
        <v>22</v>
      </c>
      <c r="B1070" s="9" t="s">
        <v>27</v>
      </c>
      <c r="C1070" s="9" t="s">
        <v>50</v>
      </c>
      <c r="D1070" t="s">
        <v>204</v>
      </c>
      <c r="F1070" s="12" t="s">
        <v>2572</v>
      </c>
      <c r="G1070" s="10" t="s">
        <v>877</v>
      </c>
      <c r="H1070" s="10" t="s">
        <v>877</v>
      </c>
      <c r="K1070" t="s">
        <v>19</v>
      </c>
      <c r="L1070" t="s">
        <v>20</v>
      </c>
      <c r="M1070" s="9">
        <v>8481801</v>
      </c>
      <c r="N1070" t="s">
        <v>3477</v>
      </c>
      <c r="O1070">
        <v>18</v>
      </c>
      <c r="P1070" t="s">
        <v>3477</v>
      </c>
      <c r="Q1070">
        <v>18</v>
      </c>
      <c r="R1070" s="13">
        <v>1118</v>
      </c>
      <c r="S1070" s="13">
        <v>782.59999999999991</v>
      </c>
    </row>
    <row r="1071" spans="1:19">
      <c r="A1071" s="9" t="s">
        <v>22</v>
      </c>
      <c r="B1071" s="9" t="s">
        <v>27</v>
      </c>
      <c r="C1071" s="9" t="s">
        <v>50</v>
      </c>
      <c r="D1071" t="s">
        <v>204</v>
      </c>
      <c r="F1071" s="12" t="s">
        <v>2573</v>
      </c>
      <c r="G1071" s="10" t="s">
        <v>190</v>
      </c>
      <c r="H1071" s="10" t="s">
        <v>190</v>
      </c>
      <c r="K1071" t="s">
        <v>19</v>
      </c>
      <c r="L1071" t="s">
        <v>20</v>
      </c>
      <c r="M1071" s="9">
        <v>7418201</v>
      </c>
      <c r="N1071" t="s">
        <v>3477</v>
      </c>
      <c r="O1071">
        <v>18</v>
      </c>
      <c r="P1071" t="s">
        <v>3477</v>
      </c>
      <c r="Q1071">
        <v>18</v>
      </c>
      <c r="R1071" s="13">
        <v>1436</v>
      </c>
      <c r="S1071" s="13">
        <v>1005.1999999999999</v>
      </c>
    </row>
    <row r="1072" spans="1:19">
      <c r="A1072" s="9" t="s">
        <v>22</v>
      </c>
      <c r="B1072" s="9" t="s">
        <v>27</v>
      </c>
      <c r="C1072" s="9" t="s">
        <v>50</v>
      </c>
      <c r="D1072" t="s">
        <v>204</v>
      </c>
      <c r="F1072" s="12" t="s">
        <v>2574</v>
      </c>
      <c r="G1072" s="10" t="s">
        <v>190</v>
      </c>
      <c r="H1072" s="10" t="s">
        <v>190</v>
      </c>
      <c r="K1072" t="s">
        <v>19</v>
      </c>
      <c r="L1072" t="s">
        <v>20</v>
      </c>
      <c r="M1072" s="9">
        <v>7907001</v>
      </c>
      <c r="N1072" t="s">
        <v>3477</v>
      </c>
      <c r="O1072">
        <v>18</v>
      </c>
      <c r="P1072" t="s">
        <v>3477</v>
      </c>
      <c r="Q1072">
        <v>18</v>
      </c>
      <c r="R1072" s="13">
        <v>971</v>
      </c>
      <c r="S1072" s="13">
        <v>679.69999999999993</v>
      </c>
    </row>
    <row r="1073" spans="1:19">
      <c r="A1073" s="9" t="s">
        <v>22</v>
      </c>
      <c r="B1073" s="9" t="s">
        <v>27</v>
      </c>
      <c r="C1073" s="9" t="s">
        <v>50</v>
      </c>
      <c r="D1073" t="s">
        <v>204</v>
      </c>
      <c r="F1073" s="12" t="s">
        <v>2575</v>
      </c>
      <c r="G1073" s="10" t="s">
        <v>878</v>
      </c>
      <c r="H1073" s="10" t="s">
        <v>878</v>
      </c>
      <c r="K1073" t="s">
        <v>19</v>
      </c>
      <c r="L1073" t="s">
        <v>20</v>
      </c>
      <c r="M1073" s="9">
        <v>7907001</v>
      </c>
      <c r="N1073" t="s">
        <v>3477</v>
      </c>
      <c r="O1073">
        <v>18</v>
      </c>
      <c r="P1073" t="s">
        <v>3477</v>
      </c>
      <c r="Q1073">
        <v>18</v>
      </c>
      <c r="R1073" s="13">
        <v>928</v>
      </c>
      <c r="S1073" s="13">
        <v>649.59999999999991</v>
      </c>
    </row>
    <row r="1074" spans="1:19">
      <c r="A1074" s="9" t="s">
        <v>22</v>
      </c>
      <c r="B1074" s="9" t="s">
        <v>27</v>
      </c>
      <c r="C1074" s="9" t="s">
        <v>50</v>
      </c>
      <c r="D1074" t="s">
        <v>204</v>
      </c>
      <c r="F1074" s="12" t="s">
        <v>2576</v>
      </c>
      <c r="G1074" s="10" t="s">
        <v>878</v>
      </c>
      <c r="H1074" s="10" t="s">
        <v>878</v>
      </c>
      <c r="K1074" t="s">
        <v>19</v>
      </c>
      <c r="L1074" t="s">
        <v>20</v>
      </c>
      <c r="M1074" s="9">
        <v>7907001</v>
      </c>
      <c r="N1074" t="s">
        <v>3477</v>
      </c>
      <c r="O1074">
        <v>18</v>
      </c>
      <c r="P1074" t="s">
        <v>3477</v>
      </c>
      <c r="Q1074">
        <v>18</v>
      </c>
      <c r="R1074" s="13">
        <v>707</v>
      </c>
      <c r="S1074" s="13">
        <v>494.9</v>
      </c>
    </row>
    <row r="1075" spans="1:19">
      <c r="A1075" s="9" t="s">
        <v>22</v>
      </c>
      <c r="B1075" s="9" t="s">
        <v>27</v>
      </c>
      <c r="C1075" s="9" t="s">
        <v>50</v>
      </c>
      <c r="D1075" t="s">
        <v>204</v>
      </c>
      <c r="F1075" s="12" t="s">
        <v>2577</v>
      </c>
      <c r="G1075" s="10" t="s">
        <v>879</v>
      </c>
      <c r="H1075" s="10" t="s">
        <v>879</v>
      </c>
      <c r="K1075" t="s">
        <v>19</v>
      </c>
      <c r="L1075" t="s">
        <v>20</v>
      </c>
      <c r="M1075" s="9">
        <v>7907001</v>
      </c>
      <c r="N1075" t="s">
        <v>3477</v>
      </c>
      <c r="O1075">
        <v>18</v>
      </c>
      <c r="P1075" t="s">
        <v>3477</v>
      </c>
      <c r="Q1075">
        <v>18</v>
      </c>
      <c r="R1075" s="13">
        <v>704</v>
      </c>
      <c r="S1075" s="13">
        <v>492.79999999999995</v>
      </c>
    </row>
    <row r="1076" spans="1:19">
      <c r="A1076" s="9" t="s">
        <v>22</v>
      </c>
      <c r="B1076" s="9" t="s">
        <v>27</v>
      </c>
      <c r="C1076" s="9" t="s">
        <v>50</v>
      </c>
      <c r="D1076" t="s">
        <v>204</v>
      </c>
      <c r="F1076" s="12" t="s">
        <v>2578</v>
      </c>
      <c r="G1076" s="10" t="s">
        <v>879</v>
      </c>
      <c r="H1076" s="10" t="s">
        <v>879</v>
      </c>
      <c r="K1076" t="s">
        <v>19</v>
      </c>
      <c r="L1076" t="s">
        <v>20</v>
      </c>
      <c r="M1076" s="9">
        <v>8481801</v>
      </c>
      <c r="N1076" t="s">
        <v>3477</v>
      </c>
      <c r="O1076">
        <v>18</v>
      </c>
      <c r="P1076" t="s">
        <v>3477</v>
      </c>
      <c r="Q1076">
        <v>18</v>
      </c>
      <c r="R1076" s="13">
        <v>707</v>
      </c>
      <c r="S1076" s="13">
        <v>494.9</v>
      </c>
    </row>
    <row r="1077" spans="1:19">
      <c r="A1077" s="9" t="s">
        <v>22</v>
      </c>
      <c r="B1077" s="9" t="s">
        <v>27</v>
      </c>
      <c r="C1077" s="9" t="s">
        <v>50</v>
      </c>
      <c r="D1077" t="s">
        <v>204</v>
      </c>
      <c r="F1077" s="12" t="s">
        <v>2579</v>
      </c>
      <c r="G1077" s="10" t="s">
        <v>880</v>
      </c>
      <c r="H1077" s="10" t="s">
        <v>880</v>
      </c>
      <c r="K1077" t="s">
        <v>19</v>
      </c>
      <c r="L1077" t="s">
        <v>20</v>
      </c>
      <c r="M1077" s="9">
        <v>8481801</v>
      </c>
      <c r="N1077" t="s">
        <v>3477</v>
      </c>
      <c r="O1077">
        <v>18</v>
      </c>
      <c r="P1077" t="s">
        <v>3477</v>
      </c>
      <c r="Q1077">
        <v>18</v>
      </c>
      <c r="R1077" s="13">
        <v>730</v>
      </c>
      <c r="S1077" s="13">
        <v>510.99999999999994</v>
      </c>
    </row>
    <row r="1078" spans="1:19">
      <c r="A1078" s="9" t="s">
        <v>22</v>
      </c>
      <c r="B1078" s="9" t="s">
        <v>27</v>
      </c>
      <c r="C1078" s="9" t="s">
        <v>50</v>
      </c>
      <c r="D1078" t="s">
        <v>204</v>
      </c>
      <c r="F1078" s="12" t="s">
        <v>2580</v>
      </c>
      <c r="G1078" s="10" t="s">
        <v>250</v>
      </c>
      <c r="H1078" s="10" t="s">
        <v>250</v>
      </c>
      <c r="K1078" t="s">
        <v>19</v>
      </c>
      <c r="L1078" t="s">
        <v>20</v>
      </c>
      <c r="M1078" s="9">
        <v>8481809</v>
      </c>
      <c r="N1078" t="s">
        <v>3477</v>
      </c>
      <c r="O1078">
        <v>18</v>
      </c>
      <c r="P1078" t="s">
        <v>3477</v>
      </c>
      <c r="Q1078">
        <v>18</v>
      </c>
      <c r="R1078" s="13">
        <v>5342</v>
      </c>
      <c r="S1078" s="13">
        <v>3739.3999999999996</v>
      </c>
    </row>
    <row r="1079" spans="1:19">
      <c r="A1079" s="9" t="s">
        <v>22</v>
      </c>
      <c r="B1079" s="9" t="s">
        <v>27</v>
      </c>
      <c r="C1079" s="9" t="s">
        <v>50</v>
      </c>
      <c r="D1079" t="s">
        <v>204</v>
      </c>
      <c r="F1079" s="12" t="s">
        <v>2581</v>
      </c>
      <c r="G1079" s="10" t="s">
        <v>250</v>
      </c>
      <c r="H1079" s="10" t="s">
        <v>250</v>
      </c>
      <c r="K1079" t="s">
        <v>19</v>
      </c>
      <c r="L1079" t="s">
        <v>20</v>
      </c>
      <c r="M1079" s="9">
        <v>8481809</v>
      </c>
      <c r="N1079" t="s">
        <v>3477</v>
      </c>
      <c r="O1079">
        <v>18</v>
      </c>
      <c r="P1079" t="s">
        <v>3477</v>
      </c>
      <c r="Q1079">
        <v>18</v>
      </c>
      <c r="R1079" s="13">
        <v>809</v>
      </c>
      <c r="S1079" s="13">
        <v>566.29999999999995</v>
      </c>
    </row>
    <row r="1080" spans="1:19">
      <c r="A1080" s="9" t="s">
        <v>22</v>
      </c>
      <c r="B1080" s="9" t="s">
        <v>27</v>
      </c>
      <c r="C1080" s="9" t="s">
        <v>50</v>
      </c>
      <c r="D1080" t="s">
        <v>204</v>
      </c>
      <c r="F1080" s="12" t="s">
        <v>2582</v>
      </c>
      <c r="G1080" s="10" t="s">
        <v>881</v>
      </c>
      <c r="H1080" s="10" t="s">
        <v>881</v>
      </c>
      <c r="K1080" t="s">
        <v>19</v>
      </c>
      <c r="L1080" t="s">
        <v>20</v>
      </c>
      <c r="M1080" s="9">
        <v>8481909</v>
      </c>
      <c r="N1080" t="s">
        <v>3477</v>
      </c>
      <c r="O1080">
        <v>18</v>
      </c>
      <c r="P1080" t="s">
        <v>3477</v>
      </c>
      <c r="Q1080">
        <v>18</v>
      </c>
      <c r="R1080" s="13">
        <v>612</v>
      </c>
      <c r="S1080" s="13">
        <v>428.4</v>
      </c>
    </row>
    <row r="1081" spans="1:19">
      <c r="A1081" s="9" t="s">
        <v>22</v>
      </c>
      <c r="B1081" s="9" t="s">
        <v>27</v>
      </c>
      <c r="C1081" s="9" t="s">
        <v>50</v>
      </c>
      <c r="D1081" t="s">
        <v>204</v>
      </c>
      <c r="F1081" s="12" t="s">
        <v>2583</v>
      </c>
      <c r="G1081" s="10" t="s">
        <v>881</v>
      </c>
      <c r="H1081" s="10" t="s">
        <v>881</v>
      </c>
      <c r="K1081" t="s">
        <v>19</v>
      </c>
      <c r="L1081" t="s">
        <v>20</v>
      </c>
      <c r="M1081" s="9">
        <v>8481809</v>
      </c>
      <c r="N1081" t="s">
        <v>3477</v>
      </c>
      <c r="O1081">
        <v>18</v>
      </c>
      <c r="P1081" t="s">
        <v>3477</v>
      </c>
      <c r="Q1081">
        <v>18</v>
      </c>
      <c r="R1081" s="13">
        <v>13489</v>
      </c>
      <c r="S1081" s="13">
        <v>9442.2999999999993</v>
      </c>
    </row>
    <row r="1082" spans="1:19">
      <c r="A1082" s="9" t="s">
        <v>22</v>
      </c>
      <c r="B1082" s="9" t="s">
        <v>27</v>
      </c>
      <c r="C1082" s="9" t="s">
        <v>50</v>
      </c>
      <c r="D1082" t="s">
        <v>204</v>
      </c>
      <c r="F1082" s="12" t="s">
        <v>2584</v>
      </c>
      <c r="G1082" s="10" t="s">
        <v>250</v>
      </c>
      <c r="H1082" s="10" t="s">
        <v>250</v>
      </c>
      <c r="K1082" t="s">
        <v>19</v>
      </c>
      <c r="L1082" t="s">
        <v>20</v>
      </c>
      <c r="M1082" s="9">
        <v>8481909</v>
      </c>
      <c r="N1082" t="s">
        <v>3477</v>
      </c>
      <c r="O1082">
        <v>18</v>
      </c>
      <c r="P1082" t="s">
        <v>3477</v>
      </c>
      <c r="Q1082">
        <v>18</v>
      </c>
      <c r="R1082" s="13">
        <v>8695</v>
      </c>
      <c r="S1082" s="13">
        <v>6086.5</v>
      </c>
    </row>
    <row r="1083" spans="1:19">
      <c r="A1083" s="9" t="s">
        <v>22</v>
      </c>
      <c r="B1083" s="9" t="s">
        <v>30</v>
      </c>
      <c r="C1083" s="9" t="s">
        <v>50</v>
      </c>
      <c r="D1083" t="s">
        <v>204</v>
      </c>
      <c r="F1083" s="12" t="s">
        <v>2585</v>
      </c>
      <c r="G1083" s="10" t="s">
        <v>250</v>
      </c>
      <c r="H1083" s="10" t="s">
        <v>250</v>
      </c>
      <c r="K1083" t="s">
        <v>19</v>
      </c>
      <c r="L1083" t="s">
        <v>20</v>
      </c>
      <c r="M1083" s="9">
        <v>8481801</v>
      </c>
      <c r="N1083" t="s">
        <v>3477</v>
      </c>
      <c r="O1083">
        <v>18</v>
      </c>
      <c r="P1083" t="s">
        <v>3477</v>
      </c>
      <c r="Q1083">
        <v>18</v>
      </c>
      <c r="R1083" s="13">
        <v>240</v>
      </c>
      <c r="S1083" s="13">
        <v>168</v>
      </c>
    </row>
    <row r="1084" spans="1:19">
      <c r="A1084" s="9" t="s">
        <v>22</v>
      </c>
      <c r="B1084" s="9" t="s">
        <v>27</v>
      </c>
      <c r="C1084" s="9" t="s">
        <v>50</v>
      </c>
      <c r="D1084" t="s">
        <v>204</v>
      </c>
      <c r="F1084" s="12" t="s">
        <v>2586</v>
      </c>
      <c r="G1084" s="10" t="s">
        <v>882</v>
      </c>
      <c r="H1084" s="10" t="s">
        <v>882</v>
      </c>
      <c r="K1084" t="s">
        <v>19</v>
      </c>
      <c r="L1084" t="s">
        <v>20</v>
      </c>
      <c r="M1084" s="9">
        <v>8481801</v>
      </c>
      <c r="N1084" t="s">
        <v>3477</v>
      </c>
      <c r="O1084">
        <v>18</v>
      </c>
      <c r="P1084" t="s">
        <v>3477</v>
      </c>
      <c r="Q1084">
        <v>18</v>
      </c>
      <c r="R1084" s="13">
        <v>252</v>
      </c>
      <c r="S1084" s="13">
        <v>176.39999999999998</v>
      </c>
    </row>
    <row r="1085" spans="1:19">
      <c r="A1085" s="9" t="s">
        <v>22</v>
      </c>
      <c r="B1085" s="9" t="s">
        <v>27</v>
      </c>
      <c r="C1085" s="9" t="s">
        <v>50</v>
      </c>
      <c r="D1085" t="s">
        <v>204</v>
      </c>
      <c r="F1085" s="12" t="s">
        <v>2587</v>
      </c>
      <c r="G1085" s="10" t="s">
        <v>250</v>
      </c>
      <c r="H1085" s="10" t="s">
        <v>250</v>
      </c>
      <c r="K1085" t="s">
        <v>19</v>
      </c>
      <c r="L1085" t="s">
        <v>20</v>
      </c>
      <c r="M1085" s="9">
        <v>8481909</v>
      </c>
      <c r="N1085" t="s">
        <v>3477</v>
      </c>
      <c r="O1085">
        <v>18</v>
      </c>
      <c r="P1085" t="s">
        <v>3477</v>
      </c>
      <c r="Q1085">
        <v>18</v>
      </c>
      <c r="R1085" s="13">
        <v>75</v>
      </c>
      <c r="S1085" s="13">
        <v>52.5</v>
      </c>
    </row>
    <row r="1086" spans="1:19">
      <c r="A1086" s="9" t="s">
        <v>22</v>
      </c>
      <c r="B1086" s="9" t="s">
        <v>27</v>
      </c>
      <c r="C1086" s="9" t="s">
        <v>50</v>
      </c>
      <c r="D1086" t="s">
        <v>204</v>
      </c>
      <c r="F1086" s="12" t="s">
        <v>2588</v>
      </c>
      <c r="G1086" s="10" t="s">
        <v>883</v>
      </c>
      <c r="H1086" s="10" t="s">
        <v>883</v>
      </c>
      <c r="K1086" t="s">
        <v>19</v>
      </c>
      <c r="L1086" t="s">
        <v>20</v>
      </c>
      <c r="M1086" s="9">
        <v>8481801</v>
      </c>
      <c r="N1086" t="s">
        <v>3477</v>
      </c>
      <c r="O1086">
        <v>18</v>
      </c>
      <c r="P1086" t="s">
        <v>3477</v>
      </c>
      <c r="Q1086">
        <v>18</v>
      </c>
      <c r="R1086" s="13">
        <v>2672</v>
      </c>
      <c r="S1086" s="13">
        <v>1870.3999999999999</v>
      </c>
    </row>
    <row r="1087" spans="1:19">
      <c r="A1087" s="9" t="s">
        <v>22</v>
      </c>
      <c r="B1087" s="9" t="s">
        <v>27</v>
      </c>
      <c r="C1087" s="9" t="s">
        <v>50</v>
      </c>
      <c r="D1087" t="s">
        <v>204</v>
      </c>
      <c r="F1087" s="12" t="s">
        <v>2589</v>
      </c>
      <c r="G1087" s="10" t="s">
        <v>883</v>
      </c>
      <c r="H1087" s="10" t="s">
        <v>883</v>
      </c>
      <c r="K1087" t="s">
        <v>19</v>
      </c>
      <c r="L1087" t="s">
        <v>20</v>
      </c>
      <c r="M1087" s="9">
        <v>39229</v>
      </c>
      <c r="N1087" t="s">
        <v>3477</v>
      </c>
      <c r="O1087">
        <v>18</v>
      </c>
      <c r="P1087" t="s">
        <v>3477</v>
      </c>
      <c r="Q1087">
        <v>18</v>
      </c>
      <c r="R1087" s="13">
        <v>302</v>
      </c>
      <c r="S1087" s="13">
        <v>211.39999999999998</v>
      </c>
    </row>
    <row r="1088" spans="1:19">
      <c r="A1088" s="9" t="s">
        <v>22</v>
      </c>
      <c r="B1088" s="9" t="s">
        <v>27</v>
      </c>
      <c r="C1088" s="9" t="s">
        <v>50</v>
      </c>
      <c r="D1088" t="s">
        <v>204</v>
      </c>
      <c r="F1088" s="12" t="s">
        <v>2590</v>
      </c>
      <c r="G1088" s="10" t="s">
        <v>884</v>
      </c>
      <c r="H1088" s="10" t="s">
        <v>884</v>
      </c>
      <c r="K1088" t="s">
        <v>19</v>
      </c>
      <c r="L1088" t="s">
        <v>20</v>
      </c>
      <c r="M1088" s="9">
        <v>8481809</v>
      </c>
      <c r="N1088" t="s">
        <v>3477</v>
      </c>
      <c r="O1088">
        <v>18</v>
      </c>
      <c r="P1088" t="s">
        <v>3477</v>
      </c>
      <c r="Q1088">
        <v>18</v>
      </c>
      <c r="R1088" s="13">
        <v>156</v>
      </c>
      <c r="S1088" s="13">
        <v>109.19999999999999</v>
      </c>
    </row>
    <row r="1089" spans="1:19">
      <c r="A1089" s="9" t="s">
        <v>22</v>
      </c>
      <c r="B1089" s="9" t="s">
        <v>27</v>
      </c>
      <c r="C1089" s="9" t="s">
        <v>50</v>
      </c>
      <c r="D1089" t="s">
        <v>204</v>
      </c>
      <c r="F1089" s="12" t="s">
        <v>2591</v>
      </c>
      <c r="G1089" s="10" t="s">
        <v>885</v>
      </c>
      <c r="H1089" s="10" t="s">
        <v>885</v>
      </c>
      <c r="K1089" t="s">
        <v>19</v>
      </c>
      <c r="L1089" t="s">
        <v>20</v>
      </c>
      <c r="M1089" s="9">
        <v>39229</v>
      </c>
      <c r="N1089" t="s">
        <v>3477</v>
      </c>
      <c r="O1089">
        <v>18</v>
      </c>
      <c r="P1089" t="s">
        <v>3477</v>
      </c>
      <c r="Q1089">
        <v>18</v>
      </c>
      <c r="R1089" s="13">
        <v>146</v>
      </c>
      <c r="S1089" s="13">
        <v>102.19999999999999</v>
      </c>
    </row>
    <row r="1090" spans="1:19">
      <c r="A1090" s="9" t="s">
        <v>22</v>
      </c>
      <c r="B1090" s="9" t="s">
        <v>30</v>
      </c>
      <c r="C1090" s="9" t="s">
        <v>50</v>
      </c>
      <c r="D1090" t="s">
        <v>204</v>
      </c>
      <c r="F1090" s="12" t="s">
        <v>2592</v>
      </c>
      <c r="G1090" s="10" t="s">
        <v>886</v>
      </c>
      <c r="H1090" s="10" t="s">
        <v>886</v>
      </c>
      <c r="K1090" t="s">
        <v>19</v>
      </c>
      <c r="L1090" t="s">
        <v>20</v>
      </c>
      <c r="M1090" s="9">
        <v>8481809</v>
      </c>
      <c r="N1090" t="s">
        <v>3477</v>
      </c>
      <c r="O1090">
        <v>18</v>
      </c>
      <c r="P1090" t="s">
        <v>3477</v>
      </c>
      <c r="Q1090">
        <v>18</v>
      </c>
      <c r="R1090" s="13">
        <v>575</v>
      </c>
      <c r="S1090" s="13">
        <v>402.5</v>
      </c>
    </row>
    <row r="1091" spans="1:19">
      <c r="A1091" s="9" t="s">
        <v>22</v>
      </c>
      <c r="B1091" s="9" t="s">
        <v>27</v>
      </c>
      <c r="C1091" s="9" t="s">
        <v>50</v>
      </c>
      <c r="D1091" t="s">
        <v>204</v>
      </c>
      <c r="F1091" s="12" t="s">
        <v>2593</v>
      </c>
      <c r="G1091" s="10" t="s">
        <v>887</v>
      </c>
      <c r="H1091" s="10" t="s">
        <v>887</v>
      </c>
      <c r="K1091" t="s">
        <v>19</v>
      </c>
      <c r="L1091" t="s">
        <v>20</v>
      </c>
      <c r="M1091" s="9">
        <v>8481809</v>
      </c>
      <c r="N1091" t="s">
        <v>3477</v>
      </c>
      <c r="O1091">
        <v>18</v>
      </c>
      <c r="P1091" t="s">
        <v>3477</v>
      </c>
      <c r="Q1091">
        <v>18</v>
      </c>
      <c r="R1091" s="13">
        <v>12249</v>
      </c>
      <c r="S1091" s="13">
        <v>8574.2999999999993</v>
      </c>
    </row>
    <row r="1092" spans="1:19">
      <c r="A1092" s="9" t="s">
        <v>22</v>
      </c>
      <c r="B1092" s="9" t="s">
        <v>27</v>
      </c>
      <c r="C1092" s="9" t="s">
        <v>50</v>
      </c>
      <c r="D1092" t="s">
        <v>204</v>
      </c>
      <c r="F1092" s="12" t="s">
        <v>2594</v>
      </c>
      <c r="G1092" s="10" t="s">
        <v>887</v>
      </c>
      <c r="H1092" s="10" t="s">
        <v>887</v>
      </c>
      <c r="K1092" t="s">
        <v>19</v>
      </c>
      <c r="L1092" t="s">
        <v>20</v>
      </c>
      <c r="M1092" s="9">
        <v>7415331</v>
      </c>
      <c r="N1092" t="s">
        <v>3477</v>
      </c>
      <c r="O1092">
        <v>18</v>
      </c>
      <c r="P1092" t="s">
        <v>3477</v>
      </c>
      <c r="Q1092">
        <v>18</v>
      </c>
      <c r="R1092" s="13">
        <v>1605</v>
      </c>
      <c r="S1092" s="13">
        <v>1123.5</v>
      </c>
    </row>
    <row r="1093" spans="1:19">
      <c r="A1093" s="9" t="s">
        <v>22</v>
      </c>
      <c r="B1093" s="9" t="s">
        <v>27</v>
      </c>
      <c r="C1093" s="9" t="s">
        <v>50</v>
      </c>
      <c r="D1093" t="s">
        <v>204</v>
      </c>
      <c r="F1093" s="12" t="s">
        <v>2595</v>
      </c>
      <c r="G1093" s="10" t="s">
        <v>250</v>
      </c>
      <c r="H1093" s="10" t="s">
        <v>250</v>
      </c>
      <c r="K1093" t="s">
        <v>19</v>
      </c>
      <c r="L1093" t="s">
        <v>20</v>
      </c>
      <c r="M1093" s="9">
        <v>8481801</v>
      </c>
      <c r="N1093" t="s">
        <v>3477</v>
      </c>
      <c r="O1093">
        <v>18</v>
      </c>
      <c r="P1093" t="s">
        <v>3477</v>
      </c>
      <c r="Q1093">
        <v>18</v>
      </c>
      <c r="R1093" s="13">
        <v>777</v>
      </c>
      <c r="S1093" s="13">
        <v>543.9</v>
      </c>
    </row>
    <row r="1094" spans="1:19">
      <c r="A1094" s="9" t="s">
        <v>22</v>
      </c>
      <c r="B1094" s="9" t="s">
        <v>27</v>
      </c>
      <c r="C1094" s="9" t="s">
        <v>50</v>
      </c>
      <c r="D1094" t="s">
        <v>204</v>
      </c>
      <c r="F1094" s="12" t="s">
        <v>2596</v>
      </c>
      <c r="G1094" s="10" t="s">
        <v>885</v>
      </c>
      <c r="H1094" s="10" t="s">
        <v>885</v>
      </c>
      <c r="K1094" t="s">
        <v>19</v>
      </c>
      <c r="L1094" t="s">
        <v>20</v>
      </c>
      <c r="M1094" s="9">
        <v>8481809</v>
      </c>
      <c r="N1094" t="s">
        <v>3477</v>
      </c>
      <c r="O1094">
        <v>18</v>
      </c>
      <c r="P1094" t="s">
        <v>3477</v>
      </c>
      <c r="Q1094">
        <v>18</v>
      </c>
      <c r="R1094" s="13">
        <v>784</v>
      </c>
      <c r="S1094" s="13">
        <v>548.79999999999995</v>
      </c>
    </row>
    <row r="1095" spans="1:19">
      <c r="A1095" s="9" t="s">
        <v>22</v>
      </c>
      <c r="B1095" s="9" t="s">
        <v>27</v>
      </c>
      <c r="C1095" s="9" t="s">
        <v>50</v>
      </c>
      <c r="D1095" t="s">
        <v>204</v>
      </c>
      <c r="F1095" s="12" t="s">
        <v>2597</v>
      </c>
      <c r="G1095" s="10" t="s">
        <v>888</v>
      </c>
      <c r="H1095" s="10" t="s">
        <v>888</v>
      </c>
      <c r="K1095" t="s">
        <v>19</v>
      </c>
      <c r="L1095" t="s">
        <v>20</v>
      </c>
      <c r="M1095" s="9">
        <v>39229</v>
      </c>
      <c r="N1095" t="s">
        <v>3477</v>
      </c>
      <c r="O1095">
        <v>18</v>
      </c>
      <c r="P1095" t="s">
        <v>3477</v>
      </c>
      <c r="Q1095">
        <v>18</v>
      </c>
      <c r="R1095" s="13">
        <v>128</v>
      </c>
      <c r="S1095" s="13">
        <v>89.6</v>
      </c>
    </row>
    <row r="1096" spans="1:19">
      <c r="A1096" s="9" t="s">
        <v>22</v>
      </c>
      <c r="B1096" s="9" t="s">
        <v>27</v>
      </c>
      <c r="C1096" s="9" t="s">
        <v>50</v>
      </c>
      <c r="D1096" t="s">
        <v>204</v>
      </c>
      <c r="F1096" s="12" t="s">
        <v>2598</v>
      </c>
      <c r="G1096" s="10" t="s">
        <v>888</v>
      </c>
      <c r="H1096" s="10" t="s">
        <v>888</v>
      </c>
      <c r="K1096" t="s">
        <v>19</v>
      </c>
      <c r="L1096" t="s">
        <v>20</v>
      </c>
      <c r="M1096" s="9">
        <v>8481909</v>
      </c>
      <c r="N1096" t="s">
        <v>3477</v>
      </c>
      <c r="O1096">
        <v>18</v>
      </c>
      <c r="P1096" t="s">
        <v>3477</v>
      </c>
      <c r="Q1096">
        <v>18</v>
      </c>
      <c r="R1096" s="13">
        <v>7229</v>
      </c>
      <c r="S1096" s="13">
        <v>5060.2999999999993</v>
      </c>
    </row>
    <row r="1097" spans="1:19">
      <c r="A1097" s="9" t="s">
        <v>22</v>
      </c>
      <c r="B1097" s="9" t="s">
        <v>30</v>
      </c>
      <c r="C1097" s="9" t="s">
        <v>50</v>
      </c>
      <c r="D1097" t="s">
        <v>204</v>
      </c>
      <c r="F1097" s="12" t="s">
        <v>2599</v>
      </c>
      <c r="G1097" s="10" t="s">
        <v>889</v>
      </c>
      <c r="H1097" s="10" t="s">
        <v>889</v>
      </c>
      <c r="K1097" t="s">
        <v>19</v>
      </c>
      <c r="L1097" t="s">
        <v>20</v>
      </c>
      <c r="M1097" s="9">
        <v>8481801</v>
      </c>
      <c r="N1097" t="s">
        <v>3477</v>
      </c>
      <c r="O1097">
        <v>18</v>
      </c>
      <c r="P1097" t="s">
        <v>3477</v>
      </c>
      <c r="Q1097">
        <v>18</v>
      </c>
      <c r="R1097" s="13">
        <v>6981</v>
      </c>
      <c r="S1097" s="13">
        <v>4886.7</v>
      </c>
    </row>
    <row r="1098" spans="1:19">
      <c r="A1098" s="9" t="s">
        <v>22</v>
      </c>
      <c r="B1098" s="9" t="s">
        <v>30</v>
      </c>
      <c r="C1098" s="9" t="s">
        <v>50</v>
      </c>
      <c r="D1098" t="s">
        <v>204</v>
      </c>
      <c r="F1098" s="12" t="s">
        <v>2600</v>
      </c>
      <c r="G1098" s="10" t="s">
        <v>890</v>
      </c>
      <c r="H1098" s="10" t="s">
        <v>890</v>
      </c>
      <c r="K1098" t="s">
        <v>19</v>
      </c>
      <c r="L1098" t="s">
        <v>20</v>
      </c>
      <c r="M1098" s="9">
        <v>8481809</v>
      </c>
      <c r="N1098" t="s">
        <v>3477</v>
      </c>
      <c r="O1098">
        <v>18</v>
      </c>
      <c r="P1098" t="s">
        <v>3477</v>
      </c>
      <c r="Q1098">
        <v>18</v>
      </c>
      <c r="R1098" s="13">
        <v>2938</v>
      </c>
      <c r="S1098" s="13">
        <v>2056.6</v>
      </c>
    </row>
    <row r="1099" spans="1:19">
      <c r="A1099" s="9" t="s">
        <v>22</v>
      </c>
      <c r="B1099" s="9" t="s">
        <v>30</v>
      </c>
      <c r="C1099" s="9" t="s">
        <v>50</v>
      </c>
      <c r="D1099" t="s">
        <v>204</v>
      </c>
      <c r="F1099" s="12" t="s">
        <v>2601</v>
      </c>
      <c r="G1099" s="10" t="s">
        <v>891</v>
      </c>
      <c r="H1099" s="10" t="s">
        <v>891</v>
      </c>
      <c r="K1099" t="s">
        <v>19</v>
      </c>
      <c r="L1099" t="s">
        <v>20</v>
      </c>
      <c r="M1099" s="9">
        <v>39229</v>
      </c>
      <c r="N1099" t="s">
        <v>3477</v>
      </c>
      <c r="O1099">
        <v>18</v>
      </c>
      <c r="P1099" t="s">
        <v>3477</v>
      </c>
      <c r="Q1099">
        <v>18</v>
      </c>
      <c r="R1099" s="13">
        <v>1006</v>
      </c>
      <c r="S1099" s="13">
        <v>704.19999999999993</v>
      </c>
    </row>
    <row r="1100" spans="1:19">
      <c r="A1100" s="9" t="s">
        <v>22</v>
      </c>
      <c r="B1100" s="9" t="s">
        <v>26</v>
      </c>
      <c r="C1100" s="9" t="s">
        <v>50</v>
      </c>
      <c r="D1100" t="s">
        <v>204</v>
      </c>
      <c r="F1100" s="12" t="s">
        <v>2602</v>
      </c>
      <c r="G1100" s="10" t="s">
        <v>892</v>
      </c>
      <c r="H1100" s="10" t="s">
        <v>892</v>
      </c>
      <c r="K1100" t="s">
        <v>19</v>
      </c>
      <c r="L1100" t="s">
        <v>20</v>
      </c>
      <c r="M1100" s="9">
        <v>8481809</v>
      </c>
      <c r="N1100" t="s">
        <v>3477</v>
      </c>
      <c r="O1100">
        <v>18</v>
      </c>
      <c r="P1100" t="s">
        <v>3477</v>
      </c>
      <c r="Q1100">
        <v>18</v>
      </c>
      <c r="R1100" s="13">
        <v>1965</v>
      </c>
      <c r="S1100" s="13">
        <v>1375.5</v>
      </c>
    </row>
    <row r="1101" spans="1:19">
      <c r="A1101" s="9" t="s">
        <v>22</v>
      </c>
      <c r="B1101" s="9" t="s">
        <v>30</v>
      </c>
      <c r="C1101" s="9" t="s">
        <v>50</v>
      </c>
      <c r="D1101" t="s">
        <v>204</v>
      </c>
      <c r="F1101" s="12" t="s">
        <v>2603</v>
      </c>
      <c r="G1101" s="10" t="s">
        <v>893</v>
      </c>
      <c r="H1101" s="10" t="s">
        <v>893</v>
      </c>
      <c r="K1101" t="s">
        <v>19</v>
      </c>
      <c r="L1101" t="s">
        <v>20</v>
      </c>
      <c r="M1101" s="9">
        <v>8481909</v>
      </c>
      <c r="N1101" t="s">
        <v>3477</v>
      </c>
      <c r="O1101">
        <v>18</v>
      </c>
      <c r="P1101" t="s">
        <v>3477</v>
      </c>
      <c r="Q1101">
        <v>18</v>
      </c>
      <c r="R1101" s="13">
        <v>1174</v>
      </c>
      <c r="S1101" s="13">
        <v>821.8</v>
      </c>
    </row>
    <row r="1102" spans="1:19">
      <c r="A1102" s="9" t="s">
        <v>22</v>
      </c>
      <c r="B1102" s="9" t="s">
        <v>31</v>
      </c>
      <c r="C1102" s="9" t="s">
        <v>161</v>
      </c>
      <c r="D1102" t="s">
        <v>204</v>
      </c>
      <c r="F1102" s="12" t="s">
        <v>2604</v>
      </c>
      <c r="G1102" s="10" t="s">
        <v>894</v>
      </c>
      <c r="H1102" s="10" t="s">
        <v>894</v>
      </c>
      <c r="K1102" t="s">
        <v>19</v>
      </c>
      <c r="L1102" t="s">
        <v>20</v>
      </c>
      <c r="M1102" s="9">
        <v>39269099</v>
      </c>
      <c r="N1102" t="s">
        <v>3477</v>
      </c>
      <c r="O1102">
        <v>18</v>
      </c>
      <c r="P1102" t="s">
        <v>3477</v>
      </c>
      <c r="Q1102">
        <v>18</v>
      </c>
      <c r="R1102" s="13">
        <v>648</v>
      </c>
      <c r="S1102" s="13">
        <v>453.59999999999997</v>
      </c>
    </row>
    <row r="1103" spans="1:19">
      <c r="A1103" s="9" t="s">
        <v>23</v>
      </c>
      <c r="B1103" s="9" t="s">
        <v>27</v>
      </c>
      <c r="C1103" s="9"/>
      <c r="D1103" t="s">
        <v>204</v>
      </c>
      <c r="F1103" s="12" t="s">
        <v>2605</v>
      </c>
      <c r="G1103" s="10" t="s">
        <v>894</v>
      </c>
      <c r="H1103" s="10" t="s">
        <v>894</v>
      </c>
      <c r="K1103" t="s">
        <v>19</v>
      </c>
      <c r="L1103" t="s">
        <v>20</v>
      </c>
      <c r="M1103" s="9">
        <v>851822</v>
      </c>
      <c r="N1103" t="s">
        <v>3477</v>
      </c>
      <c r="O1103">
        <v>18</v>
      </c>
      <c r="P1103" t="s">
        <v>3477</v>
      </c>
      <c r="Q1103">
        <v>18</v>
      </c>
      <c r="R1103" s="13">
        <v>56000</v>
      </c>
      <c r="S1103" s="13">
        <v>33600</v>
      </c>
    </row>
    <row r="1104" spans="1:19">
      <c r="A1104" s="9" t="s">
        <v>23</v>
      </c>
      <c r="B1104" s="9" t="s">
        <v>27</v>
      </c>
      <c r="C1104" s="9"/>
      <c r="D1104" t="s">
        <v>204</v>
      </c>
      <c r="F1104" s="12" t="s">
        <v>2606</v>
      </c>
      <c r="G1104" s="10" t="s">
        <v>894</v>
      </c>
      <c r="H1104" s="10" t="s">
        <v>894</v>
      </c>
      <c r="K1104" t="s">
        <v>19</v>
      </c>
      <c r="L1104" t="s">
        <v>20</v>
      </c>
      <c r="M1104" s="9">
        <v>851822</v>
      </c>
      <c r="N1104" t="s">
        <v>3477</v>
      </c>
      <c r="O1104">
        <v>18</v>
      </c>
      <c r="P1104" t="s">
        <v>3477</v>
      </c>
      <c r="Q1104">
        <v>18</v>
      </c>
      <c r="R1104" s="13">
        <v>56000</v>
      </c>
      <c r="S1104" s="13">
        <v>33600</v>
      </c>
    </row>
    <row r="1105" spans="1:19">
      <c r="A1105" s="9" t="s">
        <v>23</v>
      </c>
      <c r="B1105" s="9" t="s">
        <v>27</v>
      </c>
      <c r="C1105" s="9"/>
      <c r="D1105" t="s">
        <v>204</v>
      </c>
      <c r="F1105" s="12" t="s">
        <v>2607</v>
      </c>
      <c r="G1105" s="10" t="s">
        <v>894</v>
      </c>
      <c r="H1105" s="10" t="s">
        <v>894</v>
      </c>
      <c r="K1105" t="s">
        <v>19</v>
      </c>
      <c r="L1105" t="s">
        <v>20</v>
      </c>
      <c r="M1105" s="9">
        <v>851822</v>
      </c>
      <c r="N1105" t="s">
        <v>3477</v>
      </c>
      <c r="O1105">
        <v>18</v>
      </c>
      <c r="P1105" t="s">
        <v>3477</v>
      </c>
      <c r="Q1105">
        <v>18</v>
      </c>
      <c r="R1105" s="13">
        <v>56000</v>
      </c>
      <c r="S1105" s="13">
        <v>33600</v>
      </c>
    </row>
    <row r="1106" spans="1:19">
      <c r="A1106" s="9" t="s">
        <v>23</v>
      </c>
      <c r="B1106" s="9" t="s">
        <v>27</v>
      </c>
      <c r="C1106" s="9"/>
      <c r="D1106" t="s">
        <v>204</v>
      </c>
      <c r="F1106" s="12" t="s">
        <v>2608</v>
      </c>
      <c r="G1106" s="10" t="s">
        <v>894</v>
      </c>
      <c r="H1106" s="10" t="s">
        <v>894</v>
      </c>
      <c r="K1106" t="s">
        <v>19</v>
      </c>
      <c r="L1106" t="s">
        <v>20</v>
      </c>
      <c r="M1106" s="9">
        <v>851822</v>
      </c>
      <c r="N1106" t="s">
        <v>3477</v>
      </c>
      <c r="O1106">
        <v>18</v>
      </c>
      <c r="P1106" t="s">
        <v>3477</v>
      </c>
      <c r="Q1106">
        <v>18</v>
      </c>
      <c r="R1106" s="13">
        <v>51000</v>
      </c>
      <c r="S1106" s="13">
        <v>30600</v>
      </c>
    </row>
    <row r="1107" spans="1:19">
      <c r="A1107" s="9" t="s">
        <v>23</v>
      </c>
      <c r="B1107" s="9" t="s">
        <v>27</v>
      </c>
      <c r="C1107" s="9"/>
      <c r="D1107" t="s">
        <v>204</v>
      </c>
      <c r="F1107" s="12" t="s">
        <v>2609</v>
      </c>
      <c r="G1107" s="10" t="s">
        <v>895</v>
      </c>
      <c r="H1107" s="10" t="s">
        <v>895</v>
      </c>
      <c r="K1107" t="s">
        <v>19</v>
      </c>
      <c r="L1107" t="s">
        <v>20</v>
      </c>
      <c r="M1107" s="9">
        <v>851822</v>
      </c>
      <c r="N1107" t="s">
        <v>3477</v>
      </c>
      <c r="O1107">
        <v>18</v>
      </c>
      <c r="P1107" t="s">
        <v>3477</v>
      </c>
      <c r="Q1107">
        <v>18</v>
      </c>
      <c r="R1107" s="13">
        <v>56000</v>
      </c>
      <c r="S1107" s="13">
        <v>33600</v>
      </c>
    </row>
    <row r="1108" spans="1:19">
      <c r="A1108" s="9" t="s">
        <v>23</v>
      </c>
      <c r="B1108" s="9" t="s">
        <v>27</v>
      </c>
      <c r="C1108" s="9"/>
      <c r="D1108" t="s">
        <v>204</v>
      </c>
      <c r="F1108" s="12" t="s">
        <v>2610</v>
      </c>
      <c r="G1108" s="10" t="s">
        <v>896</v>
      </c>
      <c r="H1108" s="10" t="s">
        <v>896</v>
      </c>
      <c r="K1108" t="s">
        <v>19</v>
      </c>
      <c r="L1108" t="s">
        <v>20</v>
      </c>
      <c r="M1108" s="9">
        <v>851822</v>
      </c>
      <c r="N1108" t="s">
        <v>3477</v>
      </c>
      <c r="O1108">
        <v>18</v>
      </c>
      <c r="P1108" t="s">
        <v>3477</v>
      </c>
      <c r="Q1108">
        <v>18</v>
      </c>
      <c r="R1108" s="13">
        <v>65000</v>
      </c>
      <c r="S1108" s="13">
        <v>39000</v>
      </c>
    </row>
    <row r="1109" spans="1:19">
      <c r="A1109" s="9" t="s">
        <v>22</v>
      </c>
      <c r="B1109" s="9" t="s">
        <v>27</v>
      </c>
      <c r="C1109" s="9" t="s">
        <v>50</v>
      </c>
      <c r="D1109" t="s">
        <v>204</v>
      </c>
      <c r="F1109" s="12" t="s">
        <v>2611</v>
      </c>
      <c r="G1109" s="10" t="s">
        <v>896</v>
      </c>
      <c r="H1109" s="10" t="s">
        <v>896</v>
      </c>
      <c r="K1109" t="s">
        <v>19</v>
      </c>
      <c r="L1109" t="s">
        <v>20</v>
      </c>
      <c r="M1109" s="9">
        <v>7318</v>
      </c>
      <c r="N1109" t="s">
        <v>3477</v>
      </c>
      <c r="O1109">
        <v>18</v>
      </c>
      <c r="P1109" t="s">
        <v>3477</v>
      </c>
      <c r="Q1109">
        <v>18</v>
      </c>
      <c r="R1109" s="13">
        <v>160325</v>
      </c>
      <c r="S1109" s="13">
        <v>112227.5</v>
      </c>
    </row>
    <row r="1110" spans="1:19">
      <c r="A1110" s="9" t="s">
        <v>22</v>
      </c>
      <c r="B1110" s="9" t="s">
        <v>27</v>
      </c>
      <c r="C1110" s="9" t="s">
        <v>50</v>
      </c>
      <c r="D1110" t="s">
        <v>204</v>
      </c>
      <c r="F1110" s="12" t="s">
        <v>2612</v>
      </c>
      <c r="G1110" s="10" t="s">
        <v>897</v>
      </c>
      <c r="H1110" s="10" t="s">
        <v>897</v>
      </c>
      <c r="K1110" t="s">
        <v>19</v>
      </c>
      <c r="L1110" t="s">
        <v>20</v>
      </c>
      <c r="M1110" s="9">
        <v>7318</v>
      </c>
      <c r="N1110" t="s">
        <v>3477</v>
      </c>
      <c r="O1110">
        <v>18</v>
      </c>
      <c r="P1110" t="s">
        <v>3477</v>
      </c>
      <c r="Q1110">
        <v>18</v>
      </c>
      <c r="R1110" s="13">
        <v>592</v>
      </c>
      <c r="S1110" s="13">
        <v>414.4</v>
      </c>
    </row>
    <row r="1111" spans="1:19">
      <c r="A1111" s="9" t="s">
        <v>23</v>
      </c>
      <c r="B1111" s="9" t="s">
        <v>26</v>
      </c>
      <c r="C1111" s="9" t="s">
        <v>82</v>
      </c>
      <c r="D1111" t="s">
        <v>204</v>
      </c>
      <c r="F1111" s="12" t="s">
        <v>2613</v>
      </c>
      <c r="G1111" s="10" t="s">
        <v>898</v>
      </c>
      <c r="H1111" s="10" t="s">
        <v>898</v>
      </c>
      <c r="K1111" t="s">
        <v>19</v>
      </c>
      <c r="L1111" t="s">
        <v>20</v>
      </c>
      <c r="M1111" s="9">
        <v>69101</v>
      </c>
      <c r="N1111" t="s">
        <v>3477</v>
      </c>
      <c r="O1111">
        <v>18</v>
      </c>
      <c r="P1111" t="s">
        <v>3477</v>
      </c>
      <c r="Q1111">
        <v>18</v>
      </c>
      <c r="R1111" s="13">
        <v>260000</v>
      </c>
      <c r="S1111" s="13">
        <v>156000</v>
      </c>
    </row>
    <row r="1112" spans="1:19">
      <c r="A1112" s="9" t="s">
        <v>23</v>
      </c>
      <c r="B1112" s="9" t="s">
        <v>26</v>
      </c>
      <c r="C1112" s="9" t="s">
        <v>82</v>
      </c>
      <c r="D1112" t="s">
        <v>204</v>
      </c>
      <c r="F1112" s="12" t="s">
        <v>2614</v>
      </c>
      <c r="G1112" s="10" t="s">
        <v>899</v>
      </c>
      <c r="H1112" s="10" t="s">
        <v>899</v>
      </c>
      <c r="K1112" t="s">
        <v>19</v>
      </c>
      <c r="L1112" t="s">
        <v>20</v>
      </c>
      <c r="M1112" s="9">
        <v>69101</v>
      </c>
      <c r="N1112" t="s">
        <v>3477</v>
      </c>
      <c r="O1112">
        <v>18</v>
      </c>
      <c r="P1112" t="s">
        <v>3477</v>
      </c>
      <c r="Q1112">
        <v>18</v>
      </c>
      <c r="R1112" s="13">
        <v>260000</v>
      </c>
      <c r="S1112" s="13">
        <v>156000</v>
      </c>
    </row>
    <row r="1113" spans="1:19">
      <c r="A1113" s="9" t="s">
        <v>23</v>
      </c>
      <c r="B1113" s="9" t="s">
        <v>26</v>
      </c>
      <c r="C1113" s="9" t="s">
        <v>82</v>
      </c>
      <c r="D1113" t="s">
        <v>204</v>
      </c>
      <c r="F1113" s="12" t="s">
        <v>2615</v>
      </c>
      <c r="G1113" s="10" t="s">
        <v>900</v>
      </c>
      <c r="H1113" s="10" t="s">
        <v>900</v>
      </c>
      <c r="K1113" t="s">
        <v>19</v>
      </c>
      <c r="L1113" t="s">
        <v>20</v>
      </c>
      <c r="M1113" s="9">
        <v>69101</v>
      </c>
      <c r="N1113" t="s">
        <v>3477</v>
      </c>
      <c r="O1113">
        <v>18</v>
      </c>
      <c r="P1113" t="s">
        <v>3477</v>
      </c>
      <c r="Q1113">
        <v>18</v>
      </c>
      <c r="R1113" s="13">
        <v>280000</v>
      </c>
      <c r="S1113" s="13">
        <v>168000</v>
      </c>
    </row>
    <row r="1114" spans="1:19">
      <c r="A1114" s="9" t="s">
        <v>23</v>
      </c>
      <c r="B1114" s="9" t="s">
        <v>26</v>
      </c>
      <c r="C1114" s="9" t="s">
        <v>82</v>
      </c>
      <c r="D1114" t="s">
        <v>204</v>
      </c>
      <c r="F1114" s="12" t="s">
        <v>2616</v>
      </c>
      <c r="G1114" s="10" t="s">
        <v>901</v>
      </c>
      <c r="H1114" s="10" t="s">
        <v>901</v>
      </c>
      <c r="K1114" t="s">
        <v>19</v>
      </c>
      <c r="L1114" t="s">
        <v>20</v>
      </c>
      <c r="M1114" s="9">
        <v>69101</v>
      </c>
      <c r="N1114" t="s">
        <v>3477</v>
      </c>
      <c r="O1114">
        <v>18</v>
      </c>
      <c r="P1114" t="s">
        <v>3477</v>
      </c>
      <c r="Q1114">
        <v>18</v>
      </c>
      <c r="R1114" s="13">
        <v>280000</v>
      </c>
      <c r="S1114" s="13">
        <v>168000</v>
      </c>
    </row>
    <row r="1115" spans="1:19">
      <c r="A1115" s="9" t="s">
        <v>22</v>
      </c>
      <c r="B1115" s="9" t="s">
        <v>26</v>
      </c>
      <c r="C1115" s="9" t="s">
        <v>150</v>
      </c>
      <c r="D1115" t="s">
        <v>204</v>
      </c>
      <c r="F1115" s="12" t="s">
        <v>2617</v>
      </c>
      <c r="G1115" s="10" t="s">
        <v>902</v>
      </c>
      <c r="H1115" s="10" t="s">
        <v>902</v>
      </c>
      <c r="K1115" t="s">
        <v>19</v>
      </c>
      <c r="L1115" t="s">
        <v>20</v>
      </c>
      <c r="M1115" s="9">
        <v>69101</v>
      </c>
      <c r="N1115" t="s">
        <v>3477</v>
      </c>
      <c r="O1115">
        <v>18</v>
      </c>
      <c r="P1115" t="s">
        <v>3477</v>
      </c>
      <c r="Q1115">
        <v>18</v>
      </c>
      <c r="R1115" s="13">
        <v>19000</v>
      </c>
      <c r="S1115" s="13">
        <v>13300</v>
      </c>
    </row>
    <row r="1116" spans="1:19">
      <c r="A1116" s="9" t="s">
        <v>22</v>
      </c>
      <c r="B1116" s="9" t="s">
        <v>26</v>
      </c>
      <c r="C1116" s="9" t="s">
        <v>43</v>
      </c>
      <c r="D1116" t="s">
        <v>204</v>
      </c>
      <c r="F1116" s="12" t="s">
        <v>2618</v>
      </c>
      <c r="G1116" s="10" t="s">
        <v>903</v>
      </c>
      <c r="H1116" s="10" t="s">
        <v>903</v>
      </c>
      <c r="K1116" t="s">
        <v>19</v>
      </c>
      <c r="L1116" t="s">
        <v>20</v>
      </c>
      <c r="M1116" s="9">
        <v>69101</v>
      </c>
      <c r="N1116" t="s">
        <v>3477</v>
      </c>
      <c r="O1116">
        <v>18</v>
      </c>
      <c r="P1116" t="s">
        <v>3477</v>
      </c>
      <c r="Q1116">
        <v>18</v>
      </c>
      <c r="R1116" s="13">
        <v>18000</v>
      </c>
      <c r="S1116" s="13">
        <v>12600</v>
      </c>
    </row>
    <row r="1117" spans="1:19">
      <c r="A1117" s="9" t="s">
        <v>22</v>
      </c>
      <c r="B1117" s="9" t="s">
        <v>26</v>
      </c>
      <c r="C1117" s="9" t="s">
        <v>43</v>
      </c>
      <c r="D1117" t="s">
        <v>204</v>
      </c>
      <c r="F1117" s="12" t="s">
        <v>2619</v>
      </c>
      <c r="G1117" s="10" t="s">
        <v>904</v>
      </c>
      <c r="H1117" s="10" t="s">
        <v>904</v>
      </c>
      <c r="K1117" t="s">
        <v>19</v>
      </c>
      <c r="L1117" t="s">
        <v>20</v>
      </c>
      <c r="M1117" s="9">
        <v>69101</v>
      </c>
      <c r="N1117" t="s">
        <v>3477</v>
      </c>
      <c r="O1117">
        <v>18</v>
      </c>
      <c r="P1117" t="s">
        <v>3477</v>
      </c>
      <c r="Q1117">
        <v>18</v>
      </c>
      <c r="R1117" s="13">
        <v>21000</v>
      </c>
      <c r="S1117" s="13">
        <v>14699.999999999998</v>
      </c>
    </row>
    <row r="1118" spans="1:19">
      <c r="A1118" s="9" t="s">
        <v>23</v>
      </c>
      <c r="B1118" s="9" t="s">
        <v>34</v>
      </c>
      <c r="C1118" s="9" t="s">
        <v>162</v>
      </c>
      <c r="D1118" t="s">
        <v>204</v>
      </c>
      <c r="F1118" s="12" t="s">
        <v>2620</v>
      </c>
      <c r="G1118" s="10" t="s">
        <v>905</v>
      </c>
      <c r="H1118" s="10" t="s">
        <v>905</v>
      </c>
      <c r="K1118" t="s">
        <v>19</v>
      </c>
      <c r="L1118" t="s">
        <v>20</v>
      </c>
      <c r="M1118" s="9">
        <v>69101</v>
      </c>
      <c r="N1118" t="s">
        <v>3477</v>
      </c>
      <c r="O1118">
        <v>18</v>
      </c>
      <c r="P1118" t="s">
        <v>3477</v>
      </c>
      <c r="Q1118">
        <v>18</v>
      </c>
      <c r="R1118" s="13">
        <v>116950</v>
      </c>
      <c r="S1118" s="13">
        <v>70170</v>
      </c>
    </row>
    <row r="1119" spans="1:19">
      <c r="A1119" s="9" t="s">
        <v>23</v>
      </c>
      <c r="B1119" s="9" t="s">
        <v>34</v>
      </c>
      <c r="C1119" s="9" t="s">
        <v>162</v>
      </c>
      <c r="D1119" t="s">
        <v>204</v>
      </c>
      <c r="F1119" s="12" t="s">
        <v>2621</v>
      </c>
      <c r="G1119" s="10" t="s">
        <v>906</v>
      </c>
      <c r="H1119" s="10" t="s">
        <v>906</v>
      </c>
      <c r="K1119" t="s">
        <v>19</v>
      </c>
      <c r="L1119" t="s">
        <v>20</v>
      </c>
      <c r="M1119" s="9">
        <v>69101</v>
      </c>
      <c r="N1119" t="s">
        <v>3477</v>
      </c>
      <c r="O1119">
        <v>18</v>
      </c>
      <c r="P1119" t="s">
        <v>3477</v>
      </c>
      <c r="Q1119">
        <v>18</v>
      </c>
      <c r="R1119" s="13">
        <v>117950</v>
      </c>
      <c r="S1119" s="13">
        <v>70770</v>
      </c>
    </row>
    <row r="1120" spans="1:19">
      <c r="A1120" s="9" t="s">
        <v>23</v>
      </c>
      <c r="B1120" s="9" t="s">
        <v>34</v>
      </c>
      <c r="C1120" s="9" t="s">
        <v>162</v>
      </c>
      <c r="D1120" t="s">
        <v>204</v>
      </c>
      <c r="F1120" s="12" t="s">
        <v>2622</v>
      </c>
      <c r="G1120" s="10" t="s">
        <v>907</v>
      </c>
      <c r="H1120" s="10" t="s">
        <v>907</v>
      </c>
      <c r="K1120" t="s">
        <v>19</v>
      </c>
      <c r="L1120" t="s">
        <v>20</v>
      </c>
      <c r="M1120" s="9">
        <v>69101</v>
      </c>
      <c r="N1120" t="s">
        <v>3477</v>
      </c>
      <c r="O1120">
        <v>18</v>
      </c>
      <c r="P1120" t="s">
        <v>3477</v>
      </c>
      <c r="Q1120">
        <v>18</v>
      </c>
      <c r="R1120" s="13">
        <v>110950</v>
      </c>
      <c r="S1120" s="13">
        <v>66570</v>
      </c>
    </row>
    <row r="1121" spans="1:19">
      <c r="A1121" s="9" t="s">
        <v>23</v>
      </c>
      <c r="B1121" s="9" t="s">
        <v>34</v>
      </c>
      <c r="C1121" s="9" t="s">
        <v>162</v>
      </c>
      <c r="D1121" t="s">
        <v>204</v>
      </c>
      <c r="F1121" s="12" t="s">
        <v>2623</v>
      </c>
      <c r="G1121" s="10" t="s">
        <v>908</v>
      </c>
      <c r="H1121" s="10" t="s">
        <v>908</v>
      </c>
      <c r="K1121" t="s">
        <v>19</v>
      </c>
      <c r="L1121" t="s">
        <v>20</v>
      </c>
      <c r="M1121" s="9">
        <v>94036</v>
      </c>
      <c r="N1121" t="s">
        <v>3477</v>
      </c>
      <c r="O1121">
        <v>18</v>
      </c>
      <c r="P1121" t="s">
        <v>3477</v>
      </c>
      <c r="Q1121">
        <v>18</v>
      </c>
      <c r="R1121" s="13">
        <v>117950</v>
      </c>
      <c r="S1121" s="13">
        <v>70770</v>
      </c>
    </row>
    <row r="1122" spans="1:19">
      <c r="A1122" s="9" t="s">
        <v>22</v>
      </c>
      <c r="B1122" s="9" t="s">
        <v>26</v>
      </c>
      <c r="C1122" s="9" t="s">
        <v>80</v>
      </c>
      <c r="D1122" t="s">
        <v>204</v>
      </c>
      <c r="F1122" s="12" t="s">
        <v>2624</v>
      </c>
      <c r="G1122" s="10" t="s">
        <v>908</v>
      </c>
      <c r="H1122" s="10" t="s">
        <v>908</v>
      </c>
      <c r="K1122" t="s">
        <v>19</v>
      </c>
      <c r="L1122" t="s">
        <v>20</v>
      </c>
      <c r="M1122" s="9">
        <v>69101</v>
      </c>
      <c r="N1122" t="s">
        <v>3477</v>
      </c>
      <c r="O1122">
        <v>18</v>
      </c>
      <c r="P1122" t="s">
        <v>3477</v>
      </c>
      <c r="Q1122">
        <v>18</v>
      </c>
      <c r="R1122" s="13">
        <v>12000</v>
      </c>
      <c r="S1122" s="13">
        <v>8400</v>
      </c>
    </row>
    <row r="1123" spans="1:19">
      <c r="A1123" s="9" t="s">
        <v>22</v>
      </c>
      <c r="B1123" s="9" t="s">
        <v>26</v>
      </c>
      <c r="C1123" s="9" t="s">
        <v>80</v>
      </c>
      <c r="D1123" t="s">
        <v>204</v>
      </c>
      <c r="F1123" s="12" t="s">
        <v>2624</v>
      </c>
      <c r="G1123" s="10" t="s">
        <v>909</v>
      </c>
      <c r="H1123" s="10" t="s">
        <v>909</v>
      </c>
      <c r="K1123" t="s">
        <v>19</v>
      </c>
      <c r="L1123" t="s">
        <v>20</v>
      </c>
      <c r="M1123" s="9">
        <v>69101</v>
      </c>
      <c r="N1123" t="s">
        <v>3477</v>
      </c>
      <c r="O1123">
        <v>18</v>
      </c>
      <c r="P1123" t="s">
        <v>3477</v>
      </c>
      <c r="Q1123">
        <v>18</v>
      </c>
      <c r="R1123" s="13">
        <v>12000</v>
      </c>
      <c r="S1123" s="13">
        <v>8400</v>
      </c>
    </row>
    <row r="1124" spans="1:19">
      <c r="A1124" s="9" t="s">
        <v>22</v>
      </c>
      <c r="B1124" s="9" t="s">
        <v>26</v>
      </c>
      <c r="C1124" s="9" t="s">
        <v>80</v>
      </c>
      <c r="D1124" t="s">
        <v>204</v>
      </c>
      <c r="F1124" s="12" t="s">
        <v>2625</v>
      </c>
      <c r="G1124" s="10" t="s">
        <v>909</v>
      </c>
      <c r="H1124" s="10" t="s">
        <v>909</v>
      </c>
      <c r="K1124" t="s">
        <v>19</v>
      </c>
      <c r="L1124" t="s">
        <v>20</v>
      </c>
      <c r="M1124" s="9">
        <v>69101</v>
      </c>
      <c r="N1124" t="s">
        <v>3477</v>
      </c>
      <c r="O1124">
        <v>18</v>
      </c>
      <c r="P1124" t="s">
        <v>3477</v>
      </c>
      <c r="Q1124">
        <v>18</v>
      </c>
      <c r="R1124" s="13">
        <v>15000</v>
      </c>
      <c r="S1124" s="13">
        <v>10500</v>
      </c>
    </row>
    <row r="1125" spans="1:19">
      <c r="A1125" s="9" t="s">
        <v>22</v>
      </c>
      <c r="B1125" s="9" t="s">
        <v>26</v>
      </c>
      <c r="C1125" s="9" t="s">
        <v>80</v>
      </c>
      <c r="D1125" t="s">
        <v>204</v>
      </c>
      <c r="F1125" s="12" t="s">
        <v>2625</v>
      </c>
      <c r="G1125" s="10" t="s">
        <v>910</v>
      </c>
      <c r="H1125" s="10" t="s">
        <v>910</v>
      </c>
      <c r="K1125" t="s">
        <v>19</v>
      </c>
      <c r="L1125" t="s">
        <v>20</v>
      </c>
      <c r="M1125" s="9">
        <v>69101</v>
      </c>
      <c r="N1125" t="s">
        <v>3477</v>
      </c>
      <c r="O1125">
        <v>18</v>
      </c>
      <c r="P1125" t="s">
        <v>3477</v>
      </c>
      <c r="Q1125">
        <v>18</v>
      </c>
      <c r="R1125" s="13">
        <v>15000</v>
      </c>
      <c r="S1125" s="13">
        <v>10500</v>
      </c>
    </row>
    <row r="1126" spans="1:19">
      <c r="A1126" s="9" t="s">
        <v>22</v>
      </c>
      <c r="B1126" s="9" t="s">
        <v>26</v>
      </c>
      <c r="C1126" s="9" t="s">
        <v>70</v>
      </c>
      <c r="D1126" t="s">
        <v>204</v>
      </c>
      <c r="F1126" s="12" t="s">
        <v>2626</v>
      </c>
      <c r="G1126" s="10" t="s">
        <v>911</v>
      </c>
      <c r="H1126" s="10" t="s">
        <v>911</v>
      </c>
      <c r="K1126" t="s">
        <v>19</v>
      </c>
      <c r="L1126" t="s">
        <v>20</v>
      </c>
      <c r="M1126" s="9">
        <v>69101</v>
      </c>
      <c r="N1126" t="s">
        <v>3477</v>
      </c>
      <c r="O1126">
        <v>18</v>
      </c>
      <c r="P1126" t="s">
        <v>3477</v>
      </c>
      <c r="Q1126">
        <v>18</v>
      </c>
      <c r="R1126" s="13">
        <v>9200</v>
      </c>
      <c r="S1126" s="13">
        <v>6440</v>
      </c>
    </row>
    <row r="1127" spans="1:19">
      <c r="A1127" s="9" t="s">
        <v>22</v>
      </c>
      <c r="B1127" s="9" t="s">
        <v>26</v>
      </c>
      <c r="C1127" s="9" t="s">
        <v>157</v>
      </c>
      <c r="D1127" t="s">
        <v>204</v>
      </c>
      <c r="F1127" s="12" t="s">
        <v>2627</v>
      </c>
      <c r="G1127" s="10" t="s">
        <v>912</v>
      </c>
      <c r="H1127" s="10" t="s">
        <v>912</v>
      </c>
      <c r="K1127" t="s">
        <v>19</v>
      </c>
      <c r="L1127" t="s">
        <v>20</v>
      </c>
      <c r="M1127" s="9">
        <v>69101</v>
      </c>
      <c r="N1127" t="s">
        <v>3477</v>
      </c>
      <c r="O1127">
        <v>18</v>
      </c>
      <c r="P1127" t="s">
        <v>3477</v>
      </c>
      <c r="Q1127">
        <v>18</v>
      </c>
      <c r="R1127" s="13">
        <v>9200</v>
      </c>
      <c r="S1127" s="13">
        <v>6440</v>
      </c>
    </row>
    <row r="1128" spans="1:19">
      <c r="A1128" s="9" t="s">
        <v>24</v>
      </c>
      <c r="B1128" s="9" t="s">
        <v>33</v>
      </c>
      <c r="C1128" s="9" t="s">
        <v>147</v>
      </c>
      <c r="D1128" t="s">
        <v>204</v>
      </c>
      <c r="F1128" s="12" t="s">
        <v>2628</v>
      </c>
      <c r="G1128" s="10" t="s">
        <v>912</v>
      </c>
      <c r="H1128" s="10" t="s">
        <v>912</v>
      </c>
      <c r="K1128" t="s">
        <v>19</v>
      </c>
      <c r="L1128" t="s">
        <v>20</v>
      </c>
      <c r="M1128" s="9">
        <v>700991</v>
      </c>
      <c r="N1128" t="s">
        <v>3477</v>
      </c>
      <c r="O1128">
        <v>18</v>
      </c>
      <c r="P1128" t="s">
        <v>3477</v>
      </c>
      <c r="Q1128">
        <v>18</v>
      </c>
      <c r="R1128" s="13">
        <v>17500</v>
      </c>
      <c r="S1128" s="13">
        <v>13125</v>
      </c>
    </row>
    <row r="1129" spans="1:19">
      <c r="A1129" s="9" t="s">
        <v>24</v>
      </c>
      <c r="B1129" s="9" t="s">
        <v>33</v>
      </c>
      <c r="C1129" s="9" t="s">
        <v>147</v>
      </c>
      <c r="D1129" t="s">
        <v>204</v>
      </c>
      <c r="F1129" s="12" t="s">
        <v>2629</v>
      </c>
      <c r="G1129" s="10" t="s">
        <v>913</v>
      </c>
      <c r="H1129" s="10" t="s">
        <v>913</v>
      </c>
      <c r="K1129" t="s">
        <v>19</v>
      </c>
      <c r="L1129" t="s">
        <v>20</v>
      </c>
      <c r="M1129" s="9">
        <v>700991</v>
      </c>
      <c r="N1129" t="s">
        <v>3477</v>
      </c>
      <c r="O1129">
        <v>18</v>
      </c>
      <c r="P1129" t="s">
        <v>3477</v>
      </c>
      <c r="Q1129">
        <v>18</v>
      </c>
      <c r="R1129" s="13">
        <v>17500</v>
      </c>
      <c r="S1129" s="13">
        <v>13125</v>
      </c>
    </row>
    <row r="1130" spans="1:19">
      <c r="A1130" s="9" t="s">
        <v>24</v>
      </c>
      <c r="B1130" s="9" t="s">
        <v>33</v>
      </c>
      <c r="C1130" s="9" t="s">
        <v>147</v>
      </c>
      <c r="D1130" t="s">
        <v>204</v>
      </c>
      <c r="F1130" s="12" t="s">
        <v>2630</v>
      </c>
      <c r="G1130" s="10" t="s">
        <v>913</v>
      </c>
      <c r="H1130" s="10" t="s">
        <v>913</v>
      </c>
      <c r="K1130" t="s">
        <v>19</v>
      </c>
      <c r="L1130" t="s">
        <v>20</v>
      </c>
      <c r="M1130" s="9">
        <v>700991</v>
      </c>
      <c r="N1130" t="s">
        <v>3477</v>
      </c>
      <c r="O1130">
        <v>18</v>
      </c>
      <c r="P1130" t="s">
        <v>3477</v>
      </c>
      <c r="Q1130">
        <v>18</v>
      </c>
      <c r="R1130" s="13">
        <v>16500</v>
      </c>
      <c r="S1130" s="13">
        <v>12375</v>
      </c>
    </row>
    <row r="1131" spans="1:19">
      <c r="A1131" s="9" t="s">
        <v>24</v>
      </c>
      <c r="B1131" s="9" t="s">
        <v>33</v>
      </c>
      <c r="C1131" s="9" t="s">
        <v>147</v>
      </c>
      <c r="D1131" t="s">
        <v>204</v>
      </c>
      <c r="F1131" s="12" t="s">
        <v>2631</v>
      </c>
      <c r="G1131" s="10" t="s">
        <v>914</v>
      </c>
      <c r="H1131" s="10" t="s">
        <v>914</v>
      </c>
      <c r="K1131" t="s">
        <v>19</v>
      </c>
      <c r="L1131" t="s">
        <v>20</v>
      </c>
      <c r="M1131" s="9">
        <v>700991</v>
      </c>
      <c r="N1131" t="s">
        <v>3477</v>
      </c>
      <c r="O1131">
        <v>18</v>
      </c>
      <c r="P1131" t="s">
        <v>3477</v>
      </c>
      <c r="Q1131">
        <v>18</v>
      </c>
      <c r="R1131" s="13">
        <v>16500</v>
      </c>
      <c r="S1131" s="13">
        <v>12375</v>
      </c>
    </row>
    <row r="1132" spans="1:19">
      <c r="A1132" s="9" t="s">
        <v>23</v>
      </c>
      <c r="B1132" s="9" t="s">
        <v>26</v>
      </c>
      <c r="C1132" s="9" t="s">
        <v>157</v>
      </c>
      <c r="D1132" t="s">
        <v>204</v>
      </c>
      <c r="F1132" s="12" t="s">
        <v>2632</v>
      </c>
      <c r="G1132" s="10" t="s">
        <v>915</v>
      </c>
      <c r="H1132" s="10" t="s">
        <v>915</v>
      </c>
      <c r="K1132" t="s">
        <v>19</v>
      </c>
      <c r="L1132" t="s">
        <v>20</v>
      </c>
      <c r="M1132" s="9">
        <v>69101</v>
      </c>
      <c r="N1132" t="s">
        <v>3477</v>
      </c>
      <c r="O1132">
        <v>18</v>
      </c>
      <c r="P1132" t="s">
        <v>3477</v>
      </c>
      <c r="Q1132">
        <v>18</v>
      </c>
      <c r="R1132" s="13">
        <v>36000</v>
      </c>
      <c r="S1132" s="13">
        <v>21600</v>
      </c>
    </row>
    <row r="1133" spans="1:19">
      <c r="A1133" s="9" t="s">
        <v>24</v>
      </c>
      <c r="B1133" s="9" t="s">
        <v>39</v>
      </c>
      <c r="C1133" s="9" t="s">
        <v>157</v>
      </c>
      <c r="D1133" t="s">
        <v>204</v>
      </c>
      <c r="F1133" s="12" t="s">
        <v>2633</v>
      </c>
      <c r="G1133" s="10" t="s">
        <v>916</v>
      </c>
      <c r="H1133" s="10" t="s">
        <v>916</v>
      </c>
      <c r="K1133" t="s">
        <v>19</v>
      </c>
      <c r="L1133" t="s">
        <v>20</v>
      </c>
      <c r="M1133" s="9">
        <v>69101</v>
      </c>
      <c r="N1133" t="s">
        <v>3477</v>
      </c>
      <c r="O1133">
        <v>18</v>
      </c>
      <c r="P1133" t="s">
        <v>3477</v>
      </c>
      <c r="Q1133">
        <v>18</v>
      </c>
      <c r="R1133" s="13">
        <v>3500</v>
      </c>
      <c r="S1133" s="13">
        <v>2625</v>
      </c>
    </row>
    <row r="1134" spans="1:19">
      <c r="A1134" s="9" t="s">
        <v>23</v>
      </c>
      <c r="B1134" s="9" t="s">
        <v>26</v>
      </c>
      <c r="C1134" s="9" t="s">
        <v>80</v>
      </c>
      <c r="D1134" t="s">
        <v>204</v>
      </c>
      <c r="F1134" s="12" t="s">
        <v>2634</v>
      </c>
      <c r="G1134" s="10" t="s">
        <v>917</v>
      </c>
      <c r="H1134" s="10" t="s">
        <v>917</v>
      </c>
      <c r="K1134" t="s">
        <v>19</v>
      </c>
      <c r="L1134" t="s">
        <v>20</v>
      </c>
      <c r="M1134" s="9">
        <v>69101</v>
      </c>
      <c r="N1134" t="s">
        <v>3477</v>
      </c>
      <c r="O1134">
        <v>18</v>
      </c>
      <c r="P1134" t="s">
        <v>3477</v>
      </c>
      <c r="Q1134">
        <v>18</v>
      </c>
      <c r="R1134" s="13">
        <v>60000</v>
      </c>
      <c r="S1134" s="13">
        <v>36000</v>
      </c>
    </row>
    <row r="1135" spans="1:19">
      <c r="A1135" s="9" t="s">
        <v>23</v>
      </c>
      <c r="B1135" s="9" t="s">
        <v>25</v>
      </c>
      <c r="C1135" s="9" t="s">
        <v>163</v>
      </c>
      <c r="D1135" t="s">
        <v>204</v>
      </c>
      <c r="F1135" s="12" t="s">
        <v>2635</v>
      </c>
      <c r="G1135" s="10" t="s">
        <v>918</v>
      </c>
      <c r="H1135" s="10" t="s">
        <v>918</v>
      </c>
      <c r="K1135" t="s">
        <v>19</v>
      </c>
      <c r="L1135" t="s">
        <v>20</v>
      </c>
      <c r="M1135" s="9">
        <v>6810999</v>
      </c>
      <c r="N1135" t="s">
        <v>3477</v>
      </c>
      <c r="O1135">
        <v>18</v>
      </c>
      <c r="P1135" t="s">
        <v>3477</v>
      </c>
      <c r="Q1135">
        <v>18</v>
      </c>
      <c r="R1135" s="13">
        <v>45000</v>
      </c>
      <c r="S1135" s="13">
        <v>27000</v>
      </c>
    </row>
    <row r="1136" spans="1:19">
      <c r="A1136" s="9" t="s">
        <v>23</v>
      </c>
      <c r="B1136" s="9" t="s">
        <v>25</v>
      </c>
      <c r="C1136" s="9" t="s">
        <v>163</v>
      </c>
      <c r="D1136" t="s">
        <v>204</v>
      </c>
      <c r="F1136" s="12" t="s">
        <v>2636</v>
      </c>
      <c r="G1136" s="10" t="s">
        <v>919</v>
      </c>
      <c r="H1136" s="10" t="s">
        <v>919</v>
      </c>
      <c r="K1136" t="s">
        <v>19</v>
      </c>
      <c r="L1136" t="s">
        <v>20</v>
      </c>
      <c r="M1136" s="9">
        <v>6810999</v>
      </c>
      <c r="N1136" t="s">
        <v>3477</v>
      </c>
      <c r="O1136">
        <v>18</v>
      </c>
      <c r="P1136" t="s">
        <v>3477</v>
      </c>
      <c r="Q1136">
        <v>18</v>
      </c>
      <c r="R1136" s="13">
        <v>70000</v>
      </c>
      <c r="S1136" s="13">
        <v>42000</v>
      </c>
    </row>
    <row r="1137" spans="1:19">
      <c r="A1137" s="9" t="s">
        <v>24</v>
      </c>
      <c r="B1137" s="9" t="s">
        <v>33</v>
      </c>
      <c r="C1137" s="9" t="s">
        <v>147</v>
      </c>
      <c r="D1137" t="s">
        <v>204</v>
      </c>
      <c r="F1137" s="12" t="s">
        <v>2637</v>
      </c>
      <c r="G1137" s="10" t="s">
        <v>920</v>
      </c>
      <c r="H1137" s="10" t="s">
        <v>920</v>
      </c>
      <c r="K1137" t="s">
        <v>19</v>
      </c>
      <c r="L1137" t="s">
        <v>20</v>
      </c>
      <c r="M1137" s="9">
        <v>940389</v>
      </c>
      <c r="N1137" t="s">
        <v>3477</v>
      </c>
      <c r="O1137">
        <v>18</v>
      </c>
      <c r="P1137" t="s">
        <v>3477</v>
      </c>
      <c r="Q1137">
        <v>18</v>
      </c>
      <c r="R1137" s="13">
        <v>13000</v>
      </c>
      <c r="S1137" s="13">
        <v>9750</v>
      </c>
    </row>
    <row r="1138" spans="1:19">
      <c r="A1138" s="9" t="s">
        <v>22</v>
      </c>
      <c r="B1138" s="9" t="s">
        <v>26</v>
      </c>
      <c r="C1138" s="9" t="s">
        <v>43</v>
      </c>
      <c r="D1138" t="s">
        <v>204</v>
      </c>
      <c r="F1138" s="12" t="s">
        <v>2638</v>
      </c>
      <c r="G1138" s="10" t="s">
        <v>921</v>
      </c>
      <c r="H1138" s="10" t="s">
        <v>921</v>
      </c>
      <c r="K1138" t="s">
        <v>19</v>
      </c>
      <c r="L1138" t="s">
        <v>20</v>
      </c>
      <c r="M1138" s="9">
        <v>69101</v>
      </c>
      <c r="N1138" t="s">
        <v>3477</v>
      </c>
      <c r="O1138">
        <v>18</v>
      </c>
      <c r="P1138" t="s">
        <v>3477</v>
      </c>
      <c r="Q1138">
        <v>18</v>
      </c>
      <c r="R1138" s="13">
        <v>96000</v>
      </c>
      <c r="S1138" s="13">
        <v>67200</v>
      </c>
    </row>
    <row r="1139" spans="1:19">
      <c r="A1139" s="9" t="s">
        <v>23</v>
      </c>
      <c r="B1139" s="9" t="s">
        <v>27</v>
      </c>
      <c r="C1139" s="9" t="s">
        <v>100</v>
      </c>
      <c r="D1139" t="s">
        <v>204</v>
      </c>
      <c r="F1139" s="12" t="s">
        <v>2639</v>
      </c>
      <c r="G1139" s="10" t="s">
        <v>922</v>
      </c>
      <c r="H1139" s="10" t="s">
        <v>922</v>
      </c>
      <c r="K1139" t="s">
        <v>19</v>
      </c>
      <c r="L1139" t="s">
        <v>20</v>
      </c>
      <c r="M1139" s="9">
        <v>8481802</v>
      </c>
      <c r="N1139" t="s">
        <v>3477</v>
      </c>
      <c r="O1139">
        <v>18</v>
      </c>
      <c r="P1139" t="s">
        <v>3477</v>
      </c>
      <c r="Q1139">
        <v>18</v>
      </c>
      <c r="R1139" s="13">
        <v>270000</v>
      </c>
      <c r="S1139" s="13">
        <v>162000</v>
      </c>
    </row>
    <row r="1140" spans="1:19">
      <c r="A1140" s="9" t="s">
        <v>23</v>
      </c>
      <c r="B1140" s="9" t="s">
        <v>26</v>
      </c>
      <c r="C1140" s="9" t="s">
        <v>80</v>
      </c>
      <c r="D1140" t="s">
        <v>204</v>
      </c>
      <c r="F1140" s="12" t="s">
        <v>2640</v>
      </c>
      <c r="G1140" s="10" t="s">
        <v>923</v>
      </c>
      <c r="H1140" s="10" t="s">
        <v>923</v>
      </c>
      <c r="K1140" t="s">
        <v>19</v>
      </c>
      <c r="L1140" t="s">
        <v>20</v>
      </c>
      <c r="M1140" s="9">
        <v>69101</v>
      </c>
      <c r="N1140" t="s">
        <v>3477</v>
      </c>
      <c r="O1140">
        <v>18</v>
      </c>
      <c r="P1140" t="s">
        <v>3477</v>
      </c>
      <c r="Q1140">
        <v>18</v>
      </c>
      <c r="R1140" s="13">
        <v>26000</v>
      </c>
      <c r="S1140" s="13">
        <v>15600</v>
      </c>
    </row>
    <row r="1141" spans="1:19">
      <c r="A1141" s="9" t="s">
        <v>23</v>
      </c>
      <c r="B1141" s="9" t="s">
        <v>26</v>
      </c>
      <c r="C1141" s="9" t="s">
        <v>80</v>
      </c>
      <c r="D1141" t="s">
        <v>204</v>
      </c>
      <c r="F1141" s="12" t="s">
        <v>2641</v>
      </c>
      <c r="G1141" s="10" t="s">
        <v>924</v>
      </c>
      <c r="H1141" s="10" t="s">
        <v>924</v>
      </c>
      <c r="K1141" t="s">
        <v>19</v>
      </c>
      <c r="L1141" t="s">
        <v>20</v>
      </c>
      <c r="M1141" s="9">
        <v>69101</v>
      </c>
      <c r="N1141" t="s">
        <v>3477</v>
      </c>
      <c r="O1141">
        <v>18</v>
      </c>
      <c r="P1141" t="s">
        <v>3477</v>
      </c>
      <c r="Q1141">
        <v>18</v>
      </c>
      <c r="R1141" s="13">
        <v>24000</v>
      </c>
      <c r="S1141" s="13">
        <v>14400</v>
      </c>
    </row>
    <row r="1142" spans="1:19">
      <c r="A1142" s="9" t="s">
        <v>24</v>
      </c>
      <c r="B1142" s="9" t="s">
        <v>33</v>
      </c>
      <c r="C1142" s="9" t="s">
        <v>147</v>
      </c>
      <c r="D1142" t="s">
        <v>204</v>
      </c>
      <c r="F1142" s="12" t="s">
        <v>2642</v>
      </c>
      <c r="G1142" s="10" t="s">
        <v>924</v>
      </c>
      <c r="H1142" s="10" t="s">
        <v>924</v>
      </c>
      <c r="K1142" t="s">
        <v>19</v>
      </c>
      <c r="L1142" t="s">
        <v>20</v>
      </c>
      <c r="M1142" s="9">
        <v>700992</v>
      </c>
      <c r="N1142" t="s">
        <v>3477</v>
      </c>
      <c r="O1142">
        <v>18</v>
      </c>
      <c r="P1142" t="s">
        <v>3477</v>
      </c>
      <c r="Q1142">
        <v>18</v>
      </c>
      <c r="R1142" s="13">
        <v>9800</v>
      </c>
      <c r="S1142" s="13">
        <v>7350</v>
      </c>
    </row>
    <row r="1143" spans="1:19">
      <c r="A1143" s="9" t="s">
        <v>24</v>
      </c>
      <c r="B1143" s="9" t="s">
        <v>33</v>
      </c>
      <c r="C1143" s="9" t="s">
        <v>147</v>
      </c>
      <c r="D1143" t="s">
        <v>204</v>
      </c>
      <c r="F1143" s="12" t="s">
        <v>2643</v>
      </c>
      <c r="G1143" s="10" t="s">
        <v>925</v>
      </c>
      <c r="H1143" s="10" t="s">
        <v>925</v>
      </c>
      <c r="K1143" t="s">
        <v>19</v>
      </c>
      <c r="L1143" t="s">
        <v>20</v>
      </c>
      <c r="M1143" s="9">
        <v>700992</v>
      </c>
      <c r="N1143" t="s">
        <v>3477</v>
      </c>
      <c r="O1143">
        <v>18</v>
      </c>
      <c r="P1143" t="s">
        <v>3477</v>
      </c>
      <c r="Q1143">
        <v>18</v>
      </c>
      <c r="R1143" s="13">
        <v>9800</v>
      </c>
      <c r="S1143" s="13">
        <v>7350</v>
      </c>
    </row>
    <row r="1144" spans="1:19">
      <c r="A1144" s="9" t="s">
        <v>23</v>
      </c>
      <c r="B1144" s="9" t="s">
        <v>33</v>
      </c>
      <c r="C1144" s="9" t="s">
        <v>164</v>
      </c>
      <c r="D1144" t="s">
        <v>204</v>
      </c>
      <c r="F1144" s="12" t="s">
        <v>2644</v>
      </c>
      <c r="G1144" s="10" t="s">
        <v>926</v>
      </c>
      <c r="H1144" s="10" t="s">
        <v>926</v>
      </c>
      <c r="K1144" t="s">
        <v>19</v>
      </c>
      <c r="L1144" t="s">
        <v>20</v>
      </c>
      <c r="M1144" s="9">
        <v>700991</v>
      </c>
      <c r="N1144" t="s">
        <v>3477</v>
      </c>
      <c r="O1144">
        <v>18</v>
      </c>
      <c r="P1144" t="s">
        <v>3477</v>
      </c>
      <c r="Q1144">
        <v>18</v>
      </c>
      <c r="R1144" s="13">
        <v>42000</v>
      </c>
      <c r="S1144" s="13">
        <v>25200</v>
      </c>
    </row>
    <row r="1145" spans="1:19">
      <c r="A1145" s="9" t="s">
        <v>24</v>
      </c>
      <c r="B1145" s="9" t="s">
        <v>26</v>
      </c>
      <c r="C1145" s="9" t="s">
        <v>70</v>
      </c>
      <c r="D1145" t="s">
        <v>204</v>
      </c>
      <c r="F1145" s="12" t="s">
        <v>2645</v>
      </c>
      <c r="G1145" s="10" t="s">
        <v>927</v>
      </c>
      <c r="H1145" s="10" t="s">
        <v>927</v>
      </c>
      <c r="K1145" t="s">
        <v>19</v>
      </c>
      <c r="L1145" t="s">
        <v>20</v>
      </c>
      <c r="M1145" s="9">
        <v>69101</v>
      </c>
      <c r="N1145" t="s">
        <v>3477</v>
      </c>
      <c r="O1145">
        <v>18</v>
      </c>
      <c r="P1145" t="s">
        <v>3477</v>
      </c>
      <c r="Q1145">
        <v>18</v>
      </c>
      <c r="R1145" s="13">
        <v>5400</v>
      </c>
      <c r="S1145" s="13">
        <v>4050</v>
      </c>
    </row>
    <row r="1146" spans="1:19">
      <c r="A1146" s="9" t="s">
        <v>24</v>
      </c>
      <c r="B1146" s="9" t="s">
        <v>26</v>
      </c>
      <c r="C1146" s="9" t="s">
        <v>80</v>
      </c>
      <c r="D1146" t="s">
        <v>204</v>
      </c>
      <c r="F1146" s="12" t="s">
        <v>2646</v>
      </c>
      <c r="G1146" s="10" t="s">
        <v>928</v>
      </c>
      <c r="H1146" s="10" t="s">
        <v>928</v>
      </c>
      <c r="K1146" t="s">
        <v>19</v>
      </c>
      <c r="L1146" t="s">
        <v>20</v>
      </c>
      <c r="M1146" s="9">
        <v>69101</v>
      </c>
      <c r="N1146" t="s">
        <v>3477</v>
      </c>
      <c r="O1146">
        <v>18</v>
      </c>
      <c r="P1146" t="s">
        <v>3477</v>
      </c>
      <c r="Q1146">
        <v>18</v>
      </c>
      <c r="R1146" s="13">
        <v>6650</v>
      </c>
      <c r="S1146" s="13">
        <v>4987.5</v>
      </c>
    </row>
    <row r="1147" spans="1:19">
      <c r="A1147" s="9" t="s">
        <v>24</v>
      </c>
      <c r="B1147" s="9" t="s">
        <v>26</v>
      </c>
      <c r="C1147" s="9" t="s">
        <v>70</v>
      </c>
      <c r="D1147" t="s">
        <v>204</v>
      </c>
      <c r="F1147" s="12" t="s">
        <v>2647</v>
      </c>
      <c r="G1147" s="10" t="s">
        <v>929</v>
      </c>
      <c r="H1147" s="10" t="s">
        <v>929</v>
      </c>
      <c r="K1147" t="s">
        <v>19</v>
      </c>
      <c r="L1147" t="s">
        <v>20</v>
      </c>
      <c r="M1147" s="9">
        <v>69101</v>
      </c>
      <c r="N1147" t="s">
        <v>3477</v>
      </c>
      <c r="O1147">
        <v>18</v>
      </c>
      <c r="P1147" t="s">
        <v>3477</v>
      </c>
      <c r="Q1147">
        <v>18</v>
      </c>
      <c r="R1147" s="13">
        <v>5650</v>
      </c>
      <c r="S1147" s="13">
        <v>4237.5</v>
      </c>
    </row>
    <row r="1148" spans="1:19">
      <c r="A1148" s="9" t="s">
        <v>22</v>
      </c>
      <c r="B1148" s="9" t="s">
        <v>26</v>
      </c>
      <c r="C1148" s="9" t="s">
        <v>70</v>
      </c>
      <c r="D1148" t="s">
        <v>204</v>
      </c>
      <c r="F1148" s="12" t="s">
        <v>2648</v>
      </c>
      <c r="G1148" s="10" t="s">
        <v>930</v>
      </c>
      <c r="H1148" s="10" t="s">
        <v>930</v>
      </c>
      <c r="K1148" t="s">
        <v>19</v>
      </c>
      <c r="L1148" t="s">
        <v>20</v>
      </c>
      <c r="M1148" s="9">
        <v>69101</v>
      </c>
      <c r="N1148" t="s">
        <v>3477</v>
      </c>
      <c r="O1148">
        <v>18</v>
      </c>
      <c r="P1148" t="s">
        <v>3477</v>
      </c>
      <c r="Q1148">
        <v>18</v>
      </c>
      <c r="R1148" s="13">
        <v>11543</v>
      </c>
      <c r="S1148" s="13">
        <v>8080.0999999999995</v>
      </c>
    </row>
    <row r="1149" spans="1:19">
      <c r="A1149" s="9" t="s">
        <v>24</v>
      </c>
      <c r="B1149" s="9" t="s">
        <v>26</v>
      </c>
      <c r="C1149" s="9" t="s">
        <v>70</v>
      </c>
      <c r="D1149" t="s">
        <v>204</v>
      </c>
      <c r="F1149" s="12" t="s">
        <v>2649</v>
      </c>
      <c r="G1149" s="10" t="s">
        <v>931</v>
      </c>
      <c r="H1149" s="10" t="s">
        <v>931</v>
      </c>
      <c r="K1149" t="s">
        <v>19</v>
      </c>
      <c r="L1149" t="s">
        <v>20</v>
      </c>
      <c r="M1149" s="9">
        <v>69101</v>
      </c>
      <c r="N1149" t="s">
        <v>3477</v>
      </c>
      <c r="O1149">
        <v>18</v>
      </c>
      <c r="P1149" t="s">
        <v>3477</v>
      </c>
      <c r="Q1149">
        <v>18</v>
      </c>
      <c r="R1149" s="13">
        <v>5650</v>
      </c>
      <c r="S1149" s="13">
        <v>4237.5</v>
      </c>
    </row>
    <row r="1150" spans="1:19">
      <c r="A1150" s="9" t="s">
        <v>22</v>
      </c>
      <c r="B1150" s="9" t="s">
        <v>26</v>
      </c>
      <c r="C1150" s="9" t="s">
        <v>165</v>
      </c>
      <c r="D1150" t="s">
        <v>204</v>
      </c>
      <c r="F1150" s="12" t="s">
        <v>2650</v>
      </c>
      <c r="G1150" s="10" t="s">
        <v>932</v>
      </c>
      <c r="H1150" s="10" t="s">
        <v>932</v>
      </c>
      <c r="K1150" t="s">
        <v>19</v>
      </c>
      <c r="L1150" t="s">
        <v>20</v>
      </c>
      <c r="M1150" s="9">
        <v>8481802</v>
      </c>
      <c r="N1150" t="s">
        <v>3477</v>
      </c>
      <c r="O1150">
        <v>18</v>
      </c>
      <c r="P1150" t="s">
        <v>3477</v>
      </c>
      <c r="Q1150">
        <v>18</v>
      </c>
      <c r="R1150" s="13">
        <v>6570</v>
      </c>
      <c r="S1150" s="13">
        <v>4599</v>
      </c>
    </row>
    <row r="1151" spans="1:19">
      <c r="A1151" s="9" t="s">
        <v>23</v>
      </c>
      <c r="B1151" s="9" t="s">
        <v>26</v>
      </c>
      <c r="C1151" s="9" t="s">
        <v>103</v>
      </c>
      <c r="D1151" t="s">
        <v>204</v>
      </c>
      <c r="F1151" s="12" t="s">
        <v>2651</v>
      </c>
      <c r="G1151" s="10" t="s">
        <v>933</v>
      </c>
      <c r="H1151" s="10" t="s">
        <v>933</v>
      </c>
      <c r="K1151" t="s">
        <v>19</v>
      </c>
      <c r="L1151" t="s">
        <v>20</v>
      </c>
      <c r="M1151" s="9">
        <v>69101</v>
      </c>
      <c r="N1151" t="s">
        <v>3477</v>
      </c>
      <c r="O1151">
        <v>18</v>
      </c>
      <c r="P1151" t="s">
        <v>3477</v>
      </c>
      <c r="Q1151">
        <v>18</v>
      </c>
      <c r="R1151" s="13">
        <v>34500</v>
      </c>
      <c r="S1151" s="13">
        <v>20700</v>
      </c>
    </row>
    <row r="1152" spans="1:19">
      <c r="A1152" s="9" t="s">
        <v>23</v>
      </c>
      <c r="B1152" s="9" t="s">
        <v>26</v>
      </c>
      <c r="C1152" s="9" t="s">
        <v>103</v>
      </c>
      <c r="D1152" t="s">
        <v>204</v>
      </c>
      <c r="F1152" s="12" t="s">
        <v>2652</v>
      </c>
      <c r="G1152" s="10" t="s">
        <v>932</v>
      </c>
      <c r="H1152" s="10" t="s">
        <v>932</v>
      </c>
      <c r="K1152" t="s">
        <v>19</v>
      </c>
      <c r="L1152" t="s">
        <v>20</v>
      </c>
      <c r="M1152" s="9">
        <v>69101</v>
      </c>
      <c r="N1152" t="s">
        <v>3477</v>
      </c>
      <c r="O1152">
        <v>18</v>
      </c>
      <c r="P1152" t="s">
        <v>3477</v>
      </c>
      <c r="Q1152">
        <v>18</v>
      </c>
      <c r="R1152" s="13">
        <v>34500</v>
      </c>
      <c r="S1152" s="13">
        <v>20700</v>
      </c>
    </row>
    <row r="1153" spans="1:19">
      <c r="A1153" s="9" t="s">
        <v>23</v>
      </c>
      <c r="B1153" s="9" t="s">
        <v>26</v>
      </c>
      <c r="C1153" s="9" t="s">
        <v>103</v>
      </c>
      <c r="D1153" t="s">
        <v>204</v>
      </c>
      <c r="F1153" s="12" t="s">
        <v>2653</v>
      </c>
      <c r="G1153" s="10" t="s">
        <v>934</v>
      </c>
      <c r="H1153" s="10" t="s">
        <v>934</v>
      </c>
      <c r="K1153" t="s">
        <v>19</v>
      </c>
      <c r="L1153" t="s">
        <v>20</v>
      </c>
      <c r="M1153" s="9">
        <v>69101</v>
      </c>
      <c r="N1153" t="s">
        <v>3477</v>
      </c>
      <c r="O1153">
        <v>18</v>
      </c>
      <c r="P1153" t="s">
        <v>3477</v>
      </c>
      <c r="Q1153">
        <v>18</v>
      </c>
      <c r="R1153" s="13">
        <v>30000</v>
      </c>
      <c r="S1153" s="13">
        <v>18000</v>
      </c>
    </row>
    <row r="1154" spans="1:19">
      <c r="A1154" s="9" t="s">
        <v>23</v>
      </c>
      <c r="B1154" s="9" t="s">
        <v>34</v>
      </c>
      <c r="C1154" s="9" t="s">
        <v>166</v>
      </c>
      <c r="D1154" t="s">
        <v>204</v>
      </c>
      <c r="F1154" s="12" t="s">
        <v>2654</v>
      </c>
      <c r="G1154" s="10" t="s">
        <v>935</v>
      </c>
      <c r="H1154" s="10" t="s">
        <v>935</v>
      </c>
      <c r="K1154" t="s">
        <v>19</v>
      </c>
      <c r="L1154" t="s">
        <v>20</v>
      </c>
      <c r="M1154" s="9">
        <v>94036</v>
      </c>
      <c r="N1154" t="s">
        <v>3477</v>
      </c>
      <c r="O1154">
        <v>18</v>
      </c>
      <c r="P1154" t="s">
        <v>3477</v>
      </c>
      <c r="Q1154">
        <v>18</v>
      </c>
      <c r="R1154" s="13">
        <v>115500</v>
      </c>
      <c r="S1154" s="13">
        <v>69300</v>
      </c>
    </row>
    <row r="1155" spans="1:19">
      <c r="A1155" s="9" t="s">
        <v>23</v>
      </c>
      <c r="B1155" s="9" t="s">
        <v>33</v>
      </c>
      <c r="C1155" s="9" t="s">
        <v>167</v>
      </c>
      <c r="D1155" t="s">
        <v>204</v>
      </c>
      <c r="F1155" s="12" t="s">
        <v>2655</v>
      </c>
      <c r="G1155" s="10" t="s">
        <v>936</v>
      </c>
      <c r="H1155" s="10" t="s">
        <v>936</v>
      </c>
      <c r="K1155" t="s">
        <v>19</v>
      </c>
      <c r="L1155" t="s">
        <v>20</v>
      </c>
      <c r="M1155" s="9">
        <v>700991</v>
      </c>
      <c r="N1155" t="s">
        <v>3477</v>
      </c>
      <c r="O1155">
        <v>18</v>
      </c>
      <c r="P1155" t="s">
        <v>3477</v>
      </c>
      <c r="Q1155">
        <v>18</v>
      </c>
      <c r="R1155" s="13">
        <v>28700</v>
      </c>
      <c r="S1155" s="13">
        <v>17220</v>
      </c>
    </row>
    <row r="1156" spans="1:19">
      <c r="A1156" s="9" t="s">
        <v>23</v>
      </c>
      <c r="B1156" s="9" t="s">
        <v>37</v>
      </c>
      <c r="C1156" s="9" t="s">
        <v>134</v>
      </c>
      <c r="D1156" t="s">
        <v>204</v>
      </c>
      <c r="F1156" s="12" t="s">
        <v>2656</v>
      </c>
      <c r="G1156" s="10" t="s">
        <v>937</v>
      </c>
      <c r="H1156" s="10" t="s">
        <v>937</v>
      </c>
      <c r="K1156" t="s">
        <v>19</v>
      </c>
      <c r="L1156" t="s">
        <v>20</v>
      </c>
      <c r="M1156" s="9">
        <v>94036</v>
      </c>
      <c r="N1156" t="s">
        <v>3477</v>
      </c>
      <c r="O1156">
        <v>18</v>
      </c>
      <c r="P1156" t="s">
        <v>3477</v>
      </c>
      <c r="Q1156">
        <v>18</v>
      </c>
      <c r="R1156" s="13">
        <v>109780</v>
      </c>
      <c r="S1156" s="13">
        <v>65868</v>
      </c>
    </row>
    <row r="1157" spans="1:19">
      <c r="A1157" s="9" t="s">
        <v>23</v>
      </c>
      <c r="B1157" s="9" t="s">
        <v>25</v>
      </c>
      <c r="C1157" s="9" t="s">
        <v>168</v>
      </c>
      <c r="D1157" t="s">
        <v>204</v>
      </c>
      <c r="F1157" s="12" t="s">
        <v>2657</v>
      </c>
      <c r="G1157" s="10" t="s">
        <v>938</v>
      </c>
      <c r="H1157" s="10" t="s">
        <v>938</v>
      </c>
      <c r="K1157" t="s">
        <v>19</v>
      </c>
      <c r="L1157" t="s">
        <v>20</v>
      </c>
      <c r="M1157" s="9">
        <v>73241</v>
      </c>
      <c r="N1157" t="s">
        <v>3477</v>
      </c>
      <c r="O1157">
        <v>18</v>
      </c>
      <c r="P1157" t="s">
        <v>3477</v>
      </c>
      <c r="Q1157">
        <v>18</v>
      </c>
      <c r="R1157" s="13">
        <v>24500</v>
      </c>
      <c r="S1157" s="13">
        <v>14700</v>
      </c>
    </row>
    <row r="1158" spans="1:19">
      <c r="A1158" s="9" t="s">
        <v>23</v>
      </c>
      <c r="B1158" s="9" t="s">
        <v>25</v>
      </c>
      <c r="C1158" s="9" t="s">
        <v>163</v>
      </c>
      <c r="D1158" t="s">
        <v>204</v>
      </c>
      <c r="F1158" s="12" t="s">
        <v>2658</v>
      </c>
      <c r="G1158" s="10" t="s">
        <v>939</v>
      </c>
      <c r="H1158" s="10" t="s">
        <v>939</v>
      </c>
      <c r="K1158" t="s">
        <v>19</v>
      </c>
      <c r="L1158" t="s">
        <v>20</v>
      </c>
      <c r="M1158" s="9">
        <v>6810999</v>
      </c>
      <c r="N1158" t="s">
        <v>3477</v>
      </c>
      <c r="O1158">
        <v>18</v>
      </c>
      <c r="P1158" t="s">
        <v>3477</v>
      </c>
      <c r="Q1158">
        <v>18</v>
      </c>
      <c r="R1158" s="13">
        <v>55000</v>
      </c>
      <c r="S1158" s="13">
        <v>33000</v>
      </c>
    </row>
    <row r="1159" spans="1:19">
      <c r="A1159" s="9" t="s">
        <v>23</v>
      </c>
      <c r="B1159" s="9" t="s">
        <v>25</v>
      </c>
      <c r="C1159" s="9" t="s">
        <v>163</v>
      </c>
      <c r="D1159" t="s">
        <v>204</v>
      </c>
      <c r="F1159" s="12" t="s">
        <v>2659</v>
      </c>
      <c r="G1159" s="10" t="s">
        <v>940</v>
      </c>
      <c r="H1159" s="10" t="s">
        <v>940</v>
      </c>
      <c r="K1159" t="s">
        <v>19</v>
      </c>
      <c r="L1159" t="s">
        <v>20</v>
      </c>
      <c r="M1159" s="9">
        <v>6810999</v>
      </c>
      <c r="N1159" t="s">
        <v>3477</v>
      </c>
      <c r="O1159">
        <v>18</v>
      </c>
      <c r="P1159" t="s">
        <v>3477</v>
      </c>
      <c r="Q1159">
        <v>18</v>
      </c>
      <c r="R1159" s="13">
        <v>75000</v>
      </c>
      <c r="S1159" s="13">
        <v>45000</v>
      </c>
    </row>
    <row r="1160" spans="1:19">
      <c r="A1160" s="9" t="s">
        <v>23</v>
      </c>
      <c r="B1160" s="9" t="s">
        <v>25</v>
      </c>
      <c r="C1160" s="9" t="s">
        <v>163</v>
      </c>
      <c r="D1160" t="s">
        <v>204</v>
      </c>
      <c r="F1160" s="12" t="s">
        <v>2660</v>
      </c>
      <c r="G1160" s="10" t="s">
        <v>941</v>
      </c>
      <c r="H1160" s="10" t="s">
        <v>941</v>
      </c>
      <c r="K1160" t="s">
        <v>19</v>
      </c>
      <c r="L1160" t="s">
        <v>20</v>
      </c>
      <c r="M1160" s="9">
        <v>6810999</v>
      </c>
      <c r="N1160" t="s">
        <v>3477</v>
      </c>
      <c r="O1160">
        <v>18</v>
      </c>
      <c r="P1160" t="s">
        <v>3477</v>
      </c>
      <c r="Q1160">
        <v>18</v>
      </c>
      <c r="R1160" s="13">
        <v>65000</v>
      </c>
      <c r="S1160" s="13">
        <v>39000</v>
      </c>
    </row>
    <row r="1161" spans="1:19">
      <c r="A1161" s="9" t="s">
        <v>22</v>
      </c>
      <c r="B1161" s="9" t="s">
        <v>27</v>
      </c>
      <c r="C1161" s="9" t="s">
        <v>119</v>
      </c>
      <c r="D1161" t="s">
        <v>204</v>
      </c>
      <c r="F1161" s="12" t="s">
        <v>2661</v>
      </c>
      <c r="G1161" s="10" t="s">
        <v>942</v>
      </c>
      <c r="H1161" s="10" t="s">
        <v>942</v>
      </c>
      <c r="K1161" t="s">
        <v>19</v>
      </c>
      <c r="L1161" t="s">
        <v>20</v>
      </c>
      <c r="M1161" s="9">
        <v>8481802</v>
      </c>
      <c r="N1161" t="s">
        <v>3477</v>
      </c>
      <c r="O1161">
        <v>18</v>
      </c>
      <c r="P1161" t="s">
        <v>3477</v>
      </c>
      <c r="Q1161">
        <v>18</v>
      </c>
      <c r="R1161" s="13">
        <v>20700</v>
      </c>
      <c r="S1161" s="13">
        <v>14489.999999999998</v>
      </c>
    </row>
    <row r="1162" spans="1:19">
      <c r="A1162" s="9" t="s">
        <v>22</v>
      </c>
      <c r="B1162" s="9" t="s">
        <v>27</v>
      </c>
      <c r="C1162" s="9" t="s">
        <v>119</v>
      </c>
      <c r="D1162" t="s">
        <v>204</v>
      </c>
      <c r="F1162" s="12" t="s">
        <v>2662</v>
      </c>
      <c r="G1162" s="10" t="s">
        <v>943</v>
      </c>
      <c r="H1162" s="10" t="s">
        <v>943</v>
      </c>
      <c r="K1162" t="s">
        <v>19</v>
      </c>
      <c r="L1162" t="s">
        <v>20</v>
      </c>
      <c r="M1162" s="9">
        <v>8481909</v>
      </c>
      <c r="N1162" t="s">
        <v>3477</v>
      </c>
      <c r="O1162">
        <v>18</v>
      </c>
      <c r="P1162" t="s">
        <v>3477</v>
      </c>
      <c r="Q1162">
        <v>18</v>
      </c>
      <c r="R1162" s="13">
        <v>20700</v>
      </c>
      <c r="S1162" s="13">
        <v>14489.999999999998</v>
      </c>
    </row>
    <row r="1163" spans="1:19">
      <c r="A1163" s="9" t="s">
        <v>22</v>
      </c>
      <c r="B1163" s="9" t="s">
        <v>27</v>
      </c>
      <c r="C1163" s="9" t="s">
        <v>119</v>
      </c>
      <c r="D1163" t="s">
        <v>204</v>
      </c>
      <c r="F1163" s="12" t="s">
        <v>2663</v>
      </c>
      <c r="G1163" s="10" t="s">
        <v>944</v>
      </c>
      <c r="H1163" s="10" t="s">
        <v>944</v>
      </c>
      <c r="K1163" t="s">
        <v>19</v>
      </c>
      <c r="L1163" t="s">
        <v>20</v>
      </c>
      <c r="M1163" s="9">
        <v>8481802</v>
      </c>
      <c r="N1163" t="s">
        <v>3477</v>
      </c>
      <c r="O1163">
        <v>18</v>
      </c>
      <c r="P1163" t="s">
        <v>3477</v>
      </c>
      <c r="Q1163">
        <v>18</v>
      </c>
      <c r="R1163" s="13">
        <v>40600</v>
      </c>
      <c r="S1163" s="13">
        <v>28420</v>
      </c>
    </row>
    <row r="1164" spans="1:19">
      <c r="A1164" s="9" t="s">
        <v>22</v>
      </c>
      <c r="B1164" s="9" t="s">
        <v>26</v>
      </c>
      <c r="C1164" s="9" t="s">
        <v>169</v>
      </c>
      <c r="D1164" t="s">
        <v>204</v>
      </c>
      <c r="F1164" s="12" t="s">
        <v>2664</v>
      </c>
      <c r="G1164" s="10" t="s">
        <v>945</v>
      </c>
      <c r="H1164" s="10" t="s">
        <v>945</v>
      </c>
      <c r="K1164" t="s">
        <v>19</v>
      </c>
      <c r="L1164" t="s">
        <v>20</v>
      </c>
      <c r="M1164" s="9">
        <v>39222</v>
      </c>
      <c r="N1164" t="s">
        <v>3477</v>
      </c>
      <c r="O1164">
        <v>18</v>
      </c>
      <c r="P1164" t="s">
        <v>3477</v>
      </c>
      <c r="Q1164">
        <v>18</v>
      </c>
      <c r="R1164" s="13">
        <v>10000</v>
      </c>
      <c r="S1164" s="13">
        <v>7000</v>
      </c>
    </row>
    <row r="1165" spans="1:19">
      <c r="A1165" s="9" t="s">
        <v>22</v>
      </c>
      <c r="B1165" s="9" t="s">
        <v>32</v>
      </c>
      <c r="C1165" s="9" t="s">
        <v>170</v>
      </c>
      <c r="D1165" t="s">
        <v>204</v>
      </c>
      <c r="F1165" s="12" t="s">
        <v>2665</v>
      </c>
      <c r="G1165" s="10" t="s">
        <v>945</v>
      </c>
      <c r="H1165" s="10" t="s">
        <v>945</v>
      </c>
      <c r="K1165" t="s">
        <v>19</v>
      </c>
      <c r="L1165" t="s">
        <v>20</v>
      </c>
      <c r="M1165" s="9">
        <v>85371</v>
      </c>
      <c r="N1165" t="s">
        <v>3477</v>
      </c>
      <c r="O1165">
        <v>18</v>
      </c>
      <c r="P1165" t="s">
        <v>3477</v>
      </c>
      <c r="Q1165">
        <v>18</v>
      </c>
      <c r="R1165" s="13">
        <v>50000</v>
      </c>
      <c r="S1165" s="13">
        <v>35000</v>
      </c>
    </row>
    <row r="1166" spans="1:19">
      <c r="A1166" s="9" t="s">
        <v>22</v>
      </c>
      <c r="B1166" s="9" t="s">
        <v>32</v>
      </c>
      <c r="C1166" s="9" t="s">
        <v>170</v>
      </c>
      <c r="D1166" t="s">
        <v>204</v>
      </c>
      <c r="F1166" s="12" t="s">
        <v>2666</v>
      </c>
      <c r="G1166" s="10" t="s">
        <v>945</v>
      </c>
      <c r="H1166" s="10" t="s">
        <v>945</v>
      </c>
      <c r="K1166" t="s">
        <v>19</v>
      </c>
      <c r="L1166" t="s">
        <v>20</v>
      </c>
      <c r="M1166" s="9">
        <v>85371</v>
      </c>
      <c r="N1166" t="s">
        <v>3477</v>
      </c>
      <c r="O1166">
        <v>18</v>
      </c>
      <c r="P1166" t="s">
        <v>3477</v>
      </c>
      <c r="Q1166">
        <v>18</v>
      </c>
      <c r="R1166" s="13">
        <v>55000</v>
      </c>
      <c r="S1166" s="13">
        <v>38500</v>
      </c>
    </row>
    <row r="1167" spans="1:19">
      <c r="A1167" s="9" t="s">
        <v>22</v>
      </c>
      <c r="B1167" s="9" t="s">
        <v>32</v>
      </c>
      <c r="C1167" s="9" t="s">
        <v>170</v>
      </c>
      <c r="D1167" t="s">
        <v>204</v>
      </c>
      <c r="F1167" s="12" t="s">
        <v>2667</v>
      </c>
      <c r="G1167" s="10" t="s">
        <v>945</v>
      </c>
      <c r="H1167" s="10" t="s">
        <v>945</v>
      </c>
      <c r="K1167" t="s">
        <v>19</v>
      </c>
      <c r="L1167" t="s">
        <v>20</v>
      </c>
      <c r="M1167" s="9">
        <v>85371</v>
      </c>
      <c r="N1167" t="s">
        <v>3477</v>
      </c>
      <c r="O1167">
        <v>18</v>
      </c>
      <c r="P1167" t="s">
        <v>3477</v>
      </c>
      <c r="Q1167">
        <v>18</v>
      </c>
      <c r="R1167" s="13">
        <v>55000</v>
      </c>
      <c r="S1167" s="13">
        <v>38500</v>
      </c>
    </row>
    <row r="1168" spans="1:19">
      <c r="A1168" s="9" t="s">
        <v>22</v>
      </c>
      <c r="B1168" s="9" t="s">
        <v>32</v>
      </c>
      <c r="C1168" s="9" t="s">
        <v>170</v>
      </c>
      <c r="D1168" t="s">
        <v>204</v>
      </c>
      <c r="F1168" s="12" t="s">
        <v>2668</v>
      </c>
      <c r="G1168" s="10" t="s">
        <v>946</v>
      </c>
      <c r="H1168" s="10" t="s">
        <v>946</v>
      </c>
      <c r="K1168" t="s">
        <v>19</v>
      </c>
      <c r="L1168" t="s">
        <v>20</v>
      </c>
      <c r="M1168" s="9">
        <v>85371</v>
      </c>
      <c r="N1168" t="s">
        <v>3477</v>
      </c>
      <c r="O1168">
        <v>18</v>
      </c>
      <c r="P1168" t="s">
        <v>3477</v>
      </c>
      <c r="Q1168">
        <v>18</v>
      </c>
      <c r="R1168" s="13">
        <v>40000</v>
      </c>
      <c r="S1168" s="13">
        <v>28000</v>
      </c>
    </row>
    <row r="1169" spans="1:19">
      <c r="A1169" s="9" t="s">
        <v>22</v>
      </c>
      <c r="B1169" s="9" t="s">
        <v>32</v>
      </c>
      <c r="C1169" s="9" t="s">
        <v>170</v>
      </c>
      <c r="D1169" t="s">
        <v>204</v>
      </c>
      <c r="F1169" s="12" t="s">
        <v>2669</v>
      </c>
      <c r="G1169" s="10" t="s">
        <v>946</v>
      </c>
      <c r="H1169" s="10" t="s">
        <v>946</v>
      </c>
      <c r="K1169" t="s">
        <v>19</v>
      </c>
      <c r="L1169" t="s">
        <v>20</v>
      </c>
      <c r="M1169" s="9">
        <v>85371</v>
      </c>
      <c r="N1169" t="s">
        <v>3477</v>
      </c>
      <c r="O1169">
        <v>18</v>
      </c>
      <c r="P1169" t="s">
        <v>3477</v>
      </c>
      <c r="Q1169">
        <v>18</v>
      </c>
      <c r="R1169" s="13">
        <v>26000</v>
      </c>
      <c r="S1169" s="13">
        <v>18200</v>
      </c>
    </row>
    <row r="1170" spans="1:19">
      <c r="A1170" s="9" t="s">
        <v>22</v>
      </c>
      <c r="B1170" s="9" t="s">
        <v>32</v>
      </c>
      <c r="C1170" s="9" t="s">
        <v>170</v>
      </c>
      <c r="D1170" t="s">
        <v>204</v>
      </c>
      <c r="F1170" s="12" t="s">
        <v>2670</v>
      </c>
      <c r="G1170" s="10" t="s">
        <v>946</v>
      </c>
      <c r="H1170" s="10" t="s">
        <v>946</v>
      </c>
      <c r="K1170" t="s">
        <v>19</v>
      </c>
      <c r="L1170" t="s">
        <v>20</v>
      </c>
      <c r="M1170" s="9">
        <v>85371</v>
      </c>
      <c r="N1170" t="s">
        <v>3477</v>
      </c>
      <c r="O1170">
        <v>18</v>
      </c>
      <c r="P1170" t="s">
        <v>3477</v>
      </c>
      <c r="Q1170">
        <v>18</v>
      </c>
      <c r="R1170" s="13">
        <v>28000</v>
      </c>
      <c r="S1170" s="13">
        <v>19600</v>
      </c>
    </row>
    <row r="1171" spans="1:19">
      <c r="A1171" s="9" t="s">
        <v>22</v>
      </c>
      <c r="B1171" s="9" t="s">
        <v>32</v>
      </c>
      <c r="C1171" s="9" t="s">
        <v>170</v>
      </c>
      <c r="D1171" t="s">
        <v>204</v>
      </c>
      <c r="F1171" s="12" t="s">
        <v>2671</v>
      </c>
      <c r="G1171" s="10" t="s">
        <v>946</v>
      </c>
      <c r="H1171" s="10" t="s">
        <v>946</v>
      </c>
      <c r="K1171" t="s">
        <v>19</v>
      </c>
      <c r="L1171" t="s">
        <v>20</v>
      </c>
      <c r="M1171" s="9">
        <v>85371</v>
      </c>
      <c r="N1171" t="s">
        <v>3477</v>
      </c>
      <c r="O1171">
        <v>18</v>
      </c>
      <c r="P1171" t="s">
        <v>3477</v>
      </c>
      <c r="Q1171">
        <v>18</v>
      </c>
      <c r="R1171" s="13">
        <v>28000</v>
      </c>
      <c r="S1171" s="13">
        <v>19600</v>
      </c>
    </row>
    <row r="1172" spans="1:19">
      <c r="A1172" s="9" t="s">
        <v>22</v>
      </c>
      <c r="B1172" s="9" t="s">
        <v>32</v>
      </c>
      <c r="C1172" s="9" t="s">
        <v>170</v>
      </c>
      <c r="D1172" t="s">
        <v>204</v>
      </c>
      <c r="F1172" s="12" t="s">
        <v>2672</v>
      </c>
      <c r="G1172" s="10" t="s">
        <v>947</v>
      </c>
      <c r="H1172" s="10" t="s">
        <v>947</v>
      </c>
      <c r="K1172" t="s">
        <v>19</v>
      </c>
      <c r="L1172" t="s">
        <v>20</v>
      </c>
      <c r="M1172" s="9">
        <v>85371</v>
      </c>
      <c r="N1172" t="s">
        <v>3477</v>
      </c>
      <c r="O1172">
        <v>18</v>
      </c>
      <c r="P1172" t="s">
        <v>3477</v>
      </c>
      <c r="Q1172">
        <v>18</v>
      </c>
      <c r="R1172" s="13">
        <v>21000</v>
      </c>
      <c r="S1172" s="13">
        <v>14699.999999999998</v>
      </c>
    </row>
    <row r="1173" spans="1:19">
      <c r="A1173" s="9" t="s">
        <v>22</v>
      </c>
      <c r="B1173" s="9" t="s">
        <v>32</v>
      </c>
      <c r="C1173" s="9" t="s">
        <v>171</v>
      </c>
      <c r="D1173" t="s">
        <v>204</v>
      </c>
      <c r="F1173" s="12" t="s">
        <v>2673</v>
      </c>
      <c r="G1173" s="10" t="s">
        <v>947</v>
      </c>
      <c r="H1173" s="10" t="s">
        <v>947</v>
      </c>
      <c r="K1173" t="s">
        <v>19</v>
      </c>
      <c r="L1173" t="s">
        <v>20</v>
      </c>
      <c r="M1173" s="9">
        <v>85371</v>
      </c>
      <c r="N1173" t="s">
        <v>3477</v>
      </c>
      <c r="O1173">
        <v>18</v>
      </c>
      <c r="P1173" t="s">
        <v>3477</v>
      </c>
      <c r="Q1173">
        <v>18</v>
      </c>
      <c r="R1173" s="13">
        <v>26000</v>
      </c>
      <c r="S1173" s="13">
        <v>18200</v>
      </c>
    </row>
    <row r="1174" spans="1:19">
      <c r="A1174" s="9" t="s">
        <v>22</v>
      </c>
      <c r="B1174" s="9" t="s">
        <v>32</v>
      </c>
      <c r="C1174" s="9" t="s">
        <v>171</v>
      </c>
      <c r="D1174" t="s">
        <v>204</v>
      </c>
      <c r="F1174" s="12" t="s">
        <v>2674</v>
      </c>
      <c r="G1174" s="10" t="s">
        <v>947</v>
      </c>
      <c r="H1174" s="10" t="s">
        <v>947</v>
      </c>
      <c r="K1174" t="s">
        <v>19</v>
      </c>
      <c r="L1174" t="s">
        <v>20</v>
      </c>
      <c r="M1174" s="9">
        <v>85371</v>
      </c>
      <c r="N1174" t="s">
        <v>3477</v>
      </c>
      <c r="O1174">
        <v>18</v>
      </c>
      <c r="P1174" t="s">
        <v>3477</v>
      </c>
      <c r="Q1174">
        <v>18</v>
      </c>
      <c r="R1174" s="13">
        <v>28000</v>
      </c>
      <c r="S1174" s="13">
        <v>19600</v>
      </c>
    </row>
    <row r="1175" spans="1:19">
      <c r="A1175" s="9" t="s">
        <v>22</v>
      </c>
      <c r="B1175" s="9" t="s">
        <v>32</v>
      </c>
      <c r="C1175" s="9" t="s">
        <v>171</v>
      </c>
      <c r="D1175" t="s">
        <v>204</v>
      </c>
      <c r="F1175" s="12" t="s">
        <v>2675</v>
      </c>
      <c r="G1175" s="10" t="s">
        <v>947</v>
      </c>
      <c r="H1175" s="10" t="s">
        <v>947</v>
      </c>
      <c r="K1175" t="s">
        <v>19</v>
      </c>
      <c r="L1175" t="s">
        <v>20</v>
      </c>
      <c r="M1175" s="9">
        <v>85371</v>
      </c>
      <c r="N1175" t="s">
        <v>3477</v>
      </c>
      <c r="O1175">
        <v>18</v>
      </c>
      <c r="P1175" t="s">
        <v>3477</v>
      </c>
      <c r="Q1175">
        <v>18</v>
      </c>
      <c r="R1175" s="13">
        <v>28000</v>
      </c>
      <c r="S1175" s="13">
        <v>19600</v>
      </c>
    </row>
    <row r="1176" spans="1:19">
      <c r="A1176" s="9" t="s">
        <v>22</v>
      </c>
      <c r="B1176" s="9" t="s">
        <v>32</v>
      </c>
      <c r="C1176" s="9" t="s">
        <v>171</v>
      </c>
      <c r="D1176" t="s">
        <v>204</v>
      </c>
      <c r="F1176" s="12" t="s">
        <v>2676</v>
      </c>
      <c r="G1176" s="10" t="s">
        <v>948</v>
      </c>
      <c r="H1176" s="10" t="s">
        <v>948</v>
      </c>
      <c r="K1176" t="s">
        <v>19</v>
      </c>
      <c r="L1176" t="s">
        <v>20</v>
      </c>
      <c r="M1176" s="9">
        <v>85371</v>
      </c>
      <c r="N1176" t="s">
        <v>3477</v>
      </c>
      <c r="O1176">
        <v>18</v>
      </c>
      <c r="P1176" t="s">
        <v>3477</v>
      </c>
      <c r="Q1176">
        <v>18</v>
      </c>
      <c r="R1176" s="13">
        <v>21000</v>
      </c>
      <c r="S1176" s="13">
        <v>14699.999999999998</v>
      </c>
    </row>
    <row r="1177" spans="1:19">
      <c r="A1177" s="9" t="s">
        <v>22</v>
      </c>
      <c r="B1177" s="9" t="s">
        <v>32</v>
      </c>
      <c r="C1177" s="9" t="s">
        <v>172</v>
      </c>
      <c r="D1177" t="s">
        <v>204</v>
      </c>
      <c r="F1177" s="12" t="s">
        <v>2677</v>
      </c>
      <c r="G1177" s="10" t="s">
        <v>948</v>
      </c>
      <c r="H1177" s="10" t="s">
        <v>948</v>
      </c>
      <c r="K1177" t="s">
        <v>19</v>
      </c>
      <c r="L1177" t="s">
        <v>20</v>
      </c>
      <c r="M1177" s="9">
        <v>85371</v>
      </c>
      <c r="N1177" t="s">
        <v>3477</v>
      </c>
      <c r="O1177">
        <v>18</v>
      </c>
      <c r="P1177" t="s">
        <v>3477</v>
      </c>
      <c r="Q1177">
        <v>18</v>
      </c>
      <c r="R1177" s="13">
        <v>26000</v>
      </c>
      <c r="S1177" s="13">
        <v>18200</v>
      </c>
    </row>
    <row r="1178" spans="1:19">
      <c r="A1178" s="9" t="s">
        <v>22</v>
      </c>
      <c r="B1178" s="9" t="s">
        <v>32</v>
      </c>
      <c r="C1178" s="9" t="s">
        <v>172</v>
      </c>
      <c r="D1178" t="s">
        <v>204</v>
      </c>
      <c r="F1178" s="12" t="s">
        <v>2678</v>
      </c>
      <c r="G1178" s="10" t="s">
        <v>948</v>
      </c>
      <c r="H1178" s="10" t="s">
        <v>948</v>
      </c>
      <c r="K1178" t="s">
        <v>19</v>
      </c>
      <c r="L1178" t="s">
        <v>20</v>
      </c>
      <c r="M1178" s="9">
        <v>85371</v>
      </c>
      <c r="N1178" t="s">
        <v>3477</v>
      </c>
      <c r="O1178">
        <v>18</v>
      </c>
      <c r="P1178" t="s">
        <v>3477</v>
      </c>
      <c r="Q1178">
        <v>18</v>
      </c>
      <c r="R1178" s="13">
        <v>28000</v>
      </c>
      <c r="S1178" s="13">
        <v>19600</v>
      </c>
    </row>
    <row r="1179" spans="1:19">
      <c r="A1179" s="9" t="s">
        <v>22</v>
      </c>
      <c r="B1179" s="9" t="s">
        <v>32</v>
      </c>
      <c r="C1179" s="9" t="s">
        <v>172</v>
      </c>
      <c r="D1179" t="s">
        <v>204</v>
      </c>
      <c r="F1179" s="12" t="s">
        <v>2679</v>
      </c>
      <c r="G1179" s="10" t="s">
        <v>948</v>
      </c>
      <c r="H1179" s="10" t="s">
        <v>948</v>
      </c>
      <c r="K1179" t="s">
        <v>19</v>
      </c>
      <c r="L1179" t="s">
        <v>20</v>
      </c>
      <c r="M1179" s="9">
        <v>85371</v>
      </c>
      <c r="N1179" t="s">
        <v>3477</v>
      </c>
      <c r="O1179">
        <v>18</v>
      </c>
      <c r="P1179" t="s">
        <v>3477</v>
      </c>
      <c r="Q1179">
        <v>18</v>
      </c>
      <c r="R1179" s="13">
        <v>28000</v>
      </c>
      <c r="S1179" s="13">
        <v>19600</v>
      </c>
    </row>
    <row r="1180" spans="1:19">
      <c r="A1180" s="9" t="s">
        <v>22</v>
      </c>
      <c r="B1180" s="9" t="s">
        <v>32</v>
      </c>
      <c r="C1180" s="9" t="s">
        <v>172</v>
      </c>
      <c r="D1180" t="s">
        <v>204</v>
      </c>
      <c r="F1180" s="12" t="s">
        <v>2680</v>
      </c>
      <c r="G1180" s="10" t="s">
        <v>949</v>
      </c>
      <c r="H1180" s="10" t="s">
        <v>949</v>
      </c>
      <c r="K1180" t="s">
        <v>19</v>
      </c>
      <c r="L1180" t="s">
        <v>20</v>
      </c>
      <c r="M1180" s="9">
        <v>85371</v>
      </c>
      <c r="N1180" t="s">
        <v>3477</v>
      </c>
      <c r="O1180">
        <v>18</v>
      </c>
      <c r="P1180" t="s">
        <v>3477</v>
      </c>
      <c r="Q1180">
        <v>18</v>
      </c>
      <c r="R1180" s="13">
        <v>21000</v>
      </c>
      <c r="S1180" s="13">
        <v>14699.999999999998</v>
      </c>
    </row>
    <row r="1181" spans="1:19">
      <c r="A1181" s="9" t="s">
        <v>22</v>
      </c>
      <c r="B1181" s="9" t="s">
        <v>32</v>
      </c>
      <c r="C1181" s="9" t="s">
        <v>173</v>
      </c>
      <c r="D1181" t="s">
        <v>204</v>
      </c>
      <c r="F1181" s="12" t="s">
        <v>2681</v>
      </c>
      <c r="G1181" s="10" t="s">
        <v>950</v>
      </c>
      <c r="H1181" s="10" t="s">
        <v>950</v>
      </c>
      <c r="K1181" t="s">
        <v>19</v>
      </c>
      <c r="L1181" t="s">
        <v>20</v>
      </c>
      <c r="M1181" s="9">
        <v>8402199</v>
      </c>
      <c r="N1181" t="s">
        <v>3477</v>
      </c>
      <c r="O1181">
        <v>18</v>
      </c>
      <c r="P1181" t="s">
        <v>3477</v>
      </c>
      <c r="Q1181">
        <v>18</v>
      </c>
      <c r="R1181" s="13">
        <v>143000</v>
      </c>
      <c r="S1181" s="13">
        <v>100100</v>
      </c>
    </row>
    <row r="1182" spans="1:19">
      <c r="A1182" s="9" t="s">
        <v>22</v>
      </c>
      <c r="B1182" s="9" t="s">
        <v>32</v>
      </c>
      <c r="C1182" s="9" t="s">
        <v>173</v>
      </c>
      <c r="D1182" t="s">
        <v>204</v>
      </c>
      <c r="F1182" s="12" t="s">
        <v>2682</v>
      </c>
      <c r="G1182" s="10" t="s">
        <v>951</v>
      </c>
      <c r="H1182" s="10" t="s">
        <v>951</v>
      </c>
      <c r="K1182" t="s">
        <v>19</v>
      </c>
      <c r="L1182" t="s">
        <v>20</v>
      </c>
      <c r="M1182" s="9">
        <v>8402199</v>
      </c>
      <c r="N1182" t="s">
        <v>3477</v>
      </c>
      <c r="O1182">
        <v>18</v>
      </c>
      <c r="P1182" t="s">
        <v>3477</v>
      </c>
      <c r="Q1182">
        <v>18</v>
      </c>
      <c r="R1182" s="13">
        <v>152000</v>
      </c>
      <c r="S1182" s="13">
        <v>106400</v>
      </c>
    </row>
    <row r="1183" spans="1:19">
      <c r="A1183" s="9" t="s">
        <v>22</v>
      </c>
      <c r="B1183" s="9" t="s">
        <v>32</v>
      </c>
      <c r="C1183" s="9" t="s">
        <v>173</v>
      </c>
      <c r="D1183" t="s">
        <v>204</v>
      </c>
      <c r="F1183" s="12" t="s">
        <v>2683</v>
      </c>
      <c r="G1183" s="10" t="s">
        <v>952</v>
      </c>
      <c r="H1183" s="10" t="s">
        <v>952</v>
      </c>
      <c r="K1183" t="s">
        <v>19</v>
      </c>
      <c r="L1183" t="s">
        <v>20</v>
      </c>
      <c r="M1183" s="9">
        <v>8402199</v>
      </c>
      <c r="N1183" t="s">
        <v>3477</v>
      </c>
      <c r="O1183">
        <v>18</v>
      </c>
      <c r="P1183" t="s">
        <v>3477</v>
      </c>
      <c r="Q1183">
        <v>18</v>
      </c>
      <c r="R1183" s="13">
        <v>162000</v>
      </c>
      <c r="S1183" s="13">
        <v>113400</v>
      </c>
    </row>
    <row r="1184" spans="1:19">
      <c r="A1184" s="9" t="s">
        <v>22</v>
      </c>
      <c r="B1184" s="9" t="s">
        <v>32</v>
      </c>
      <c r="C1184" s="9" t="s">
        <v>173</v>
      </c>
      <c r="D1184" t="s">
        <v>204</v>
      </c>
      <c r="F1184" s="12" t="s">
        <v>2684</v>
      </c>
      <c r="G1184" s="10" t="s">
        <v>953</v>
      </c>
      <c r="H1184" s="10" t="s">
        <v>953</v>
      </c>
      <c r="K1184" t="s">
        <v>19</v>
      </c>
      <c r="L1184" t="s">
        <v>20</v>
      </c>
      <c r="M1184" s="9">
        <v>8402199</v>
      </c>
      <c r="N1184" t="s">
        <v>3477</v>
      </c>
      <c r="O1184">
        <v>18</v>
      </c>
      <c r="P1184" t="s">
        <v>3477</v>
      </c>
      <c r="Q1184">
        <v>18</v>
      </c>
      <c r="R1184" s="13">
        <v>175000</v>
      </c>
      <c r="S1184" s="13">
        <v>122499.99999999999</v>
      </c>
    </row>
    <row r="1185" spans="1:19">
      <c r="A1185" s="9" t="s">
        <v>22</v>
      </c>
      <c r="B1185" s="9" t="s">
        <v>32</v>
      </c>
      <c r="C1185" s="9" t="s">
        <v>173</v>
      </c>
      <c r="D1185" t="s">
        <v>204</v>
      </c>
      <c r="F1185" s="12" t="s">
        <v>2685</v>
      </c>
      <c r="G1185" s="10" t="s">
        <v>954</v>
      </c>
      <c r="H1185" s="10" t="s">
        <v>954</v>
      </c>
      <c r="K1185" t="s">
        <v>19</v>
      </c>
      <c r="L1185" t="s">
        <v>20</v>
      </c>
      <c r="M1185" s="9">
        <v>8402199</v>
      </c>
      <c r="N1185" t="s">
        <v>3477</v>
      </c>
      <c r="O1185">
        <v>18</v>
      </c>
      <c r="P1185" t="s">
        <v>3477</v>
      </c>
      <c r="Q1185">
        <v>18</v>
      </c>
      <c r="R1185" s="13">
        <v>260000</v>
      </c>
      <c r="S1185" s="13">
        <v>182000</v>
      </c>
    </row>
    <row r="1186" spans="1:19">
      <c r="A1186" s="9" t="s">
        <v>22</v>
      </c>
      <c r="B1186" s="9" t="s">
        <v>32</v>
      </c>
      <c r="C1186" s="9" t="s">
        <v>173</v>
      </c>
      <c r="D1186" t="s">
        <v>204</v>
      </c>
      <c r="F1186" s="12" t="s">
        <v>2686</v>
      </c>
      <c r="G1186" s="10" t="s">
        <v>955</v>
      </c>
      <c r="H1186" s="10" t="s">
        <v>955</v>
      </c>
      <c r="K1186" t="s">
        <v>19</v>
      </c>
      <c r="L1186" t="s">
        <v>20</v>
      </c>
      <c r="M1186" s="9">
        <v>8402199</v>
      </c>
      <c r="N1186" t="s">
        <v>3477</v>
      </c>
      <c r="O1186">
        <v>18</v>
      </c>
      <c r="P1186" t="s">
        <v>3477</v>
      </c>
      <c r="Q1186">
        <v>18</v>
      </c>
      <c r="R1186" s="13">
        <v>270000</v>
      </c>
      <c r="S1186" s="13">
        <v>189000</v>
      </c>
    </row>
    <row r="1187" spans="1:19">
      <c r="A1187" s="9" t="s">
        <v>22</v>
      </c>
      <c r="B1187" s="9" t="s">
        <v>32</v>
      </c>
      <c r="C1187" s="9" t="s">
        <v>173</v>
      </c>
      <c r="D1187" t="s">
        <v>204</v>
      </c>
      <c r="F1187" s="12" t="s">
        <v>2687</v>
      </c>
      <c r="G1187" s="10" t="s">
        <v>956</v>
      </c>
      <c r="H1187" s="10" t="s">
        <v>956</v>
      </c>
      <c r="K1187" t="s">
        <v>19</v>
      </c>
      <c r="L1187" t="s">
        <v>20</v>
      </c>
      <c r="M1187" s="9">
        <v>8402199</v>
      </c>
      <c r="N1187" t="s">
        <v>3477</v>
      </c>
      <c r="O1187">
        <v>18</v>
      </c>
      <c r="P1187" t="s">
        <v>3477</v>
      </c>
      <c r="Q1187">
        <v>18</v>
      </c>
      <c r="R1187" s="13">
        <v>450000</v>
      </c>
      <c r="S1187" s="13">
        <v>315000</v>
      </c>
    </row>
    <row r="1188" spans="1:19">
      <c r="A1188" s="9" t="s">
        <v>23</v>
      </c>
      <c r="B1188" s="9" t="s">
        <v>26</v>
      </c>
      <c r="C1188" s="9" t="s">
        <v>155</v>
      </c>
      <c r="D1188" t="s">
        <v>204</v>
      </c>
      <c r="F1188" s="12" t="s">
        <v>2688</v>
      </c>
      <c r="G1188" s="10" t="s">
        <v>957</v>
      </c>
      <c r="H1188" s="10" t="s">
        <v>957</v>
      </c>
      <c r="K1188" t="s">
        <v>19</v>
      </c>
      <c r="L1188" t="s">
        <v>20</v>
      </c>
      <c r="M1188" s="9">
        <v>69101</v>
      </c>
      <c r="N1188" t="s">
        <v>3477</v>
      </c>
      <c r="O1188">
        <v>18</v>
      </c>
      <c r="P1188" t="s">
        <v>3477</v>
      </c>
      <c r="Q1188">
        <v>18</v>
      </c>
      <c r="R1188" s="13">
        <v>66000</v>
      </c>
      <c r="S1188" s="13">
        <v>39600</v>
      </c>
    </row>
    <row r="1189" spans="1:19">
      <c r="A1189" s="9" t="s">
        <v>24</v>
      </c>
      <c r="B1189" s="9" t="s">
        <v>26</v>
      </c>
      <c r="C1189" s="9" t="s">
        <v>89</v>
      </c>
      <c r="D1189" t="s">
        <v>204</v>
      </c>
      <c r="F1189" s="12" t="s">
        <v>2689</v>
      </c>
      <c r="G1189" s="10" t="s">
        <v>958</v>
      </c>
      <c r="H1189" s="10" t="s">
        <v>958</v>
      </c>
      <c r="K1189" t="s">
        <v>19</v>
      </c>
      <c r="L1189" t="s">
        <v>20</v>
      </c>
      <c r="M1189" s="9">
        <v>73249</v>
      </c>
      <c r="N1189" t="s">
        <v>3477</v>
      </c>
      <c r="O1189">
        <v>18</v>
      </c>
      <c r="P1189" t="s">
        <v>3477</v>
      </c>
      <c r="Q1189">
        <v>18</v>
      </c>
      <c r="R1189" s="13">
        <v>600</v>
      </c>
      <c r="S1189" s="13">
        <v>450</v>
      </c>
    </row>
    <row r="1190" spans="1:19">
      <c r="A1190" s="9" t="s">
        <v>23</v>
      </c>
      <c r="B1190" s="9" t="s">
        <v>27</v>
      </c>
      <c r="C1190" s="9" t="s">
        <v>63</v>
      </c>
      <c r="D1190" t="s">
        <v>204</v>
      </c>
      <c r="F1190" s="12" t="s">
        <v>2690</v>
      </c>
      <c r="G1190" s="10" t="s">
        <v>959</v>
      </c>
      <c r="H1190" s="10" t="s">
        <v>959</v>
      </c>
      <c r="K1190" t="s">
        <v>19</v>
      </c>
      <c r="L1190" t="s">
        <v>20</v>
      </c>
      <c r="M1190" s="9">
        <v>8481802</v>
      </c>
      <c r="N1190" t="s">
        <v>3477</v>
      </c>
      <c r="O1190">
        <v>18</v>
      </c>
      <c r="P1190" t="s">
        <v>3477</v>
      </c>
      <c r="Q1190">
        <v>18</v>
      </c>
      <c r="R1190" s="13">
        <v>239880</v>
      </c>
      <c r="S1190" s="13">
        <v>143928</v>
      </c>
    </row>
    <row r="1191" spans="1:19">
      <c r="A1191" s="9" t="s">
        <v>23</v>
      </c>
      <c r="B1191" s="9" t="s">
        <v>25</v>
      </c>
      <c r="C1191" s="9" t="s">
        <v>157</v>
      </c>
      <c r="D1191" t="s">
        <v>204</v>
      </c>
      <c r="F1191" s="12" t="s">
        <v>2691</v>
      </c>
      <c r="G1191" s="10" t="s">
        <v>960</v>
      </c>
      <c r="H1191" s="10" t="s">
        <v>960</v>
      </c>
      <c r="K1191" t="s">
        <v>19</v>
      </c>
      <c r="L1191" t="s">
        <v>20</v>
      </c>
      <c r="M1191" s="9">
        <v>34029099</v>
      </c>
      <c r="N1191" t="s">
        <v>3477</v>
      </c>
      <c r="O1191">
        <v>18</v>
      </c>
      <c r="P1191" t="s">
        <v>3477</v>
      </c>
      <c r="Q1191">
        <v>18</v>
      </c>
      <c r="R1191" s="13">
        <v>2000</v>
      </c>
      <c r="S1191" s="13">
        <v>1200</v>
      </c>
    </row>
    <row r="1192" spans="1:19">
      <c r="A1192" s="9" t="s">
        <v>24</v>
      </c>
      <c r="B1192" s="9" t="s">
        <v>27</v>
      </c>
      <c r="C1192" s="9" t="s">
        <v>48</v>
      </c>
      <c r="D1192" t="s">
        <v>204</v>
      </c>
      <c r="F1192" s="12" t="s">
        <v>2692</v>
      </c>
      <c r="G1192" s="10" t="s">
        <v>960</v>
      </c>
      <c r="H1192" s="10" t="s">
        <v>960</v>
      </c>
      <c r="K1192" t="s">
        <v>19</v>
      </c>
      <c r="L1192" t="s">
        <v>20</v>
      </c>
      <c r="M1192" s="9">
        <v>8481802</v>
      </c>
      <c r="N1192" t="s">
        <v>3477</v>
      </c>
      <c r="O1192">
        <v>18</v>
      </c>
      <c r="P1192" t="s">
        <v>3477</v>
      </c>
      <c r="Q1192">
        <v>18</v>
      </c>
      <c r="R1192" s="13">
        <v>8250</v>
      </c>
      <c r="S1192" s="13">
        <v>6187.5</v>
      </c>
    </row>
    <row r="1193" spans="1:19">
      <c r="A1193" s="9" t="s">
        <v>24</v>
      </c>
      <c r="B1193" s="9" t="s">
        <v>27</v>
      </c>
      <c r="C1193" s="9" t="s">
        <v>48</v>
      </c>
      <c r="D1193" t="s">
        <v>204</v>
      </c>
      <c r="F1193" s="12" t="s">
        <v>2693</v>
      </c>
      <c r="G1193" s="10" t="s">
        <v>961</v>
      </c>
      <c r="H1193" s="10" t="s">
        <v>961</v>
      </c>
      <c r="K1193" t="s">
        <v>19</v>
      </c>
      <c r="L1193" t="s">
        <v>20</v>
      </c>
      <c r="M1193" s="9">
        <v>8481802</v>
      </c>
      <c r="N1193" t="s">
        <v>3477</v>
      </c>
      <c r="O1193">
        <v>18</v>
      </c>
      <c r="P1193" t="s">
        <v>3477</v>
      </c>
      <c r="Q1193">
        <v>18</v>
      </c>
      <c r="R1193" s="13">
        <v>6600</v>
      </c>
      <c r="S1193" s="13">
        <v>4950</v>
      </c>
    </row>
    <row r="1194" spans="1:19">
      <c r="A1194" s="9" t="s">
        <v>24</v>
      </c>
      <c r="B1194" s="9" t="s">
        <v>27</v>
      </c>
      <c r="C1194" s="9" t="s">
        <v>49</v>
      </c>
      <c r="D1194" t="s">
        <v>204</v>
      </c>
      <c r="F1194" s="12" t="s">
        <v>2694</v>
      </c>
      <c r="G1194" s="10" t="s">
        <v>961</v>
      </c>
      <c r="H1194" s="10" t="s">
        <v>961</v>
      </c>
      <c r="K1194" t="s">
        <v>19</v>
      </c>
      <c r="L1194" t="s">
        <v>20</v>
      </c>
      <c r="M1194" s="9">
        <v>8481802</v>
      </c>
      <c r="N1194" t="s">
        <v>3477</v>
      </c>
      <c r="O1194">
        <v>18</v>
      </c>
      <c r="P1194" t="s">
        <v>3477</v>
      </c>
      <c r="Q1194">
        <v>18</v>
      </c>
      <c r="R1194" s="13">
        <v>10790</v>
      </c>
      <c r="S1194" s="13">
        <v>8092.5</v>
      </c>
    </row>
    <row r="1195" spans="1:19">
      <c r="A1195" s="9" t="s">
        <v>24</v>
      </c>
      <c r="B1195" s="9" t="s">
        <v>27</v>
      </c>
      <c r="C1195" s="9" t="s">
        <v>49</v>
      </c>
      <c r="D1195" t="s">
        <v>204</v>
      </c>
      <c r="F1195" s="12" t="s">
        <v>2695</v>
      </c>
      <c r="G1195" s="10" t="s">
        <v>962</v>
      </c>
      <c r="H1195" s="10" t="s">
        <v>962</v>
      </c>
      <c r="K1195" t="s">
        <v>19</v>
      </c>
      <c r="L1195" t="s">
        <v>20</v>
      </c>
      <c r="M1195" s="9">
        <v>8481802</v>
      </c>
      <c r="N1195" t="s">
        <v>3477</v>
      </c>
      <c r="O1195">
        <v>18</v>
      </c>
      <c r="P1195" t="s">
        <v>3477</v>
      </c>
      <c r="Q1195">
        <v>18</v>
      </c>
      <c r="R1195" s="13">
        <v>8630</v>
      </c>
      <c r="S1195" s="13">
        <v>6472.5</v>
      </c>
    </row>
    <row r="1196" spans="1:19">
      <c r="A1196" s="9" t="s">
        <v>24</v>
      </c>
      <c r="B1196" s="9" t="s">
        <v>27</v>
      </c>
      <c r="C1196" s="9" t="s">
        <v>51</v>
      </c>
      <c r="D1196" t="s">
        <v>204</v>
      </c>
      <c r="F1196" s="12" t="s">
        <v>2696</v>
      </c>
      <c r="G1196" s="10" t="s">
        <v>962</v>
      </c>
      <c r="H1196" s="10" t="s">
        <v>962</v>
      </c>
      <c r="K1196" t="s">
        <v>19</v>
      </c>
      <c r="L1196" t="s">
        <v>20</v>
      </c>
      <c r="M1196" s="9">
        <v>8481802</v>
      </c>
      <c r="N1196" t="s">
        <v>3477</v>
      </c>
      <c r="O1196">
        <v>18</v>
      </c>
      <c r="P1196" t="s">
        <v>3477</v>
      </c>
      <c r="Q1196">
        <v>18</v>
      </c>
      <c r="R1196" s="13">
        <v>3500</v>
      </c>
      <c r="S1196" s="13">
        <v>2625</v>
      </c>
    </row>
    <row r="1197" spans="1:19">
      <c r="A1197" s="9" t="s">
        <v>24</v>
      </c>
      <c r="B1197" s="9" t="s">
        <v>27</v>
      </c>
      <c r="C1197" s="9" t="s">
        <v>51</v>
      </c>
      <c r="D1197" t="s">
        <v>204</v>
      </c>
      <c r="F1197" s="12" t="s">
        <v>2697</v>
      </c>
      <c r="G1197" s="10" t="s">
        <v>963</v>
      </c>
      <c r="H1197" s="10" t="s">
        <v>963</v>
      </c>
      <c r="K1197" t="s">
        <v>19</v>
      </c>
      <c r="L1197" t="s">
        <v>20</v>
      </c>
      <c r="M1197" s="9">
        <v>8481802</v>
      </c>
      <c r="N1197" t="s">
        <v>3477</v>
      </c>
      <c r="O1197">
        <v>18</v>
      </c>
      <c r="P1197" t="s">
        <v>3477</v>
      </c>
      <c r="Q1197">
        <v>18</v>
      </c>
      <c r="R1197" s="13">
        <v>2800</v>
      </c>
      <c r="S1197" s="13">
        <v>2100</v>
      </c>
    </row>
    <row r="1198" spans="1:19">
      <c r="A1198" s="9" t="s">
        <v>24</v>
      </c>
      <c r="B1198" s="9" t="s">
        <v>27</v>
      </c>
      <c r="C1198" s="9" t="s">
        <v>118</v>
      </c>
      <c r="D1198" t="s">
        <v>204</v>
      </c>
      <c r="F1198" s="12" t="s">
        <v>2698</v>
      </c>
      <c r="G1198" s="10" t="s">
        <v>963</v>
      </c>
      <c r="H1198" s="10" t="s">
        <v>963</v>
      </c>
      <c r="K1198" t="s">
        <v>19</v>
      </c>
      <c r="L1198" t="s">
        <v>20</v>
      </c>
      <c r="M1198" s="9">
        <v>8481802</v>
      </c>
      <c r="N1198" t="s">
        <v>3477</v>
      </c>
      <c r="O1198">
        <v>18</v>
      </c>
      <c r="P1198" t="s">
        <v>3477</v>
      </c>
      <c r="Q1198">
        <v>18</v>
      </c>
      <c r="R1198" s="13">
        <v>3890</v>
      </c>
      <c r="S1198" s="13">
        <v>2917.5</v>
      </c>
    </row>
    <row r="1199" spans="1:19">
      <c r="A1199" s="9" t="s">
        <v>24</v>
      </c>
      <c r="B1199" s="9" t="s">
        <v>27</v>
      </c>
      <c r="C1199" s="9" t="s">
        <v>118</v>
      </c>
      <c r="D1199" t="s">
        <v>204</v>
      </c>
      <c r="F1199" s="12" t="s">
        <v>2699</v>
      </c>
      <c r="G1199" s="10" t="s">
        <v>964</v>
      </c>
      <c r="H1199" s="10" t="s">
        <v>964</v>
      </c>
      <c r="K1199" t="s">
        <v>19</v>
      </c>
      <c r="L1199" t="s">
        <v>20</v>
      </c>
      <c r="M1199" s="9">
        <v>8481802</v>
      </c>
      <c r="N1199" t="s">
        <v>3477</v>
      </c>
      <c r="O1199">
        <v>18</v>
      </c>
      <c r="P1199" t="s">
        <v>3477</v>
      </c>
      <c r="Q1199">
        <v>18</v>
      </c>
      <c r="R1199" s="13">
        <v>3110</v>
      </c>
      <c r="S1199" s="13">
        <v>2332.5</v>
      </c>
    </row>
    <row r="1200" spans="1:19">
      <c r="A1200" s="9" t="s">
        <v>24</v>
      </c>
      <c r="B1200" s="9" t="s">
        <v>27</v>
      </c>
      <c r="C1200" s="9" t="s">
        <v>104</v>
      </c>
      <c r="D1200" t="s">
        <v>204</v>
      </c>
      <c r="F1200" s="12" t="s">
        <v>2700</v>
      </c>
      <c r="G1200" s="10" t="s">
        <v>964</v>
      </c>
      <c r="H1200" s="10" t="s">
        <v>964</v>
      </c>
      <c r="K1200" t="s">
        <v>19</v>
      </c>
      <c r="L1200" t="s">
        <v>20</v>
      </c>
      <c r="M1200" s="9">
        <v>8481802</v>
      </c>
      <c r="N1200" t="s">
        <v>3477</v>
      </c>
      <c r="O1200">
        <v>18</v>
      </c>
      <c r="P1200" t="s">
        <v>3477</v>
      </c>
      <c r="Q1200">
        <v>18</v>
      </c>
      <c r="R1200" s="13">
        <v>5440</v>
      </c>
      <c r="S1200" s="13">
        <v>4080</v>
      </c>
    </row>
    <row r="1201" spans="1:19">
      <c r="A1201" s="9" t="s">
        <v>24</v>
      </c>
      <c r="B1201" s="9" t="s">
        <v>27</v>
      </c>
      <c r="C1201" s="9" t="s">
        <v>104</v>
      </c>
      <c r="D1201" t="s">
        <v>204</v>
      </c>
      <c r="F1201" s="12" t="s">
        <v>2701</v>
      </c>
      <c r="G1201" s="10" t="s">
        <v>965</v>
      </c>
      <c r="H1201" s="10" t="s">
        <v>965</v>
      </c>
      <c r="K1201" t="s">
        <v>19</v>
      </c>
      <c r="L1201" t="s">
        <v>20</v>
      </c>
      <c r="M1201" s="9">
        <v>8481802</v>
      </c>
      <c r="N1201" t="s">
        <v>3477</v>
      </c>
      <c r="O1201">
        <v>18</v>
      </c>
      <c r="P1201" t="s">
        <v>3477</v>
      </c>
      <c r="Q1201">
        <v>18</v>
      </c>
      <c r="R1201" s="13">
        <v>4350</v>
      </c>
      <c r="S1201" s="13">
        <v>3262.5</v>
      </c>
    </row>
    <row r="1202" spans="1:19">
      <c r="A1202" s="9" t="s">
        <v>24</v>
      </c>
      <c r="B1202" s="9" t="s">
        <v>27</v>
      </c>
      <c r="C1202" s="9" t="s">
        <v>149</v>
      </c>
      <c r="D1202" t="s">
        <v>204</v>
      </c>
      <c r="F1202" s="12" t="s">
        <v>2702</v>
      </c>
      <c r="G1202" s="10" t="s">
        <v>965</v>
      </c>
      <c r="H1202" s="10" t="s">
        <v>965</v>
      </c>
      <c r="K1202" t="s">
        <v>19</v>
      </c>
      <c r="L1202" t="s">
        <v>20</v>
      </c>
      <c r="M1202" s="9">
        <v>8481802</v>
      </c>
      <c r="N1202" t="s">
        <v>3477</v>
      </c>
      <c r="O1202">
        <v>18</v>
      </c>
      <c r="P1202" t="s">
        <v>3477</v>
      </c>
      <c r="Q1202">
        <v>18</v>
      </c>
      <c r="R1202" s="13">
        <v>3640</v>
      </c>
      <c r="S1202" s="13">
        <v>2730</v>
      </c>
    </row>
    <row r="1203" spans="1:19">
      <c r="A1203" s="9" t="s">
        <v>24</v>
      </c>
      <c r="B1203" s="9" t="s">
        <v>27</v>
      </c>
      <c r="C1203" s="9" t="s">
        <v>149</v>
      </c>
      <c r="D1203" t="s">
        <v>204</v>
      </c>
      <c r="F1203" s="12" t="s">
        <v>2703</v>
      </c>
      <c r="G1203" s="10" t="s">
        <v>966</v>
      </c>
      <c r="H1203" s="10" t="s">
        <v>966</v>
      </c>
      <c r="K1203" t="s">
        <v>19</v>
      </c>
      <c r="L1203" t="s">
        <v>20</v>
      </c>
      <c r="M1203" s="9">
        <v>8481802</v>
      </c>
      <c r="N1203" t="s">
        <v>3477</v>
      </c>
      <c r="O1203">
        <v>18</v>
      </c>
      <c r="P1203" t="s">
        <v>3477</v>
      </c>
      <c r="Q1203">
        <v>18</v>
      </c>
      <c r="R1203" s="13">
        <v>2910</v>
      </c>
      <c r="S1203" s="13">
        <v>2182.5</v>
      </c>
    </row>
    <row r="1204" spans="1:19">
      <c r="A1204" s="9" t="s">
        <v>24</v>
      </c>
      <c r="B1204" s="9" t="s">
        <v>27</v>
      </c>
      <c r="C1204" s="9" t="s">
        <v>95</v>
      </c>
      <c r="D1204" t="s">
        <v>204</v>
      </c>
      <c r="F1204" s="12" t="s">
        <v>2704</v>
      </c>
      <c r="G1204" s="10" t="s">
        <v>966</v>
      </c>
      <c r="H1204" s="10" t="s">
        <v>966</v>
      </c>
      <c r="K1204" t="s">
        <v>19</v>
      </c>
      <c r="L1204" t="s">
        <v>20</v>
      </c>
      <c r="M1204" s="9">
        <v>8481802</v>
      </c>
      <c r="N1204" t="s">
        <v>3477</v>
      </c>
      <c r="O1204">
        <v>18</v>
      </c>
      <c r="P1204" t="s">
        <v>3477</v>
      </c>
      <c r="Q1204">
        <v>18</v>
      </c>
      <c r="R1204" s="13">
        <v>5130</v>
      </c>
      <c r="S1204" s="13">
        <v>3847.5</v>
      </c>
    </row>
    <row r="1205" spans="1:19">
      <c r="A1205" s="9" t="s">
        <v>24</v>
      </c>
      <c r="B1205" s="9" t="s">
        <v>27</v>
      </c>
      <c r="C1205" s="9" t="s">
        <v>95</v>
      </c>
      <c r="D1205" t="s">
        <v>204</v>
      </c>
      <c r="F1205" s="12" t="s">
        <v>2705</v>
      </c>
      <c r="G1205" s="10" t="s">
        <v>967</v>
      </c>
      <c r="H1205" s="10" t="s">
        <v>967</v>
      </c>
      <c r="K1205" t="s">
        <v>19</v>
      </c>
      <c r="L1205" t="s">
        <v>20</v>
      </c>
      <c r="M1205" s="9">
        <v>8481802</v>
      </c>
      <c r="N1205" t="s">
        <v>3477</v>
      </c>
      <c r="O1205">
        <v>18</v>
      </c>
      <c r="P1205" t="s">
        <v>3477</v>
      </c>
      <c r="Q1205">
        <v>18</v>
      </c>
      <c r="R1205" s="13">
        <v>4100</v>
      </c>
      <c r="S1205" s="13">
        <v>3075</v>
      </c>
    </row>
    <row r="1206" spans="1:19">
      <c r="A1206" s="9" t="s">
        <v>22</v>
      </c>
      <c r="B1206" s="9" t="s">
        <v>29</v>
      </c>
      <c r="C1206" s="9" t="s">
        <v>52</v>
      </c>
      <c r="D1206" t="s">
        <v>204</v>
      </c>
      <c r="F1206" s="12" t="s">
        <v>2706</v>
      </c>
      <c r="G1206" s="10" t="s">
        <v>968</v>
      </c>
      <c r="H1206" s="10" t="s">
        <v>968</v>
      </c>
      <c r="K1206" t="s">
        <v>19</v>
      </c>
      <c r="L1206" t="s">
        <v>20</v>
      </c>
      <c r="M1206" s="9">
        <v>8481909</v>
      </c>
      <c r="N1206" t="s">
        <v>3477</v>
      </c>
      <c r="O1206">
        <v>18</v>
      </c>
      <c r="P1206" t="s">
        <v>3477</v>
      </c>
      <c r="Q1206">
        <v>18</v>
      </c>
      <c r="R1206" s="13">
        <v>286140</v>
      </c>
      <c r="S1206" s="13">
        <v>200298</v>
      </c>
    </row>
    <row r="1207" spans="1:19">
      <c r="A1207" s="9" t="s">
        <v>23</v>
      </c>
      <c r="B1207" s="9" t="s">
        <v>27</v>
      </c>
      <c r="C1207" s="9" t="s">
        <v>113</v>
      </c>
      <c r="D1207" t="s">
        <v>204</v>
      </c>
      <c r="F1207" s="12" t="s">
        <v>2707</v>
      </c>
      <c r="G1207" s="10" t="s">
        <v>969</v>
      </c>
      <c r="H1207" s="10" t="s">
        <v>969</v>
      </c>
      <c r="K1207" t="s">
        <v>19</v>
      </c>
      <c r="L1207" t="s">
        <v>20</v>
      </c>
      <c r="M1207" s="9">
        <v>8302419</v>
      </c>
      <c r="N1207" t="s">
        <v>3477</v>
      </c>
      <c r="O1207">
        <v>18</v>
      </c>
      <c r="P1207" t="s">
        <v>3477</v>
      </c>
      <c r="Q1207">
        <v>18</v>
      </c>
      <c r="R1207" s="13">
        <v>13000</v>
      </c>
      <c r="S1207" s="13">
        <v>7800</v>
      </c>
    </row>
    <row r="1208" spans="1:19">
      <c r="A1208" s="9" t="s">
        <v>24</v>
      </c>
      <c r="B1208" s="9" t="s">
        <v>27</v>
      </c>
      <c r="C1208" s="9" t="s">
        <v>95</v>
      </c>
      <c r="D1208" t="s">
        <v>204</v>
      </c>
      <c r="F1208" s="12" t="s">
        <v>2708</v>
      </c>
      <c r="G1208" s="10" t="s">
        <v>970</v>
      </c>
      <c r="H1208" s="10" t="s">
        <v>970</v>
      </c>
      <c r="K1208" t="s">
        <v>19</v>
      </c>
      <c r="L1208" t="s">
        <v>20</v>
      </c>
      <c r="M1208" s="9">
        <v>8481909</v>
      </c>
      <c r="N1208" t="s">
        <v>3477</v>
      </c>
      <c r="O1208">
        <v>18</v>
      </c>
      <c r="P1208" t="s">
        <v>3477</v>
      </c>
      <c r="Q1208">
        <v>18</v>
      </c>
      <c r="R1208" s="13">
        <v>2240</v>
      </c>
      <c r="S1208" s="13">
        <v>1680</v>
      </c>
    </row>
    <row r="1209" spans="1:19">
      <c r="A1209" s="9" t="s">
        <v>22</v>
      </c>
      <c r="B1209" s="9" t="s">
        <v>26</v>
      </c>
      <c r="C1209" s="9" t="s">
        <v>76</v>
      </c>
      <c r="D1209" t="s">
        <v>204</v>
      </c>
      <c r="F1209" s="12" t="s">
        <v>2709</v>
      </c>
      <c r="G1209" s="10" t="s">
        <v>970</v>
      </c>
      <c r="H1209" s="10" t="s">
        <v>970</v>
      </c>
      <c r="K1209" t="s">
        <v>19</v>
      </c>
      <c r="L1209" t="s">
        <v>20</v>
      </c>
      <c r="M1209" s="9">
        <v>39222</v>
      </c>
      <c r="N1209" t="s">
        <v>3477</v>
      </c>
      <c r="O1209">
        <v>18</v>
      </c>
      <c r="P1209" t="s">
        <v>3477</v>
      </c>
      <c r="Q1209">
        <v>18</v>
      </c>
      <c r="R1209" s="13">
        <v>7500</v>
      </c>
      <c r="S1209" s="13">
        <v>5250</v>
      </c>
    </row>
    <row r="1210" spans="1:19">
      <c r="A1210" s="9" t="s">
        <v>22</v>
      </c>
      <c r="B1210" s="9" t="s">
        <v>26</v>
      </c>
      <c r="C1210" s="9" t="s">
        <v>76</v>
      </c>
      <c r="D1210" t="s">
        <v>204</v>
      </c>
      <c r="F1210" s="12" t="s">
        <v>2710</v>
      </c>
      <c r="G1210" s="10" t="s">
        <v>971</v>
      </c>
      <c r="H1210" s="10" t="s">
        <v>971</v>
      </c>
      <c r="K1210" t="s">
        <v>19</v>
      </c>
      <c r="L1210" t="s">
        <v>20</v>
      </c>
      <c r="M1210" s="9">
        <v>39222</v>
      </c>
      <c r="N1210" t="s">
        <v>3477</v>
      </c>
      <c r="O1210">
        <v>18</v>
      </c>
      <c r="P1210" t="s">
        <v>3477</v>
      </c>
      <c r="Q1210">
        <v>18</v>
      </c>
      <c r="R1210" s="13">
        <v>8510</v>
      </c>
      <c r="S1210" s="13">
        <v>5957</v>
      </c>
    </row>
    <row r="1211" spans="1:19">
      <c r="A1211" s="9" t="s">
        <v>22</v>
      </c>
      <c r="B1211" s="9" t="s">
        <v>26</v>
      </c>
      <c r="C1211" s="9" t="s">
        <v>76</v>
      </c>
      <c r="D1211" t="s">
        <v>204</v>
      </c>
      <c r="F1211" s="12" t="s">
        <v>2711</v>
      </c>
      <c r="G1211" s="10" t="s">
        <v>972</v>
      </c>
      <c r="H1211" s="10" t="s">
        <v>972</v>
      </c>
      <c r="K1211" t="s">
        <v>19</v>
      </c>
      <c r="L1211" t="s">
        <v>20</v>
      </c>
      <c r="M1211" s="9">
        <v>39222</v>
      </c>
      <c r="N1211" t="s">
        <v>3477</v>
      </c>
      <c r="O1211">
        <v>18</v>
      </c>
      <c r="P1211" t="s">
        <v>3477</v>
      </c>
      <c r="Q1211">
        <v>18</v>
      </c>
      <c r="R1211" s="13">
        <v>6325</v>
      </c>
      <c r="S1211" s="13">
        <v>4427.5</v>
      </c>
    </row>
    <row r="1212" spans="1:19">
      <c r="A1212" s="9" t="s">
        <v>22</v>
      </c>
      <c r="B1212" s="9" t="s">
        <v>26</v>
      </c>
      <c r="C1212" s="9" t="s">
        <v>72</v>
      </c>
      <c r="D1212" t="s">
        <v>204</v>
      </c>
      <c r="F1212" s="12" t="s">
        <v>2712</v>
      </c>
      <c r="G1212" s="10" t="s">
        <v>973</v>
      </c>
      <c r="H1212" s="10" t="s">
        <v>973</v>
      </c>
      <c r="K1212" t="s">
        <v>19</v>
      </c>
      <c r="L1212" t="s">
        <v>20</v>
      </c>
      <c r="M1212" s="9">
        <v>69101</v>
      </c>
      <c r="N1212" t="s">
        <v>3477</v>
      </c>
      <c r="O1212">
        <v>18</v>
      </c>
      <c r="P1212" t="s">
        <v>3477</v>
      </c>
      <c r="Q1212">
        <v>18</v>
      </c>
      <c r="R1212" s="13">
        <v>24870</v>
      </c>
      <c r="S1212" s="13">
        <v>17409</v>
      </c>
    </row>
    <row r="1213" spans="1:19">
      <c r="A1213" s="9" t="s">
        <v>24</v>
      </c>
      <c r="B1213" s="9" t="s">
        <v>27</v>
      </c>
      <c r="C1213" s="9" t="s">
        <v>48</v>
      </c>
      <c r="D1213" t="s">
        <v>204</v>
      </c>
      <c r="F1213" s="12" t="s">
        <v>2713</v>
      </c>
      <c r="G1213" s="10" t="s">
        <v>974</v>
      </c>
      <c r="H1213" s="10" t="s">
        <v>974</v>
      </c>
      <c r="K1213" t="s">
        <v>19</v>
      </c>
      <c r="L1213" t="s">
        <v>20</v>
      </c>
      <c r="M1213" s="9">
        <v>8481802</v>
      </c>
      <c r="N1213" t="s">
        <v>3477</v>
      </c>
      <c r="O1213">
        <v>18</v>
      </c>
      <c r="P1213" t="s">
        <v>3477</v>
      </c>
      <c r="Q1213">
        <v>18</v>
      </c>
      <c r="R1213" s="13">
        <v>4260</v>
      </c>
      <c r="S1213" s="13">
        <v>3195</v>
      </c>
    </row>
    <row r="1214" spans="1:19">
      <c r="A1214" s="9" t="s">
        <v>22</v>
      </c>
      <c r="B1214" s="9" t="s">
        <v>26</v>
      </c>
      <c r="C1214" s="9" t="s">
        <v>98</v>
      </c>
      <c r="D1214" t="s">
        <v>204</v>
      </c>
      <c r="F1214" s="12" t="s">
        <v>2714</v>
      </c>
      <c r="G1214" s="10" t="s">
        <v>975</v>
      </c>
      <c r="H1214" s="10" t="s">
        <v>975</v>
      </c>
      <c r="K1214" t="s">
        <v>19</v>
      </c>
      <c r="L1214" t="s">
        <v>20</v>
      </c>
      <c r="M1214" s="9">
        <v>69101</v>
      </c>
      <c r="N1214" t="s">
        <v>3477</v>
      </c>
      <c r="O1214">
        <v>18</v>
      </c>
      <c r="P1214" t="s">
        <v>3477</v>
      </c>
      <c r="Q1214">
        <v>18</v>
      </c>
      <c r="R1214" s="13">
        <v>6500</v>
      </c>
      <c r="S1214" s="13">
        <v>4550</v>
      </c>
    </row>
    <row r="1215" spans="1:19">
      <c r="A1215" s="9" t="s">
        <v>22</v>
      </c>
      <c r="B1215" s="9" t="s">
        <v>26</v>
      </c>
      <c r="C1215" s="9" t="s">
        <v>98</v>
      </c>
      <c r="D1215" t="s">
        <v>204</v>
      </c>
      <c r="F1215" s="12" t="s">
        <v>2715</v>
      </c>
      <c r="G1215" s="10" t="s">
        <v>976</v>
      </c>
      <c r="H1215" s="10" t="s">
        <v>976</v>
      </c>
      <c r="K1215" t="s">
        <v>19</v>
      </c>
      <c r="L1215" t="s">
        <v>20</v>
      </c>
      <c r="M1215" s="9">
        <v>69101</v>
      </c>
      <c r="N1215" t="s">
        <v>3477</v>
      </c>
      <c r="O1215">
        <v>18</v>
      </c>
      <c r="P1215" t="s">
        <v>3477</v>
      </c>
      <c r="Q1215">
        <v>18</v>
      </c>
      <c r="R1215" s="13">
        <v>6500</v>
      </c>
      <c r="S1215" s="13">
        <v>4550</v>
      </c>
    </row>
    <row r="1216" spans="1:19">
      <c r="A1216" s="9" t="s">
        <v>22</v>
      </c>
      <c r="B1216" s="9" t="s">
        <v>26</v>
      </c>
      <c r="C1216" s="9" t="s">
        <v>98</v>
      </c>
      <c r="D1216" t="s">
        <v>204</v>
      </c>
      <c r="F1216" s="12" t="s">
        <v>2716</v>
      </c>
      <c r="G1216" s="10" t="s">
        <v>977</v>
      </c>
      <c r="H1216" s="10" t="s">
        <v>977</v>
      </c>
      <c r="K1216" t="s">
        <v>19</v>
      </c>
      <c r="L1216" t="s">
        <v>20</v>
      </c>
      <c r="M1216" s="9">
        <v>69101</v>
      </c>
      <c r="N1216" t="s">
        <v>3477</v>
      </c>
      <c r="O1216">
        <v>18</v>
      </c>
      <c r="P1216" t="s">
        <v>3477</v>
      </c>
      <c r="Q1216">
        <v>18</v>
      </c>
      <c r="R1216" s="13">
        <v>9100</v>
      </c>
      <c r="S1216" s="13">
        <v>6370</v>
      </c>
    </row>
    <row r="1217" spans="1:19">
      <c r="A1217" s="9" t="s">
        <v>22</v>
      </c>
      <c r="B1217" s="9" t="s">
        <v>26</v>
      </c>
      <c r="C1217" s="9" t="s">
        <v>98</v>
      </c>
      <c r="D1217" t="s">
        <v>204</v>
      </c>
      <c r="F1217" s="12" t="s">
        <v>2717</v>
      </c>
      <c r="G1217" s="10" t="s">
        <v>978</v>
      </c>
      <c r="H1217" s="10" t="s">
        <v>978</v>
      </c>
      <c r="K1217" t="s">
        <v>19</v>
      </c>
      <c r="L1217" t="s">
        <v>20</v>
      </c>
      <c r="M1217" s="9">
        <v>69101</v>
      </c>
      <c r="N1217" t="s">
        <v>3477</v>
      </c>
      <c r="O1217">
        <v>18</v>
      </c>
      <c r="P1217" t="s">
        <v>3477</v>
      </c>
      <c r="Q1217">
        <v>18</v>
      </c>
      <c r="R1217" s="13">
        <v>9100</v>
      </c>
      <c r="S1217" s="13">
        <v>6370</v>
      </c>
    </row>
    <row r="1218" spans="1:19">
      <c r="A1218" s="9" t="s">
        <v>22</v>
      </c>
      <c r="B1218" s="9" t="s">
        <v>26</v>
      </c>
      <c r="C1218" s="9" t="s">
        <v>98</v>
      </c>
      <c r="D1218" t="s">
        <v>204</v>
      </c>
      <c r="F1218" s="12" t="s">
        <v>2718</v>
      </c>
      <c r="G1218" s="10" t="s">
        <v>979</v>
      </c>
      <c r="H1218" s="10" t="s">
        <v>979</v>
      </c>
      <c r="K1218" t="s">
        <v>19</v>
      </c>
      <c r="L1218" t="s">
        <v>20</v>
      </c>
      <c r="M1218" s="9">
        <v>69101</v>
      </c>
      <c r="N1218" t="s">
        <v>3477</v>
      </c>
      <c r="O1218">
        <v>18</v>
      </c>
      <c r="P1218" t="s">
        <v>3477</v>
      </c>
      <c r="Q1218">
        <v>18</v>
      </c>
      <c r="R1218" s="13">
        <v>12600</v>
      </c>
      <c r="S1218" s="13">
        <v>8820</v>
      </c>
    </row>
    <row r="1219" spans="1:19">
      <c r="A1219" s="9" t="s">
        <v>22</v>
      </c>
      <c r="B1219" s="9" t="s">
        <v>26</v>
      </c>
      <c r="C1219" s="9" t="s">
        <v>98</v>
      </c>
      <c r="D1219" t="s">
        <v>204</v>
      </c>
      <c r="F1219" s="12" t="s">
        <v>2719</v>
      </c>
      <c r="G1219" s="10" t="s">
        <v>980</v>
      </c>
      <c r="H1219" s="10" t="s">
        <v>980</v>
      </c>
      <c r="K1219" t="s">
        <v>19</v>
      </c>
      <c r="L1219" t="s">
        <v>20</v>
      </c>
      <c r="M1219" s="9">
        <v>69101</v>
      </c>
      <c r="N1219" t="s">
        <v>3477</v>
      </c>
      <c r="O1219">
        <v>18</v>
      </c>
      <c r="P1219" t="s">
        <v>3477</v>
      </c>
      <c r="Q1219">
        <v>18</v>
      </c>
      <c r="R1219" s="13">
        <v>12600</v>
      </c>
      <c r="S1219" s="13">
        <v>8820</v>
      </c>
    </row>
    <row r="1220" spans="1:19">
      <c r="A1220" s="9" t="s">
        <v>24</v>
      </c>
      <c r="B1220" s="9" t="s">
        <v>27</v>
      </c>
      <c r="C1220" s="9" t="s">
        <v>61</v>
      </c>
      <c r="D1220" t="s">
        <v>204</v>
      </c>
      <c r="F1220" s="12" t="s">
        <v>2720</v>
      </c>
      <c r="G1220" s="10" t="s">
        <v>981</v>
      </c>
      <c r="H1220" s="10" t="s">
        <v>981</v>
      </c>
      <c r="K1220" t="s">
        <v>19</v>
      </c>
      <c r="L1220" t="s">
        <v>20</v>
      </c>
      <c r="M1220" s="9">
        <v>8481802</v>
      </c>
      <c r="N1220" t="s">
        <v>3477</v>
      </c>
      <c r="O1220">
        <v>18</v>
      </c>
      <c r="P1220" t="s">
        <v>3477</v>
      </c>
      <c r="Q1220">
        <v>18</v>
      </c>
      <c r="R1220" s="13">
        <v>2700</v>
      </c>
      <c r="S1220" s="13">
        <v>2025</v>
      </c>
    </row>
    <row r="1221" spans="1:19">
      <c r="A1221" s="9" t="s">
        <v>24</v>
      </c>
      <c r="B1221" s="9" t="s">
        <v>27</v>
      </c>
      <c r="C1221" s="9" t="s">
        <v>59</v>
      </c>
      <c r="D1221" t="s">
        <v>204</v>
      </c>
      <c r="F1221" s="12" t="s">
        <v>2721</v>
      </c>
      <c r="G1221" s="10" t="s">
        <v>982</v>
      </c>
      <c r="H1221" s="10" t="s">
        <v>982</v>
      </c>
      <c r="K1221" t="s">
        <v>19</v>
      </c>
      <c r="L1221" t="s">
        <v>20</v>
      </c>
      <c r="M1221" s="9">
        <v>8481802</v>
      </c>
      <c r="N1221" t="s">
        <v>3477</v>
      </c>
      <c r="O1221">
        <v>18</v>
      </c>
      <c r="P1221" t="s">
        <v>3477</v>
      </c>
      <c r="Q1221">
        <v>18</v>
      </c>
      <c r="R1221" s="13">
        <v>1150</v>
      </c>
      <c r="S1221" s="13">
        <v>862.5</v>
      </c>
    </row>
    <row r="1222" spans="1:19">
      <c r="A1222" s="9" t="s">
        <v>24</v>
      </c>
      <c r="B1222" s="9" t="s">
        <v>27</v>
      </c>
      <c r="C1222" s="9" t="s">
        <v>174</v>
      </c>
      <c r="D1222" t="s">
        <v>204</v>
      </c>
      <c r="F1222" s="12" t="s">
        <v>2722</v>
      </c>
      <c r="G1222" s="10" t="s">
        <v>983</v>
      </c>
      <c r="H1222" s="10" t="s">
        <v>983</v>
      </c>
      <c r="K1222" t="s">
        <v>19</v>
      </c>
      <c r="L1222" t="s">
        <v>20</v>
      </c>
      <c r="M1222" s="9">
        <v>8481802</v>
      </c>
      <c r="N1222" t="s">
        <v>3477</v>
      </c>
      <c r="O1222">
        <v>18</v>
      </c>
      <c r="P1222" t="s">
        <v>3477</v>
      </c>
      <c r="Q1222">
        <v>18</v>
      </c>
      <c r="R1222" s="13">
        <v>600</v>
      </c>
      <c r="S1222" s="13">
        <v>450</v>
      </c>
    </row>
    <row r="1223" spans="1:19">
      <c r="A1223" s="9" t="s">
        <v>24</v>
      </c>
      <c r="B1223" s="9" t="s">
        <v>27</v>
      </c>
      <c r="C1223" s="9" t="s">
        <v>95</v>
      </c>
      <c r="D1223" t="s">
        <v>204</v>
      </c>
      <c r="F1223" s="12" t="s">
        <v>2723</v>
      </c>
      <c r="G1223" s="10" t="s">
        <v>984</v>
      </c>
      <c r="H1223" s="10" t="s">
        <v>984</v>
      </c>
      <c r="K1223" t="s">
        <v>19</v>
      </c>
      <c r="L1223" t="s">
        <v>20</v>
      </c>
      <c r="M1223" s="9">
        <v>8481909</v>
      </c>
      <c r="N1223" t="s">
        <v>3477</v>
      </c>
      <c r="O1223">
        <v>18</v>
      </c>
      <c r="P1223" t="s">
        <v>3477</v>
      </c>
      <c r="Q1223">
        <v>18</v>
      </c>
      <c r="R1223" s="13">
        <v>2240</v>
      </c>
      <c r="S1223" s="13">
        <v>1680</v>
      </c>
    </row>
    <row r="1224" spans="1:19">
      <c r="A1224" s="9" t="s">
        <v>24</v>
      </c>
      <c r="B1224" s="9" t="s">
        <v>27</v>
      </c>
      <c r="C1224" s="9" t="s">
        <v>51</v>
      </c>
      <c r="D1224" t="s">
        <v>204</v>
      </c>
      <c r="F1224" s="12" t="s">
        <v>2724</v>
      </c>
      <c r="G1224" s="10" t="s">
        <v>985</v>
      </c>
      <c r="H1224" s="10" t="s">
        <v>985</v>
      </c>
      <c r="K1224" t="s">
        <v>19</v>
      </c>
      <c r="L1224" t="s">
        <v>20</v>
      </c>
      <c r="M1224" s="9">
        <v>8481802</v>
      </c>
      <c r="N1224" t="s">
        <v>3477</v>
      </c>
      <c r="O1224">
        <v>18</v>
      </c>
      <c r="P1224" t="s">
        <v>3477</v>
      </c>
      <c r="Q1224">
        <v>18</v>
      </c>
      <c r="R1224" s="13">
        <v>1640</v>
      </c>
      <c r="S1224" s="13">
        <v>1230</v>
      </c>
    </row>
    <row r="1225" spans="1:19">
      <c r="A1225" s="9" t="s">
        <v>24</v>
      </c>
      <c r="B1225" s="9" t="s">
        <v>27</v>
      </c>
      <c r="C1225" s="9" t="s">
        <v>51</v>
      </c>
      <c r="D1225" t="s">
        <v>204</v>
      </c>
      <c r="F1225" s="12" t="s">
        <v>2725</v>
      </c>
      <c r="G1225" s="10" t="s">
        <v>986</v>
      </c>
      <c r="H1225" s="10" t="s">
        <v>986</v>
      </c>
      <c r="K1225" t="s">
        <v>19</v>
      </c>
      <c r="L1225" t="s">
        <v>20</v>
      </c>
      <c r="M1225" s="9">
        <v>8481802</v>
      </c>
      <c r="N1225" t="s">
        <v>3477</v>
      </c>
      <c r="O1225">
        <v>18</v>
      </c>
      <c r="P1225" t="s">
        <v>3477</v>
      </c>
      <c r="Q1225">
        <v>18</v>
      </c>
      <c r="R1225" s="13">
        <v>2530</v>
      </c>
      <c r="S1225" s="13">
        <v>1897.5</v>
      </c>
    </row>
    <row r="1226" spans="1:19">
      <c r="A1226" s="9" t="s">
        <v>24</v>
      </c>
      <c r="B1226" s="9" t="s">
        <v>27</v>
      </c>
      <c r="C1226" s="9" t="s">
        <v>48</v>
      </c>
      <c r="D1226" t="s">
        <v>204</v>
      </c>
      <c r="F1226" s="12" t="s">
        <v>2726</v>
      </c>
      <c r="G1226" s="10" t="s">
        <v>987</v>
      </c>
      <c r="H1226" s="10" t="s">
        <v>987</v>
      </c>
      <c r="K1226" t="s">
        <v>19</v>
      </c>
      <c r="L1226" t="s">
        <v>20</v>
      </c>
      <c r="M1226" s="9">
        <v>8481802</v>
      </c>
      <c r="N1226" t="s">
        <v>3477</v>
      </c>
      <c r="O1226">
        <v>18</v>
      </c>
      <c r="P1226" t="s">
        <v>3477</v>
      </c>
      <c r="Q1226">
        <v>18</v>
      </c>
      <c r="R1226" s="13">
        <v>4260</v>
      </c>
      <c r="S1226" s="13">
        <v>3195</v>
      </c>
    </row>
    <row r="1227" spans="1:19">
      <c r="A1227" s="9" t="s">
        <v>24</v>
      </c>
      <c r="B1227" s="9" t="s">
        <v>27</v>
      </c>
      <c r="C1227" s="9" t="s">
        <v>118</v>
      </c>
      <c r="D1227" t="s">
        <v>204</v>
      </c>
      <c r="F1227" s="12" t="s">
        <v>2727</v>
      </c>
      <c r="G1227" s="10" t="s">
        <v>988</v>
      </c>
      <c r="H1227" s="10" t="s">
        <v>988</v>
      </c>
      <c r="K1227" t="s">
        <v>19</v>
      </c>
      <c r="L1227" t="s">
        <v>20</v>
      </c>
      <c r="M1227" s="9">
        <v>8481802</v>
      </c>
      <c r="N1227" t="s">
        <v>3477</v>
      </c>
      <c r="O1227">
        <v>18</v>
      </c>
      <c r="P1227" t="s">
        <v>3477</v>
      </c>
      <c r="Q1227">
        <v>18</v>
      </c>
      <c r="R1227" s="13">
        <v>2270</v>
      </c>
      <c r="S1227" s="13">
        <v>1702.5</v>
      </c>
    </row>
    <row r="1228" spans="1:19">
      <c r="A1228" s="9" t="s">
        <v>24</v>
      </c>
      <c r="B1228" s="9" t="s">
        <v>27</v>
      </c>
      <c r="C1228" s="9" t="s">
        <v>49</v>
      </c>
      <c r="D1228" t="s">
        <v>204</v>
      </c>
      <c r="F1228" s="12" t="s">
        <v>2728</v>
      </c>
      <c r="G1228" s="10" t="s">
        <v>989</v>
      </c>
      <c r="H1228" s="10" t="s">
        <v>989</v>
      </c>
      <c r="K1228" t="s">
        <v>19</v>
      </c>
      <c r="L1228" t="s">
        <v>20</v>
      </c>
      <c r="M1228" s="9">
        <v>8481802</v>
      </c>
      <c r="N1228" t="s">
        <v>3477</v>
      </c>
      <c r="O1228">
        <v>18</v>
      </c>
      <c r="P1228" t="s">
        <v>3477</v>
      </c>
      <c r="Q1228">
        <v>18</v>
      </c>
      <c r="R1228" s="13">
        <v>5980</v>
      </c>
      <c r="S1228" s="13">
        <v>4485</v>
      </c>
    </row>
    <row r="1229" spans="1:19">
      <c r="A1229" s="9" t="s">
        <v>24</v>
      </c>
      <c r="B1229" s="9" t="s">
        <v>27</v>
      </c>
      <c r="C1229" s="9" t="s">
        <v>114</v>
      </c>
      <c r="D1229" t="s">
        <v>204</v>
      </c>
      <c r="F1229" s="12" t="s">
        <v>2729</v>
      </c>
      <c r="G1229" s="10" t="s">
        <v>990</v>
      </c>
      <c r="H1229" s="10" t="s">
        <v>990</v>
      </c>
      <c r="K1229" t="s">
        <v>19</v>
      </c>
      <c r="L1229" t="s">
        <v>20</v>
      </c>
      <c r="M1229" s="9">
        <v>8481802</v>
      </c>
      <c r="N1229" t="s">
        <v>3477</v>
      </c>
      <c r="O1229">
        <v>18</v>
      </c>
      <c r="P1229" t="s">
        <v>3477</v>
      </c>
      <c r="Q1229">
        <v>18</v>
      </c>
      <c r="R1229" s="13">
        <v>3680</v>
      </c>
      <c r="S1229" s="13">
        <v>2760</v>
      </c>
    </row>
    <row r="1230" spans="1:19">
      <c r="A1230" s="9" t="s">
        <v>24</v>
      </c>
      <c r="B1230" s="9" t="s">
        <v>27</v>
      </c>
      <c r="C1230" s="9" t="s">
        <v>104</v>
      </c>
      <c r="D1230" t="s">
        <v>204</v>
      </c>
      <c r="F1230" s="12" t="s">
        <v>2730</v>
      </c>
      <c r="G1230" s="10" t="s">
        <v>991</v>
      </c>
      <c r="H1230" s="10" t="s">
        <v>991</v>
      </c>
      <c r="K1230" t="s">
        <v>19</v>
      </c>
      <c r="L1230" t="s">
        <v>20</v>
      </c>
      <c r="M1230" s="9">
        <v>8481802</v>
      </c>
      <c r="N1230" t="s">
        <v>3477</v>
      </c>
      <c r="O1230">
        <v>18</v>
      </c>
      <c r="P1230" t="s">
        <v>3477</v>
      </c>
      <c r="Q1230">
        <v>18</v>
      </c>
      <c r="R1230" s="13">
        <v>2880</v>
      </c>
      <c r="S1230" s="13">
        <v>2160</v>
      </c>
    </row>
    <row r="1231" spans="1:19">
      <c r="A1231" s="9" t="s">
        <v>24</v>
      </c>
      <c r="B1231" s="9" t="s">
        <v>27</v>
      </c>
      <c r="C1231" s="9" t="s">
        <v>64</v>
      </c>
      <c r="D1231" t="s">
        <v>204</v>
      </c>
      <c r="F1231" s="12" t="s">
        <v>2731</v>
      </c>
      <c r="G1231" s="10" t="s">
        <v>992</v>
      </c>
      <c r="H1231" s="10" t="s">
        <v>992</v>
      </c>
      <c r="K1231" t="s">
        <v>19</v>
      </c>
      <c r="L1231" t="s">
        <v>20</v>
      </c>
      <c r="M1231" s="9">
        <v>39229</v>
      </c>
      <c r="N1231" t="s">
        <v>3477</v>
      </c>
      <c r="O1231">
        <v>18</v>
      </c>
      <c r="P1231" t="s">
        <v>3477</v>
      </c>
      <c r="Q1231">
        <v>18</v>
      </c>
      <c r="R1231" s="13">
        <v>2650</v>
      </c>
      <c r="S1231" s="13">
        <v>1987.5</v>
      </c>
    </row>
    <row r="1232" spans="1:19">
      <c r="A1232" s="9" t="s">
        <v>24</v>
      </c>
      <c r="B1232" s="9" t="s">
        <v>27</v>
      </c>
      <c r="C1232" s="9" t="s">
        <v>64</v>
      </c>
      <c r="D1232" t="s">
        <v>204</v>
      </c>
      <c r="F1232" s="12" t="s">
        <v>2732</v>
      </c>
      <c r="G1232" s="10" t="s">
        <v>993</v>
      </c>
      <c r="H1232" s="10" t="s">
        <v>993</v>
      </c>
      <c r="K1232" t="s">
        <v>19</v>
      </c>
      <c r="L1232" t="s">
        <v>20</v>
      </c>
      <c r="M1232" s="9">
        <v>39229</v>
      </c>
      <c r="N1232" t="s">
        <v>3477</v>
      </c>
      <c r="O1232">
        <v>18</v>
      </c>
      <c r="P1232" t="s">
        <v>3477</v>
      </c>
      <c r="Q1232">
        <v>18</v>
      </c>
      <c r="R1232" s="13">
        <v>3310</v>
      </c>
      <c r="S1232" s="13">
        <v>2482.5</v>
      </c>
    </row>
    <row r="1233" spans="1:19">
      <c r="A1233" s="9" t="s">
        <v>24</v>
      </c>
      <c r="B1233" s="9" t="s">
        <v>27</v>
      </c>
      <c r="C1233" s="9" t="s">
        <v>118</v>
      </c>
      <c r="D1233" t="s">
        <v>204</v>
      </c>
      <c r="F1233" s="12" t="s">
        <v>2733</v>
      </c>
      <c r="G1233" s="10" t="s">
        <v>994</v>
      </c>
      <c r="H1233" s="10" t="s">
        <v>994</v>
      </c>
      <c r="K1233" t="s">
        <v>19</v>
      </c>
      <c r="L1233" t="s">
        <v>20</v>
      </c>
      <c r="M1233" s="9">
        <v>8481802</v>
      </c>
      <c r="N1233" t="s">
        <v>3477</v>
      </c>
      <c r="O1233">
        <v>18</v>
      </c>
      <c r="P1233" t="s">
        <v>3477</v>
      </c>
      <c r="Q1233">
        <v>18</v>
      </c>
      <c r="R1233" s="13">
        <v>2270</v>
      </c>
      <c r="S1233" s="13">
        <v>1702.5</v>
      </c>
    </row>
    <row r="1234" spans="1:19">
      <c r="A1234" s="9" t="s">
        <v>24</v>
      </c>
      <c r="B1234" s="9" t="s">
        <v>27</v>
      </c>
      <c r="C1234" s="9" t="s">
        <v>49</v>
      </c>
      <c r="D1234" t="s">
        <v>204</v>
      </c>
      <c r="F1234" s="12" t="s">
        <v>2734</v>
      </c>
      <c r="G1234" s="10" t="s">
        <v>995</v>
      </c>
      <c r="H1234" s="10" t="s">
        <v>995</v>
      </c>
      <c r="K1234" t="s">
        <v>19</v>
      </c>
      <c r="L1234" t="s">
        <v>20</v>
      </c>
      <c r="M1234" s="9">
        <v>8481802</v>
      </c>
      <c r="N1234" t="s">
        <v>3477</v>
      </c>
      <c r="O1234">
        <v>18</v>
      </c>
      <c r="P1234" t="s">
        <v>3477</v>
      </c>
      <c r="Q1234">
        <v>18</v>
      </c>
      <c r="R1234" s="13">
        <v>5980</v>
      </c>
      <c r="S1234" s="13">
        <v>4485</v>
      </c>
    </row>
    <row r="1235" spans="1:19">
      <c r="A1235" s="9" t="s">
        <v>24</v>
      </c>
      <c r="B1235" s="9" t="s">
        <v>27</v>
      </c>
      <c r="C1235" s="9" t="s">
        <v>114</v>
      </c>
      <c r="D1235" t="s">
        <v>204</v>
      </c>
      <c r="F1235" s="12" t="s">
        <v>2735</v>
      </c>
      <c r="G1235" s="10" t="s">
        <v>996</v>
      </c>
      <c r="H1235" s="10" t="s">
        <v>996</v>
      </c>
      <c r="K1235" t="s">
        <v>19</v>
      </c>
      <c r="L1235" t="s">
        <v>20</v>
      </c>
      <c r="M1235" s="9">
        <v>8481802</v>
      </c>
      <c r="N1235" t="s">
        <v>3477</v>
      </c>
      <c r="O1235">
        <v>18</v>
      </c>
      <c r="P1235" t="s">
        <v>3477</v>
      </c>
      <c r="Q1235">
        <v>18</v>
      </c>
      <c r="R1235" s="13">
        <v>3680</v>
      </c>
      <c r="S1235" s="13">
        <v>2760</v>
      </c>
    </row>
    <row r="1236" spans="1:19">
      <c r="A1236" s="9" t="s">
        <v>24</v>
      </c>
      <c r="B1236" s="9" t="s">
        <v>27</v>
      </c>
      <c r="C1236" s="9" t="s">
        <v>104</v>
      </c>
      <c r="D1236" t="s">
        <v>204</v>
      </c>
      <c r="F1236" s="12" t="s">
        <v>2736</v>
      </c>
      <c r="G1236" s="10" t="s">
        <v>997</v>
      </c>
      <c r="H1236" s="10" t="s">
        <v>997</v>
      </c>
      <c r="K1236" t="s">
        <v>19</v>
      </c>
      <c r="L1236" t="s">
        <v>20</v>
      </c>
      <c r="M1236" s="9">
        <v>8481802</v>
      </c>
      <c r="N1236" t="s">
        <v>3477</v>
      </c>
      <c r="O1236">
        <v>18</v>
      </c>
      <c r="P1236" t="s">
        <v>3477</v>
      </c>
      <c r="Q1236">
        <v>18</v>
      </c>
      <c r="R1236" s="13">
        <v>2880</v>
      </c>
      <c r="S1236" s="13">
        <v>2160</v>
      </c>
    </row>
    <row r="1237" spans="1:19">
      <c r="A1237" s="9" t="s">
        <v>24</v>
      </c>
      <c r="B1237" s="9" t="s">
        <v>27</v>
      </c>
      <c r="C1237" s="9" t="s">
        <v>84</v>
      </c>
      <c r="D1237" t="s">
        <v>204</v>
      </c>
      <c r="F1237" s="12" t="s">
        <v>2737</v>
      </c>
      <c r="G1237" s="10" t="s">
        <v>998</v>
      </c>
      <c r="H1237" s="10" t="s">
        <v>998</v>
      </c>
      <c r="K1237" t="s">
        <v>19</v>
      </c>
      <c r="L1237" t="s">
        <v>20</v>
      </c>
      <c r="M1237" s="9">
        <v>8481909</v>
      </c>
      <c r="N1237" t="s">
        <v>3477</v>
      </c>
      <c r="O1237">
        <v>18</v>
      </c>
      <c r="P1237" t="s">
        <v>3477</v>
      </c>
      <c r="Q1237">
        <v>18</v>
      </c>
      <c r="R1237" s="13">
        <v>7650</v>
      </c>
      <c r="S1237" s="13">
        <v>5737.5</v>
      </c>
    </row>
    <row r="1238" spans="1:19">
      <c r="A1238" s="9" t="s">
        <v>22</v>
      </c>
      <c r="B1238" s="9" t="s">
        <v>27</v>
      </c>
      <c r="C1238" s="9" t="s">
        <v>175</v>
      </c>
      <c r="D1238" t="s">
        <v>204</v>
      </c>
      <c r="F1238" s="12" t="s">
        <v>2738</v>
      </c>
      <c r="G1238" s="10" t="s">
        <v>998</v>
      </c>
      <c r="H1238" s="10" t="s">
        <v>998</v>
      </c>
      <c r="K1238" t="s">
        <v>19</v>
      </c>
      <c r="L1238" t="s">
        <v>20</v>
      </c>
      <c r="M1238" s="9">
        <v>39229</v>
      </c>
      <c r="N1238" t="s">
        <v>3477</v>
      </c>
      <c r="O1238">
        <v>18</v>
      </c>
      <c r="P1238" t="s">
        <v>3477</v>
      </c>
      <c r="Q1238">
        <v>18</v>
      </c>
      <c r="R1238" s="13">
        <v>20000</v>
      </c>
      <c r="S1238" s="13">
        <v>14000</v>
      </c>
    </row>
    <row r="1239" spans="1:19">
      <c r="A1239" s="9" t="s">
        <v>22</v>
      </c>
      <c r="B1239" s="9" t="s">
        <v>27</v>
      </c>
      <c r="C1239" s="9" t="s">
        <v>135</v>
      </c>
      <c r="D1239" t="s">
        <v>204</v>
      </c>
      <c r="F1239" s="12" t="s">
        <v>2739</v>
      </c>
      <c r="G1239" s="10" t="s">
        <v>998</v>
      </c>
      <c r="H1239" s="10" t="s">
        <v>998</v>
      </c>
      <c r="K1239" t="s">
        <v>19</v>
      </c>
      <c r="L1239" t="s">
        <v>20</v>
      </c>
      <c r="M1239" s="9">
        <v>39229</v>
      </c>
      <c r="N1239" t="s">
        <v>3477</v>
      </c>
      <c r="O1239">
        <v>18</v>
      </c>
      <c r="P1239" t="s">
        <v>3477</v>
      </c>
      <c r="Q1239">
        <v>18</v>
      </c>
      <c r="R1239" s="13">
        <v>22400</v>
      </c>
      <c r="S1239" s="13">
        <v>15679.999999999998</v>
      </c>
    </row>
    <row r="1240" spans="1:19">
      <c r="A1240" s="9" t="s">
        <v>22</v>
      </c>
      <c r="B1240" s="9" t="s">
        <v>27</v>
      </c>
      <c r="C1240" s="9" t="s">
        <v>175</v>
      </c>
      <c r="D1240" t="s">
        <v>204</v>
      </c>
      <c r="F1240" s="12" t="s">
        <v>2740</v>
      </c>
      <c r="G1240" s="10" t="s">
        <v>998</v>
      </c>
      <c r="H1240" s="10" t="s">
        <v>998</v>
      </c>
      <c r="K1240" t="s">
        <v>19</v>
      </c>
      <c r="L1240" t="s">
        <v>20</v>
      </c>
      <c r="M1240" s="9">
        <v>39229</v>
      </c>
      <c r="N1240" t="s">
        <v>3477</v>
      </c>
      <c r="O1240">
        <v>18</v>
      </c>
      <c r="P1240" t="s">
        <v>3477</v>
      </c>
      <c r="Q1240">
        <v>18</v>
      </c>
      <c r="R1240" s="13">
        <v>24000</v>
      </c>
      <c r="S1240" s="13">
        <v>16800</v>
      </c>
    </row>
    <row r="1241" spans="1:19">
      <c r="A1241" s="9" t="s">
        <v>22</v>
      </c>
      <c r="B1241" s="9" t="s">
        <v>27</v>
      </c>
      <c r="C1241" s="9" t="s">
        <v>175</v>
      </c>
      <c r="D1241" t="s">
        <v>204</v>
      </c>
      <c r="F1241" s="12" t="s">
        <v>2741</v>
      </c>
      <c r="G1241" s="10" t="s">
        <v>998</v>
      </c>
      <c r="H1241" s="10" t="s">
        <v>998</v>
      </c>
      <c r="K1241" t="s">
        <v>19</v>
      </c>
      <c r="L1241" t="s">
        <v>20</v>
      </c>
      <c r="M1241" s="9">
        <v>39229</v>
      </c>
      <c r="N1241" t="s">
        <v>3477</v>
      </c>
      <c r="O1241">
        <v>18</v>
      </c>
      <c r="P1241" t="s">
        <v>3477</v>
      </c>
      <c r="Q1241">
        <v>18</v>
      </c>
      <c r="R1241" s="13">
        <v>24000</v>
      </c>
      <c r="S1241" s="13">
        <v>16800</v>
      </c>
    </row>
    <row r="1242" spans="1:19">
      <c r="A1242" s="9" t="s">
        <v>22</v>
      </c>
      <c r="B1242" s="9" t="s">
        <v>27</v>
      </c>
      <c r="C1242" s="9" t="s">
        <v>175</v>
      </c>
      <c r="D1242" t="s">
        <v>204</v>
      </c>
      <c r="F1242" s="12" t="s">
        <v>2742</v>
      </c>
      <c r="G1242" s="10" t="s">
        <v>998</v>
      </c>
      <c r="H1242" s="10" t="s">
        <v>998</v>
      </c>
      <c r="K1242" t="s">
        <v>19</v>
      </c>
      <c r="L1242" t="s">
        <v>20</v>
      </c>
      <c r="M1242" s="9">
        <v>39229</v>
      </c>
      <c r="N1242" t="s">
        <v>3477</v>
      </c>
      <c r="O1242">
        <v>18</v>
      </c>
      <c r="P1242" t="s">
        <v>3477</v>
      </c>
      <c r="Q1242">
        <v>18</v>
      </c>
      <c r="R1242" s="13">
        <v>16000</v>
      </c>
      <c r="S1242" s="13">
        <v>11200</v>
      </c>
    </row>
    <row r="1243" spans="1:19">
      <c r="A1243" s="9" t="s">
        <v>22</v>
      </c>
      <c r="B1243" s="9" t="s">
        <v>27</v>
      </c>
      <c r="C1243" s="9" t="s">
        <v>175</v>
      </c>
      <c r="D1243" t="s">
        <v>204</v>
      </c>
      <c r="F1243" s="12" t="s">
        <v>2743</v>
      </c>
      <c r="G1243" s="10" t="s">
        <v>999</v>
      </c>
      <c r="H1243" s="10" t="s">
        <v>999</v>
      </c>
      <c r="K1243" t="s">
        <v>19</v>
      </c>
      <c r="L1243" t="s">
        <v>20</v>
      </c>
      <c r="M1243" s="9">
        <v>39229</v>
      </c>
      <c r="N1243" t="s">
        <v>3477</v>
      </c>
      <c r="O1243">
        <v>18</v>
      </c>
      <c r="P1243" t="s">
        <v>3477</v>
      </c>
      <c r="Q1243">
        <v>18</v>
      </c>
      <c r="R1243" s="13">
        <v>22400</v>
      </c>
      <c r="S1243" s="13">
        <v>15679.999999999998</v>
      </c>
    </row>
    <row r="1244" spans="1:19">
      <c r="A1244" s="9" t="s">
        <v>22</v>
      </c>
      <c r="B1244" s="9" t="s">
        <v>27</v>
      </c>
      <c r="C1244" s="9" t="s">
        <v>175</v>
      </c>
      <c r="D1244" t="s">
        <v>204</v>
      </c>
      <c r="F1244" s="12" t="s">
        <v>2744</v>
      </c>
      <c r="G1244" s="10" t="s">
        <v>999</v>
      </c>
      <c r="H1244" s="10" t="s">
        <v>999</v>
      </c>
      <c r="K1244" t="s">
        <v>19</v>
      </c>
      <c r="L1244" t="s">
        <v>20</v>
      </c>
      <c r="M1244" s="9">
        <v>39229</v>
      </c>
      <c r="N1244" t="s">
        <v>3477</v>
      </c>
      <c r="O1244">
        <v>18</v>
      </c>
      <c r="P1244" t="s">
        <v>3477</v>
      </c>
      <c r="Q1244">
        <v>18</v>
      </c>
      <c r="R1244" s="13">
        <v>20000</v>
      </c>
      <c r="S1244" s="13">
        <v>14000</v>
      </c>
    </row>
    <row r="1245" spans="1:19">
      <c r="A1245" s="9" t="s">
        <v>22</v>
      </c>
      <c r="B1245" s="9" t="s">
        <v>27</v>
      </c>
      <c r="C1245" s="9" t="s">
        <v>175</v>
      </c>
      <c r="D1245" t="s">
        <v>204</v>
      </c>
      <c r="F1245" s="12" t="s">
        <v>2745</v>
      </c>
      <c r="G1245" s="10" t="s">
        <v>999</v>
      </c>
      <c r="H1245" s="10" t="s">
        <v>999</v>
      </c>
      <c r="K1245" t="s">
        <v>19</v>
      </c>
      <c r="L1245" t="s">
        <v>20</v>
      </c>
      <c r="M1245" s="9">
        <v>39229</v>
      </c>
      <c r="N1245" t="s">
        <v>3477</v>
      </c>
      <c r="O1245">
        <v>18</v>
      </c>
      <c r="P1245" t="s">
        <v>3477</v>
      </c>
      <c r="Q1245">
        <v>18</v>
      </c>
      <c r="R1245" s="13">
        <v>22400</v>
      </c>
      <c r="S1245" s="13">
        <v>15679.999999999998</v>
      </c>
    </row>
    <row r="1246" spans="1:19">
      <c r="A1246" s="9" t="s">
        <v>22</v>
      </c>
      <c r="B1246" s="9" t="s">
        <v>27</v>
      </c>
      <c r="C1246" s="9" t="s">
        <v>175</v>
      </c>
      <c r="D1246" t="s">
        <v>204</v>
      </c>
      <c r="F1246" s="12" t="s">
        <v>2746</v>
      </c>
      <c r="G1246" s="10" t="s">
        <v>999</v>
      </c>
      <c r="H1246" s="10" t="s">
        <v>999</v>
      </c>
      <c r="K1246" t="s">
        <v>19</v>
      </c>
      <c r="L1246" t="s">
        <v>20</v>
      </c>
      <c r="M1246" s="9">
        <v>39229</v>
      </c>
      <c r="N1246" t="s">
        <v>3477</v>
      </c>
      <c r="O1246">
        <v>18</v>
      </c>
      <c r="P1246" t="s">
        <v>3477</v>
      </c>
      <c r="Q1246">
        <v>18</v>
      </c>
      <c r="R1246" s="13">
        <v>24000</v>
      </c>
      <c r="S1246" s="13">
        <v>16800</v>
      </c>
    </row>
    <row r="1247" spans="1:19">
      <c r="A1247" s="9" t="s">
        <v>22</v>
      </c>
      <c r="B1247" s="9" t="s">
        <v>27</v>
      </c>
      <c r="C1247" s="9" t="s">
        <v>175</v>
      </c>
      <c r="D1247" t="s">
        <v>204</v>
      </c>
      <c r="F1247" s="12" t="s">
        <v>2747</v>
      </c>
      <c r="G1247" s="10" t="s">
        <v>999</v>
      </c>
      <c r="H1247" s="10" t="s">
        <v>999</v>
      </c>
      <c r="K1247" t="s">
        <v>19</v>
      </c>
      <c r="L1247" t="s">
        <v>20</v>
      </c>
      <c r="M1247" s="9">
        <v>39229</v>
      </c>
      <c r="N1247" t="s">
        <v>3477</v>
      </c>
      <c r="O1247">
        <v>18</v>
      </c>
      <c r="P1247" t="s">
        <v>3477</v>
      </c>
      <c r="Q1247">
        <v>18</v>
      </c>
      <c r="R1247" s="13">
        <v>24000</v>
      </c>
      <c r="S1247" s="13">
        <v>16800</v>
      </c>
    </row>
    <row r="1248" spans="1:19">
      <c r="A1248" s="9" t="s">
        <v>22</v>
      </c>
      <c r="B1248" s="9" t="s">
        <v>27</v>
      </c>
      <c r="C1248" s="9" t="s">
        <v>175</v>
      </c>
      <c r="D1248" t="s">
        <v>204</v>
      </c>
      <c r="F1248" s="12" t="s">
        <v>2748</v>
      </c>
      <c r="G1248" s="10" t="s">
        <v>999</v>
      </c>
      <c r="H1248" s="10" t="s">
        <v>999</v>
      </c>
      <c r="K1248" t="s">
        <v>19</v>
      </c>
      <c r="L1248" t="s">
        <v>20</v>
      </c>
      <c r="M1248" s="9">
        <v>39229</v>
      </c>
      <c r="N1248" t="s">
        <v>3477</v>
      </c>
      <c r="O1248">
        <v>18</v>
      </c>
      <c r="P1248" t="s">
        <v>3477</v>
      </c>
      <c r="Q1248">
        <v>18</v>
      </c>
      <c r="R1248" s="13">
        <v>16000</v>
      </c>
      <c r="S1248" s="13">
        <v>11200</v>
      </c>
    </row>
    <row r="1249" spans="1:19">
      <c r="A1249" s="9" t="s">
        <v>22</v>
      </c>
      <c r="B1249" s="9" t="s">
        <v>27</v>
      </c>
      <c r="C1249" s="9" t="s">
        <v>175</v>
      </c>
      <c r="D1249" t="s">
        <v>204</v>
      </c>
      <c r="F1249" s="12" t="s">
        <v>2749</v>
      </c>
      <c r="G1249" s="10" t="s">
        <v>1000</v>
      </c>
      <c r="H1249" s="10" t="s">
        <v>1000</v>
      </c>
      <c r="K1249" t="s">
        <v>19</v>
      </c>
      <c r="L1249" t="s">
        <v>20</v>
      </c>
      <c r="M1249" s="9">
        <v>39229</v>
      </c>
      <c r="N1249" t="s">
        <v>3477</v>
      </c>
      <c r="O1249">
        <v>18</v>
      </c>
      <c r="P1249" t="s">
        <v>3477</v>
      </c>
      <c r="Q1249">
        <v>18</v>
      </c>
      <c r="R1249" s="13">
        <v>22400</v>
      </c>
      <c r="S1249" s="13">
        <v>15679.999999999998</v>
      </c>
    </row>
    <row r="1250" spans="1:19">
      <c r="A1250" s="9" t="s">
        <v>22</v>
      </c>
      <c r="B1250" s="9" t="s">
        <v>27</v>
      </c>
      <c r="C1250" s="9" t="s">
        <v>119</v>
      </c>
      <c r="D1250" t="s">
        <v>204</v>
      </c>
      <c r="F1250" s="12" t="s">
        <v>2750</v>
      </c>
      <c r="G1250" s="10" t="s">
        <v>1000</v>
      </c>
      <c r="H1250" s="10" t="s">
        <v>1000</v>
      </c>
      <c r="K1250" t="s">
        <v>19</v>
      </c>
      <c r="L1250" t="s">
        <v>20</v>
      </c>
      <c r="M1250" s="9">
        <v>8481802</v>
      </c>
      <c r="N1250" t="s">
        <v>3477</v>
      </c>
      <c r="O1250">
        <v>18</v>
      </c>
      <c r="P1250" t="s">
        <v>3477</v>
      </c>
      <c r="Q1250">
        <v>18</v>
      </c>
      <c r="R1250" s="13">
        <v>36930</v>
      </c>
      <c r="S1250" s="13">
        <v>25851</v>
      </c>
    </row>
    <row r="1251" spans="1:19">
      <c r="A1251" s="9" t="s">
        <v>22</v>
      </c>
      <c r="B1251" s="9" t="s">
        <v>27</v>
      </c>
      <c r="C1251" s="9" t="s">
        <v>119</v>
      </c>
      <c r="D1251" t="s">
        <v>204</v>
      </c>
      <c r="F1251" s="12" t="s">
        <v>2751</v>
      </c>
      <c r="G1251" s="10" t="s">
        <v>1000</v>
      </c>
      <c r="H1251" s="10" t="s">
        <v>1000</v>
      </c>
      <c r="K1251" t="s">
        <v>19</v>
      </c>
      <c r="L1251" t="s">
        <v>20</v>
      </c>
      <c r="M1251" s="9">
        <v>8481802</v>
      </c>
      <c r="N1251" t="s">
        <v>3477</v>
      </c>
      <c r="O1251">
        <v>18</v>
      </c>
      <c r="P1251" t="s">
        <v>3477</v>
      </c>
      <c r="Q1251">
        <v>18</v>
      </c>
      <c r="R1251" s="13">
        <v>36930</v>
      </c>
      <c r="S1251" s="13">
        <v>25851</v>
      </c>
    </row>
    <row r="1252" spans="1:19">
      <c r="A1252" s="9" t="s">
        <v>22</v>
      </c>
      <c r="B1252" s="9" t="s">
        <v>27</v>
      </c>
      <c r="C1252" s="9" t="s">
        <v>119</v>
      </c>
      <c r="D1252" t="s">
        <v>204</v>
      </c>
      <c r="F1252" s="12" t="s">
        <v>2752</v>
      </c>
      <c r="G1252" s="10" t="s">
        <v>1001</v>
      </c>
      <c r="H1252" s="10" t="s">
        <v>1001</v>
      </c>
      <c r="K1252" t="s">
        <v>19</v>
      </c>
      <c r="L1252" t="s">
        <v>20</v>
      </c>
      <c r="M1252" s="9">
        <v>8481802</v>
      </c>
      <c r="N1252" t="s">
        <v>3477</v>
      </c>
      <c r="O1252">
        <v>18</v>
      </c>
      <c r="P1252" t="s">
        <v>3477</v>
      </c>
      <c r="Q1252">
        <v>18</v>
      </c>
      <c r="R1252" s="13">
        <v>36930</v>
      </c>
      <c r="S1252" s="13">
        <v>25851</v>
      </c>
    </row>
    <row r="1253" spans="1:19">
      <c r="A1253" s="9" t="s">
        <v>22</v>
      </c>
      <c r="B1253" s="9" t="s">
        <v>27</v>
      </c>
      <c r="C1253" s="9" t="s">
        <v>119</v>
      </c>
      <c r="D1253" t="s">
        <v>204</v>
      </c>
      <c r="F1253" s="12" t="s">
        <v>2753</v>
      </c>
      <c r="G1253" s="10" t="s">
        <v>1001</v>
      </c>
      <c r="H1253" s="10" t="s">
        <v>1001</v>
      </c>
      <c r="K1253" t="s">
        <v>19</v>
      </c>
      <c r="L1253" t="s">
        <v>20</v>
      </c>
      <c r="M1253" s="9">
        <v>8481802</v>
      </c>
      <c r="N1253" t="s">
        <v>3477</v>
      </c>
      <c r="O1253">
        <v>18</v>
      </c>
      <c r="P1253" t="s">
        <v>3477</v>
      </c>
      <c r="Q1253">
        <v>18</v>
      </c>
      <c r="R1253" s="13">
        <v>38440</v>
      </c>
      <c r="S1253" s="13">
        <v>26908</v>
      </c>
    </row>
    <row r="1254" spans="1:19">
      <c r="A1254" s="9" t="s">
        <v>22</v>
      </c>
      <c r="B1254" s="9" t="s">
        <v>27</v>
      </c>
      <c r="C1254" s="9" t="s">
        <v>119</v>
      </c>
      <c r="D1254" t="s">
        <v>204</v>
      </c>
      <c r="F1254" s="12" t="s">
        <v>2754</v>
      </c>
      <c r="G1254" s="10" t="s">
        <v>1001</v>
      </c>
      <c r="H1254" s="10" t="s">
        <v>1001</v>
      </c>
      <c r="K1254" t="s">
        <v>19</v>
      </c>
      <c r="L1254" t="s">
        <v>20</v>
      </c>
      <c r="M1254" s="9">
        <v>8481802</v>
      </c>
      <c r="N1254" t="s">
        <v>3477</v>
      </c>
      <c r="O1254">
        <v>18</v>
      </c>
      <c r="P1254" t="s">
        <v>3477</v>
      </c>
      <c r="Q1254">
        <v>18</v>
      </c>
      <c r="R1254" s="13">
        <v>38440</v>
      </c>
      <c r="S1254" s="13">
        <v>26908</v>
      </c>
    </row>
    <row r="1255" spans="1:19">
      <c r="A1255" s="9" t="s">
        <v>22</v>
      </c>
      <c r="B1255" s="9" t="s">
        <v>27</v>
      </c>
      <c r="C1255" s="9" t="s">
        <v>119</v>
      </c>
      <c r="D1255" t="s">
        <v>204</v>
      </c>
      <c r="F1255" s="12" t="s">
        <v>2755</v>
      </c>
      <c r="G1255" s="10" t="s">
        <v>1002</v>
      </c>
      <c r="H1255" s="10" t="s">
        <v>1002</v>
      </c>
      <c r="K1255" t="s">
        <v>19</v>
      </c>
      <c r="L1255" t="s">
        <v>20</v>
      </c>
      <c r="M1255" s="9">
        <v>8481802</v>
      </c>
      <c r="N1255" t="s">
        <v>3477</v>
      </c>
      <c r="O1255">
        <v>18</v>
      </c>
      <c r="P1255" t="s">
        <v>3477</v>
      </c>
      <c r="Q1255">
        <v>18</v>
      </c>
      <c r="R1255" s="13">
        <v>38440</v>
      </c>
      <c r="S1255" s="13">
        <v>26908</v>
      </c>
    </row>
    <row r="1256" spans="1:19">
      <c r="A1256" s="9" t="s">
        <v>24</v>
      </c>
      <c r="B1256" s="9" t="s">
        <v>26</v>
      </c>
      <c r="C1256" s="9" t="s">
        <v>70</v>
      </c>
      <c r="D1256" t="s">
        <v>204</v>
      </c>
      <c r="F1256" s="12" t="s">
        <v>2756</v>
      </c>
      <c r="G1256" s="10" t="s">
        <v>1003</v>
      </c>
      <c r="H1256" s="10" t="s">
        <v>1003</v>
      </c>
      <c r="K1256" t="s">
        <v>19</v>
      </c>
      <c r="L1256" t="s">
        <v>20</v>
      </c>
      <c r="M1256" s="9">
        <v>69101</v>
      </c>
      <c r="N1256" t="s">
        <v>3477</v>
      </c>
      <c r="O1256">
        <v>18</v>
      </c>
      <c r="P1256" t="s">
        <v>3477</v>
      </c>
      <c r="Q1256">
        <v>18</v>
      </c>
      <c r="R1256" s="13">
        <v>7100</v>
      </c>
      <c r="S1256" s="13">
        <v>5325</v>
      </c>
    </row>
    <row r="1257" spans="1:19">
      <c r="A1257" s="9" t="s">
        <v>24</v>
      </c>
      <c r="B1257" s="9" t="s">
        <v>26</v>
      </c>
      <c r="C1257" s="9" t="s">
        <v>80</v>
      </c>
      <c r="D1257" t="s">
        <v>204</v>
      </c>
      <c r="F1257" s="12" t="s">
        <v>2757</v>
      </c>
      <c r="G1257" s="10" t="s">
        <v>249</v>
      </c>
      <c r="H1257" s="10" t="s">
        <v>249</v>
      </c>
      <c r="K1257" t="s">
        <v>19</v>
      </c>
      <c r="L1257" t="s">
        <v>20</v>
      </c>
      <c r="M1257" s="9">
        <v>69101</v>
      </c>
      <c r="N1257" t="s">
        <v>3477</v>
      </c>
      <c r="O1257">
        <v>18</v>
      </c>
      <c r="P1257" t="s">
        <v>3477</v>
      </c>
      <c r="Q1257">
        <v>18</v>
      </c>
      <c r="R1257" s="13">
        <v>7600</v>
      </c>
      <c r="S1257" s="13">
        <v>5700</v>
      </c>
    </row>
    <row r="1258" spans="1:19">
      <c r="A1258" s="9" t="s">
        <v>22</v>
      </c>
      <c r="B1258" s="9" t="s">
        <v>27</v>
      </c>
      <c r="C1258" s="9" t="s">
        <v>50</v>
      </c>
      <c r="D1258" t="s">
        <v>204</v>
      </c>
      <c r="F1258" s="12" t="s">
        <v>2758</v>
      </c>
      <c r="G1258" s="10" t="s">
        <v>249</v>
      </c>
      <c r="H1258" s="10" t="s">
        <v>249</v>
      </c>
      <c r="K1258" t="s">
        <v>19</v>
      </c>
      <c r="L1258" t="s">
        <v>20</v>
      </c>
      <c r="M1258" s="9">
        <v>4016932</v>
      </c>
      <c r="N1258" t="s">
        <v>3477</v>
      </c>
      <c r="O1258">
        <v>18</v>
      </c>
      <c r="P1258" t="s">
        <v>3477</v>
      </c>
      <c r="Q1258">
        <v>18</v>
      </c>
      <c r="R1258" s="13">
        <v>93</v>
      </c>
      <c r="S1258" s="13">
        <v>65.099999999999994</v>
      </c>
    </row>
    <row r="1259" spans="1:19">
      <c r="A1259" s="9" t="s">
        <v>22</v>
      </c>
      <c r="B1259" s="9" t="s">
        <v>27</v>
      </c>
      <c r="C1259" s="9" t="s">
        <v>50</v>
      </c>
      <c r="D1259" t="s">
        <v>204</v>
      </c>
      <c r="F1259" s="12" t="s">
        <v>2759</v>
      </c>
      <c r="G1259" s="10" t="s">
        <v>1004</v>
      </c>
      <c r="H1259" s="10" t="s">
        <v>1004</v>
      </c>
      <c r="K1259" t="s">
        <v>19</v>
      </c>
      <c r="L1259" t="s">
        <v>20</v>
      </c>
      <c r="M1259" s="9">
        <v>4016932</v>
      </c>
      <c r="N1259" t="s">
        <v>3477</v>
      </c>
      <c r="O1259">
        <v>18</v>
      </c>
      <c r="P1259" t="s">
        <v>3477</v>
      </c>
      <c r="Q1259">
        <v>18</v>
      </c>
      <c r="R1259" s="13">
        <v>97</v>
      </c>
      <c r="S1259" s="13">
        <v>67.899999999999991</v>
      </c>
    </row>
    <row r="1260" spans="1:19">
      <c r="A1260" s="9" t="s">
        <v>22</v>
      </c>
      <c r="B1260" s="9" t="s">
        <v>26</v>
      </c>
      <c r="C1260" s="9" t="s">
        <v>176</v>
      </c>
      <c r="D1260" t="s">
        <v>204</v>
      </c>
      <c r="F1260" s="12" t="s">
        <v>2760</v>
      </c>
      <c r="G1260" s="10" t="s">
        <v>1005</v>
      </c>
      <c r="H1260" s="10" t="s">
        <v>1005</v>
      </c>
      <c r="K1260" t="s">
        <v>19</v>
      </c>
      <c r="L1260" t="s">
        <v>20</v>
      </c>
      <c r="M1260" s="9">
        <v>69101</v>
      </c>
      <c r="N1260" t="s">
        <v>3477</v>
      </c>
      <c r="O1260">
        <v>18</v>
      </c>
      <c r="P1260" t="s">
        <v>3477</v>
      </c>
      <c r="Q1260">
        <v>18</v>
      </c>
      <c r="R1260" s="13">
        <v>29000</v>
      </c>
      <c r="S1260" s="13">
        <v>20300</v>
      </c>
    </row>
    <row r="1261" spans="1:19">
      <c r="A1261" s="9" t="s">
        <v>23</v>
      </c>
      <c r="B1261" s="9" t="s">
        <v>27</v>
      </c>
      <c r="C1261" s="9" t="s">
        <v>63</v>
      </c>
      <c r="D1261" t="s">
        <v>204</v>
      </c>
      <c r="F1261" s="12" t="s">
        <v>2761</v>
      </c>
      <c r="G1261" s="10" t="s">
        <v>1006</v>
      </c>
      <c r="H1261" s="10" t="s">
        <v>1006</v>
      </c>
      <c r="K1261" t="s">
        <v>19</v>
      </c>
      <c r="L1261" t="s">
        <v>20</v>
      </c>
      <c r="M1261" s="9">
        <v>8481802</v>
      </c>
      <c r="N1261" t="s">
        <v>3477</v>
      </c>
      <c r="O1261">
        <v>18</v>
      </c>
      <c r="P1261" t="s">
        <v>3477</v>
      </c>
      <c r="Q1261">
        <v>18</v>
      </c>
      <c r="R1261" s="13">
        <v>25000</v>
      </c>
      <c r="S1261" s="13">
        <v>15000</v>
      </c>
    </row>
    <row r="1262" spans="1:19">
      <c r="A1262" s="9" t="s">
        <v>24</v>
      </c>
      <c r="B1262" s="9" t="s">
        <v>27</v>
      </c>
      <c r="C1262" s="9" t="s">
        <v>60</v>
      </c>
      <c r="D1262" t="s">
        <v>204</v>
      </c>
      <c r="F1262" s="12" t="s">
        <v>2762</v>
      </c>
      <c r="G1262" s="10" t="s">
        <v>1007</v>
      </c>
      <c r="H1262" s="10" t="s">
        <v>1007</v>
      </c>
      <c r="K1262" t="s">
        <v>19</v>
      </c>
      <c r="L1262" t="s">
        <v>20</v>
      </c>
      <c r="M1262" s="9">
        <v>8481802</v>
      </c>
      <c r="N1262" t="s">
        <v>3477</v>
      </c>
      <c r="O1262">
        <v>18</v>
      </c>
      <c r="P1262" t="s">
        <v>3477</v>
      </c>
      <c r="Q1262">
        <v>18</v>
      </c>
      <c r="R1262" s="13">
        <v>980</v>
      </c>
      <c r="S1262" s="13">
        <v>735</v>
      </c>
    </row>
    <row r="1263" spans="1:19">
      <c r="A1263" s="9" t="s">
        <v>23</v>
      </c>
      <c r="B1263" s="9" t="s">
        <v>33</v>
      </c>
      <c r="C1263" s="9" t="s">
        <v>167</v>
      </c>
      <c r="D1263" t="s">
        <v>204</v>
      </c>
      <c r="F1263" s="12" t="s">
        <v>2763</v>
      </c>
      <c r="G1263" s="10" t="s">
        <v>1008</v>
      </c>
      <c r="H1263" s="10" t="s">
        <v>1008</v>
      </c>
      <c r="K1263" t="s">
        <v>19</v>
      </c>
      <c r="L1263" t="s">
        <v>20</v>
      </c>
      <c r="M1263" s="9">
        <v>700991</v>
      </c>
      <c r="N1263" t="s">
        <v>3477</v>
      </c>
      <c r="O1263">
        <v>18</v>
      </c>
      <c r="P1263" t="s">
        <v>3477</v>
      </c>
      <c r="Q1263">
        <v>18</v>
      </c>
      <c r="R1263" s="13">
        <v>19500</v>
      </c>
      <c r="S1263" s="13">
        <v>11700</v>
      </c>
    </row>
    <row r="1264" spans="1:19">
      <c r="A1264" s="9" t="s">
        <v>22</v>
      </c>
      <c r="B1264" s="9" t="s">
        <v>26</v>
      </c>
      <c r="C1264" s="9" t="s">
        <v>85</v>
      </c>
      <c r="D1264" t="s">
        <v>204</v>
      </c>
      <c r="F1264" s="12" t="s">
        <v>2764</v>
      </c>
      <c r="G1264" s="10" t="s">
        <v>1009</v>
      </c>
      <c r="H1264" s="10" t="s">
        <v>1009</v>
      </c>
      <c r="K1264" t="s">
        <v>19</v>
      </c>
      <c r="L1264" t="s">
        <v>20</v>
      </c>
      <c r="M1264" s="9">
        <v>69101</v>
      </c>
      <c r="N1264" t="s">
        <v>3477</v>
      </c>
      <c r="O1264">
        <v>18</v>
      </c>
      <c r="P1264" t="s">
        <v>3477</v>
      </c>
      <c r="Q1264">
        <v>18</v>
      </c>
      <c r="R1264" s="13">
        <v>7010</v>
      </c>
      <c r="S1264" s="13">
        <v>4907</v>
      </c>
    </row>
    <row r="1265" spans="1:19">
      <c r="A1265" s="9" t="s">
        <v>22</v>
      </c>
      <c r="B1265" s="9" t="s">
        <v>26</v>
      </c>
      <c r="C1265" s="9" t="s">
        <v>76</v>
      </c>
      <c r="D1265" t="s">
        <v>204</v>
      </c>
      <c r="F1265" s="12" t="s">
        <v>2765</v>
      </c>
      <c r="G1265" s="10" t="s">
        <v>1010</v>
      </c>
      <c r="H1265" s="10" t="s">
        <v>1010</v>
      </c>
      <c r="K1265" t="s">
        <v>19</v>
      </c>
      <c r="L1265" t="s">
        <v>20</v>
      </c>
      <c r="M1265" s="9">
        <v>69101</v>
      </c>
      <c r="N1265" t="s">
        <v>3477</v>
      </c>
      <c r="O1265">
        <v>18</v>
      </c>
      <c r="P1265" t="s">
        <v>3477</v>
      </c>
      <c r="Q1265">
        <v>18</v>
      </c>
      <c r="R1265" s="13">
        <v>49410</v>
      </c>
      <c r="S1265" s="13">
        <v>34587</v>
      </c>
    </row>
    <row r="1266" spans="1:19">
      <c r="A1266" s="9" t="s">
        <v>22</v>
      </c>
      <c r="B1266" s="9" t="s">
        <v>26</v>
      </c>
      <c r="C1266" s="9" t="s">
        <v>103</v>
      </c>
      <c r="D1266" t="s">
        <v>204</v>
      </c>
      <c r="F1266" s="12" t="s">
        <v>2766</v>
      </c>
      <c r="G1266" s="10" t="s">
        <v>1011</v>
      </c>
      <c r="H1266" s="10" t="s">
        <v>1011</v>
      </c>
      <c r="K1266" t="s">
        <v>19</v>
      </c>
      <c r="L1266" t="s">
        <v>20</v>
      </c>
      <c r="M1266" s="9">
        <v>69101</v>
      </c>
      <c r="N1266" t="s">
        <v>3477</v>
      </c>
      <c r="O1266">
        <v>18</v>
      </c>
      <c r="P1266" t="s">
        <v>3477</v>
      </c>
      <c r="Q1266">
        <v>18</v>
      </c>
      <c r="R1266" s="13">
        <v>20750</v>
      </c>
      <c r="S1266" s="13">
        <v>14524.999999999998</v>
      </c>
    </row>
    <row r="1267" spans="1:19">
      <c r="A1267" s="9" t="s">
        <v>24</v>
      </c>
      <c r="B1267" s="9" t="s">
        <v>27</v>
      </c>
      <c r="C1267" s="9" t="s">
        <v>64</v>
      </c>
      <c r="D1267" t="s">
        <v>204</v>
      </c>
      <c r="F1267" s="12" t="s">
        <v>2767</v>
      </c>
      <c r="G1267" s="10" t="s">
        <v>1012</v>
      </c>
      <c r="H1267" s="10" t="s">
        <v>1012</v>
      </c>
      <c r="K1267" t="s">
        <v>19</v>
      </c>
      <c r="L1267" t="s">
        <v>20</v>
      </c>
      <c r="M1267" s="9">
        <v>39229</v>
      </c>
      <c r="N1267" t="s">
        <v>3477</v>
      </c>
      <c r="O1267">
        <v>18</v>
      </c>
      <c r="P1267" t="s">
        <v>3477</v>
      </c>
      <c r="Q1267">
        <v>18</v>
      </c>
      <c r="R1267" s="13">
        <v>3510</v>
      </c>
      <c r="S1267" s="13">
        <v>2632.5</v>
      </c>
    </row>
    <row r="1268" spans="1:19">
      <c r="A1268" s="9" t="s">
        <v>22</v>
      </c>
      <c r="B1268" s="9" t="s">
        <v>26</v>
      </c>
      <c r="C1268" s="9" t="s">
        <v>127</v>
      </c>
      <c r="D1268" t="s">
        <v>204</v>
      </c>
      <c r="F1268" s="12" t="s">
        <v>2768</v>
      </c>
      <c r="G1268" s="10" t="s">
        <v>1013</v>
      </c>
      <c r="H1268" s="10" t="s">
        <v>1013</v>
      </c>
      <c r="K1268" t="s">
        <v>19</v>
      </c>
      <c r="L1268" t="s">
        <v>20</v>
      </c>
      <c r="M1268" s="9">
        <v>39222</v>
      </c>
      <c r="N1268" t="s">
        <v>3477</v>
      </c>
      <c r="O1268">
        <v>18</v>
      </c>
      <c r="P1268" t="s">
        <v>3477</v>
      </c>
      <c r="Q1268">
        <v>18</v>
      </c>
      <c r="R1268" s="13">
        <v>2450</v>
      </c>
      <c r="S1268" s="13">
        <v>1715</v>
      </c>
    </row>
    <row r="1269" spans="1:19">
      <c r="A1269" s="9" t="s">
        <v>22</v>
      </c>
      <c r="B1269" s="9" t="s">
        <v>27</v>
      </c>
      <c r="C1269" s="9" t="s">
        <v>64</v>
      </c>
      <c r="D1269" t="s">
        <v>204</v>
      </c>
      <c r="F1269" s="12" t="s">
        <v>2769</v>
      </c>
      <c r="G1269" s="10" t="s">
        <v>1014</v>
      </c>
      <c r="H1269" s="10" t="s">
        <v>1014</v>
      </c>
      <c r="K1269" t="s">
        <v>19</v>
      </c>
      <c r="L1269" t="s">
        <v>20</v>
      </c>
      <c r="M1269" s="9">
        <v>39229</v>
      </c>
      <c r="N1269" t="s">
        <v>3477</v>
      </c>
      <c r="O1269">
        <v>18</v>
      </c>
      <c r="P1269" t="s">
        <v>3477</v>
      </c>
      <c r="Q1269">
        <v>18</v>
      </c>
      <c r="R1269" s="13">
        <v>6520</v>
      </c>
      <c r="S1269" s="13">
        <v>4564</v>
      </c>
    </row>
    <row r="1270" spans="1:19">
      <c r="A1270" s="9" t="s">
        <v>22</v>
      </c>
      <c r="B1270" s="9" t="s">
        <v>27</v>
      </c>
      <c r="C1270" s="9" t="s">
        <v>64</v>
      </c>
      <c r="D1270" t="s">
        <v>204</v>
      </c>
      <c r="F1270" s="12" t="s">
        <v>2770</v>
      </c>
      <c r="G1270" s="10" t="s">
        <v>1015</v>
      </c>
      <c r="H1270" s="10" t="s">
        <v>1015</v>
      </c>
      <c r="K1270" t="s">
        <v>19</v>
      </c>
      <c r="L1270" t="s">
        <v>20</v>
      </c>
      <c r="M1270" s="9">
        <v>39229</v>
      </c>
      <c r="N1270" t="s">
        <v>3477</v>
      </c>
      <c r="O1270">
        <v>18</v>
      </c>
      <c r="P1270" t="s">
        <v>3477</v>
      </c>
      <c r="Q1270">
        <v>18</v>
      </c>
      <c r="R1270" s="13">
        <v>8280</v>
      </c>
      <c r="S1270" s="13">
        <v>5796</v>
      </c>
    </row>
    <row r="1271" spans="1:19">
      <c r="A1271" s="9" t="s">
        <v>23</v>
      </c>
      <c r="B1271" s="9" t="s">
        <v>29</v>
      </c>
      <c r="C1271" s="9" t="s">
        <v>148</v>
      </c>
      <c r="D1271" t="s">
        <v>204</v>
      </c>
      <c r="F1271" s="12" t="s">
        <v>2771</v>
      </c>
      <c r="G1271" s="10" t="s">
        <v>1016</v>
      </c>
      <c r="H1271" s="10" t="s">
        <v>1016</v>
      </c>
      <c r="K1271" t="s">
        <v>19</v>
      </c>
      <c r="L1271" t="s">
        <v>20</v>
      </c>
      <c r="M1271" s="9">
        <v>7418202</v>
      </c>
      <c r="N1271" t="s">
        <v>3477</v>
      </c>
      <c r="O1271">
        <v>18</v>
      </c>
      <c r="P1271" t="s">
        <v>3477</v>
      </c>
      <c r="Q1271">
        <v>18</v>
      </c>
      <c r="R1271" s="13">
        <v>49900</v>
      </c>
      <c r="S1271" s="13">
        <v>29940</v>
      </c>
    </row>
    <row r="1272" spans="1:19">
      <c r="A1272" s="9" t="s">
        <v>22</v>
      </c>
      <c r="B1272" s="9" t="s">
        <v>39</v>
      </c>
      <c r="C1272" s="9" t="s">
        <v>73</v>
      </c>
      <c r="D1272" t="s">
        <v>204</v>
      </c>
      <c r="F1272" s="12" t="s">
        <v>2772</v>
      </c>
      <c r="G1272" s="10" t="s">
        <v>1017</v>
      </c>
      <c r="H1272" s="10" t="s">
        <v>1017</v>
      </c>
      <c r="K1272" t="s">
        <v>19</v>
      </c>
      <c r="L1272" t="s">
        <v>20</v>
      </c>
      <c r="M1272" s="9">
        <v>7907009</v>
      </c>
      <c r="N1272" t="s">
        <v>3477</v>
      </c>
      <c r="O1272">
        <v>18</v>
      </c>
      <c r="P1272" t="s">
        <v>3477</v>
      </c>
      <c r="Q1272">
        <v>18</v>
      </c>
      <c r="R1272" s="13">
        <v>2510</v>
      </c>
      <c r="S1272" s="13">
        <v>1757</v>
      </c>
    </row>
    <row r="1273" spans="1:19">
      <c r="A1273" s="9" t="s">
        <v>22</v>
      </c>
      <c r="B1273" s="9" t="s">
        <v>27</v>
      </c>
      <c r="C1273" s="9" t="s">
        <v>53</v>
      </c>
      <c r="D1273" t="s">
        <v>204</v>
      </c>
      <c r="F1273" s="12" t="s">
        <v>2773</v>
      </c>
      <c r="G1273" s="10" t="s">
        <v>1018</v>
      </c>
      <c r="H1273" s="10" t="s">
        <v>1018</v>
      </c>
      <c r="K1273" t="s">
        <v>19</v>
      </c>
      <c r="L1273" t="s">
        <v>20</v>
      </c>
      <c r="M1273" s="9">
        <v>83025</v>
      </c>
      <c r="N1273" t="s">
        <v>3477</v>
      </c>
      <c r="O1273">
        <v>18</v>
      </c>
      <c r="P1273" t="s">
        <v>3477</v>
      </c>
      <c r="Q1273">
        <v>18</v>
      </c>
      <c r="R1273" s="13">
        <v>2120</v>
      </c>
      <c r="S1273" s="13">
        <v>1484</v>
      </c>
    </row>
    <row r="1274" spans="1:19">
      <c r="A1274" s="9" t="s">
        <v>22</v>
      </c>
      <c r="B1274" s="9" t="s">
        <v>27</v>
      </c>
      <c r="C1274" s="9" t="s">
        <v>56</v>
      </c>
      <c r="D1274" t="s">
        <v>204</v>
      </c>
      <c r="F1274" s="12" t="s">
        <v>2774</v>
      </c>
      <c r="G1274" s="10" t="s">
        <v>1019</v>
      </c>
      <c r="H1274" s="10" t="s">
        <v>1019</v>
      </c>
      <c r="K1274" t="s">
        <v>19</v>
      </c>
      <c r="L1274" t="s">
        <v>20</v>
      </c>
      <c r="M1274" s="9">
        <v>7418201</v>
      </c>
      <c r="N1274" t="s">
        <v>3477</v>
      </c>
      <c r="O1274">
        <v>18</v>
      </c>
      <c r="P1274" t="s">
        <v>3477</v>
      </c>
      <c r="Q1274">
        <v>18</v>
      </c>
      <c r="R1274" s="13">
        <v>1560</v>
      </c>
      <c r="S1274" s="13">
        <v>1092</v>
      </c>
    </row>
    <row r="1275" spans="1:19">
      <c r="A1275" s="9" t="s">
        <v>22</v>
      </c>
      <c r="B1275" s="9" t="s">
        <v>27</v>
      </c>
      <c r="C1275" s="9" t="s">
        <v>55</v>
      </c>
      <c r="D1275" t="s">
        <v>204</v>
      </c>
      <c r="F1275" s="12" t="s">
        <v>2775</v>
      </c>
      <c r="G1275" s="10" t="s">
        <v>1020</v>
      </c>
      <c r="H1275" s="10" t="s">
        <v>1020</v>
      </c>
      <c r="K1275" t="s">
        <v>19</v>
      </c>
      <c r="L1275" t="s">
        <v>20</v>
      </c>
      <c r="M1275" s="9">
        <v>83025</v>
      </c>
      <c r="N1275" t="s">
        <v>3477</v>
      </c>
      <c r="O1275">
        <v>18</v>
      </c>
      <c r="P1275" t="s">
        <v>3477</v>
      </c>
      <c r="Q1275">
        <v>18</v>
      </c>
      <c r="R1275" s="13">
        <v>970</v>
      </c>
      <c r="S1275" s="13">
        <v>679</v>
      </c>
    </row>
    <row r="1276" spans="1:19">
      <c r="A1276" s="9" t="s">
        <v>22</v>
      </c>
      <c r="B1276" s="9" t="s">
        <v>27</v>
      </c>
      <c r="C1276" s="9" t="s">
        <v>54</v>
      </c>
      <c r="D1276" t="s">
        <v>204</v>
      </c>
      <c r="F1276" s="12" t="s">
        <v>2776</v>
      </c>
      <c r="G1276" s="10" t="s">
        <v>1021</v>
      </c>
      <c r="H1276" s="10" t="s">
        <v>1021</v>
      </c>
      <c r="K1276" t="s">
        <v>19</v>
      </c>
      <c r="L1276" t="s">
        <v>20</v>
      </c>
      <c r="M1276" s="9">
        <v>83025</v>
      </c>
      <c r="N1276" t="s">
        <v>3477</v>
      </c>
      <c r="O1276">
        <v>18</v>
      </c>
      <c r="P1276" t="s">
        <v>3477</v>
      </c>
      <c r="Q1276">
        <v>18</v>
      </c>
      <c r="R1276" s="13">
        <v>1900</v>
      </c>
      <c r="S1276" s="13">
        <v>1330</v>
      </c>
    </row>
    <row r="1277" spans="1:19">
      <c r="A1277" s="9" t="s">
        <v>22</v>
      </c>
      <c r="B1277" s="9" t="s">
        <v>27</v>
      </c>
      <c r="C1277" s="9" t="s">
        <v>53</v>
      </c>
      <c r="D1277" t="s">
        <v>204</v>
      </c>
      <c r="F1277" s="12" t="s">
        <v>2777</v>
      </c>
      <c r="G1277" s="10" t="s">
        <v>1022</v>
      </c>
      <c r="H1277" s="10" t="s">
        <v>1022</v>
      </c>
      <c r="K1277" t="s">
        <v>19</v>
      </c>
      <c r="L1277" t="s">
        <v>20</v>
      </c>
      <c r="M1277" s="9">
        <v>83025</v>
      </c>
      <c r="N1277" t="s">
        <v>3477</v>
      </c>
      <c r="O1277">
        <v>18</v>
      </c>
      <c r="P1277" t="s">
        <v>3477</v>
      </c>
      <c r="Q1277">
        <v>18</v>
      </c>
      <c r="R1277" s="13">
        <v>8000</v>
      </c>
      <c r="S1277" s="13">
        <v>5600</v>
      </c>
    </row>
    <row r="1278" spans="1:19">
      <c r="A1278" s="9" t="s">
        <v>22</v>
      </c>
      <c r="B1278" s="9" t="s">
        <v>27</v>
      </c>
      <c r="C1278" s="9" t="s">
        <v>53</v>
      </c>
      <c r="D1278" t="s">
        <v>204</v>
      </c>
      <c r="F1278" s="12" t="s">
        <v>2778</v>
      </c>
      <c r="G1278" s="10" t="s">
        <v>1023</v>
      </c>
      <c r="H1278" s="10" t="s">
        <v>1023</v>
      </c>
      <c r="K1278" t="s">
        <v>19</v>
      </c>
      <c r="L1278" t="s">
        <v>20</v>
      </c>
      <c r="M1278" s="9">
        <v>83025</v>
      </c>
      <c r="N1278" t="s">
        <v>3477</v>
      </c>
      <c r="O1278">
        <v>18</v>
      </c>
      <c r="P1278" t="s">
        <v>3477</v>
      </c>
      <c r="Q1278">
        <v>18</v>
      </c>
      <c r="R1278" s="13">
        <v>10000</v>
      </c>
      <c r="S1278" s="13">
        <v>7000</v>
      </c>
    </row>
    <row r="1279" spans="1:19">
      <c r="A1279" s="9" t="s">
        <v>22</v>
      </c>
      <c r="B1279" s="9" t="s">
        <v>27</v>
      </c>
      <c r="C1279" s="9" t="s">
        <v>46</v>
      </c>
      <c r="D1279" t="s">
        <v>204</v>
      </c>
      <c r="F1279" s="12" t="s">
        <v>2779</v>
      </c>
      <c r="G1279" s="10" t="s">
        <v>1024</v>
      </c>
      <c r="H1279" s="10" t="s">
        <v>1024</v>
      </c>
      <c r="K1279" t="s">
        <v>19</v>
      </c>
      <c r="L1279" t="s">
        <v>20</v>
      </c>
      <c r="M1279" s="9">
        <v>83025</v>
      </c>
      <c r="N1279" t="s">
        <v>3477</v>
      </c>
      <c r="O1279">
        <v>18</v>
      </c>
      <c r="P1279" t="s">
        <v>3477</v>
      </c>
      <c r="Q1279">
        <v>18</v>
      </c>
      <c r="R1279" s="13">
        <v>30000</v>
      </c>
      <c r="S1279" s="13">
        <v>21000</v>
      </c>
    </row>
    <row r="1280" spans="1:19">
      <c r="A1280" s="9" t="s">
        <v>23</v>
      </c>
      <c r="B1280" s="9" t="s">
        <v>27</v>
      </c>
      <c r="C1280" s="9" t="s">
        <v>90</v>
      </c>
      <c r="D1280" t="s">
        <v>204</v>
      </c>
      <c r="F1280" s="12" t="s">
        <v>2780</v>
      </c>
      <c r="G1280" s="10" t="s">
        <v>1025</v>
      </c>
      <c r="H1280" s="10" t="s">
        <v>1025</v>
      </c>
      <c r="K1280" t="s">
        <v>19</v>
      </c>
      <c r="L1280" t="s">
        <v>20</v>
      </c>
      <c r="M1280" s="9">
        <v>39229</v>
      </c>
      <c r="N1280" t="s">
        <v>3477</v>
      </c>
      <c r="O1280">
        <v>18</v>
      </c>
      <c r="P1280" t="s">
        <v>3477</v>
      </c>
      <c r="Q1280">
        <v>18</v>
      </c>
      <c r="R1280" s="13">
        <v>60000</v>
      </c>
      <c r="S1280" s="13">
        <v>36000</v>
      </c>
    </row>
    <row r="1281" spans="1:19">
      <c r="A1281" s="9" t="s">
        <v>23</v>
      </c>
      <c r="B1281" s="9" t="s">
        <v>27</v>
      </c>
      <c r="C1281" s="9" t="s">
        <v>90</v>
      </c>
      <c r="D1281" t="s">
        <v>204</v>
      </c>
      <c r="F1281" s="12" t="s">
        <v>2781</v>
      </c>
      <c r="G1281" s="10" t="s">
        <v>1026</v>
      </c>
      <c r="H1281" s="10" t="s">
        <v>1026</v>
      </c>
      <c r="K1281" t="s">
        <v>19</v>
      </c>
      <c r="L1281" t="s">
        <v>20</v>
      </c>
      <c r="M1281" s="9">
        <v>39229</v>
      </c>
      <c r="N1281" t="s">
        <v>3477</v>
      </c>
      <c r="O1281">
        <v>18</v>
      </c>
      <c r="P1281" t="s">
        <v>3477</v>
      </c>
      <c r="Q1281">
        <v>18</v>
      </c>
      <c r="R1281" s="13">
        <v>100000</v>
      </c>
      <c r="S1281" s="13">
        <v>60000</v>
      </c>
    </row>
    <row r="1282" spans="1:19">
      <c r="A1282" s="9" t="s">
        <v>22</v>
      </c>
      <c r="B1282" s="9" t="s">
        <v>27</v>
      </c>
      <c r="C1282" s="9" t="s">
        <v>177</v>
      </c>
      <c r="D1282" t="s">
        <v>204</v>
      </c>
      <c r="F1282" s="12" t="s">
        <v>2782</v>
      </c>
      <c r="G1282" s="10" t="s">
        <v>1027</v>
      </c>
      <c r="H1282" s="10" t="s">
        <v>1027</v>
      </c>
      <c r="K1282" t="s">
        <v>19</v>
      </c>
      <c r="L1282" t="s">
        <v>20</v>
      </c>
      <c r="M1282" s="9">
        <v>7418202</v>
      </c>
      <c r="N1282" t="s">
        <v>3477</v>
      </c>
      <c r="O1282">
        <v>18</v>
      </c>
      <c r="P1282" t="s">
        <v>3477</v>
      </c>
      <c r="Q1282">
        <v>18</v>
      </c>
      <c r="R1282" s="13">
        <v>7000</v>
      </c>
      <c r="S1282" s="13">
        <v>4900</v>
      </c>
    </row>
    <row r="1283" spans="1:19">
      <c r="A1283" s="9" t="s">
        <v>22</v>
      </c>
      <c r="B1283" s="9" t="s">
        <v>27</v>
      </c>
      <c r="C1283" s="9" t="s">
        <v>48</v>
      </c>
      <c r="D1283" t="s">
        <v>204</v>
      </c>
      <c r="F1283" s="12" t="s">
        <v>2783</v>
      </c>
      <c r="G1283" s="10" t="s">
        <v>1028</v>
      </c>
      <c r="H1283" s="10" t="s">
        <v>1028</v>
      </c>
      <c r="K1283" t="s">
        <v>19</v>
      </c>
      <c r="L1283" t="s">
        <v>20</v>
      </c>
      <c r="M1283" s="9">
        <v>8481802</v>
      </c>
      <c r="N1283" t="s">
        <v>3477</v>
      </c>
      <c r="O1283">
        <v>18</v>
      </c>
      <c r="P1283" t="s">
        <v>3477</v>
      </c>
      <c r="Q1283">
        <v>18</v>
      </c>
      <c r="R1283" s="13">
        <v>7100</v>
      </c>
      <c r="S1283" s="13">
        <v>4970</v>
      </c>
    </row>
    <row r="1284" spans="1:19">
      <c r="A1284" s="9" t="s">
        <v>22</v>
      </c>
      <c r="B1284" s="9" t="s">
        <v>27</v>
      </c>
      <c r="C1284" s="9" t="s">
        <v>48</v>
      </c>
      <c r="D1284" t="s">
        <v>204</v>
      </c>
      <c r="F1284" s="12" t="s">
        <v>2784</v>
      </c>
      <c r="G1284" s="10" t="s">
        <v>1029</v>
      </c>
      <c r="H1284" s="10" t="s">
        <v>1029</v>
      </c>
      <c r="K1284" t="s">
        <v>19</v>
      </c>
      <c r="L1284" t="s">
        <v>20</v>
      </c>
      <c r="M1284" s="9">
        <v>8481802</v>
      </c>
      <c r="N1284" t="s">
        <v>3477</v>
      </c>
      <c r="O1284">
        <v>18</v>
      </c>
      <c r="P1284" t="s">
        <v>3477</v>
      </c>
      <c r="Q1284">
        <v>18</v>
      </c>
      <c r="R1284" s="13">
        <v>6460</v>
      </c>
      <c r="S1284" s="13">
        <v>4522</v>
      </c>
    </row>
    <row r="1285" spans="1:19">
      <c r="A1285" s="9" t="s">
        <v>22</v>
      </c>
      <c r="B1285" s="9" t="s">
        <v>27</v>
      </c>
      <c r="C1285" s="9" t="s">
        <v>49</v>
      </c>
      <c r="D1285" t="s">
        <v>204</v>
      </c>
      <c r="F1285" s="12" t="s">
        <v>2785</v>
      </c>
      <c r="G1285" s="10" t="s">
        <v>1030</v>
      </c>
      <c r="H1285" s="10" t="s">
        <v>1030</v>
      </c>
      <c r="K1285" t="s">
        <v>19</v>
      </c>
      <c r="L1285" t="s">
        <v>20</v>
      </c>
      <c r="M1285" s="9">
        <v>8481802</v>
      </c>
      <c r="N1285" t="s">
        <v>3477</v>
      </c>
      <c r="O1285">
        <v>18</v>
      </c>
      <c r="P1285" t="s">
        <v>3477</v>
      </c>
      <c r="Q1285">
        <v>18</v>
      </c>
      <c r="R1285" s="13">
        <v>8870</v>
      </c>
      <c r="S1285" s="13">
        <v>6209</v>
      </c>
    </row>
    <row r="1286" spans="1:19">
      <c r="A1286" s="9" t="s">
        <v>22</v>
      </c>
      <c r="B1286" s="9" t="s">
        <v>27</v>
      </c>
      <c r="C1286" s="9" t="s">
        <v>49</v>
      </c>
      <c r="D1286" t="s">
        <v>204</v>
      </c>
      <c r="F1286" s="12" t="s">
        <v>2786</v>
      </c>
      <c r="G1286" s="10" t="s">
        <v>1031</v>
      </c>
      <c r="H1286" s="10" t="s">
        <v>1031</v>
      </c>
      <c r="K1286" t="s">
        <v>19</v>
      </c>
      <c r="L1286" t="s">
        <v>20</v>
      </c>
      <c r="M1286" s="9">
        <v>8481802</v>
      </c>
      <c r="N1286" t="s">
        <v>3477</v>
      </c>
      <c r="O1286">
        <v>18</v>
      </c>
      <c r="P1286" t="s">
        <v>3477</v>
      </c>
      <c r="Q1286">
        <v>18</v>
      </c>
      <c r="R1286" s="13">
        <v>8400</v>
      </c>
      <c r="S1286" s="13">
        <v>5880</v>
      </c>
    </row>
    <row r="1287" spans="1:19">
      <c r="A1287" s="9" t="s">
        <v>22</v>
      </c>
      <c r="B1287" s="9" t="s">
        <v>27</v>
      </c>
      <c r="C1287" s="9" t="s">
        <v>100</v>
      </c>
      <c r="D1287" t="s">
        <v>204</v>
      </c>
      <c r="F1287" s="12" t="s">
        <v>2787</v>
      </c>
      <c r="G1287" s="10" t="s">
        <v>1032</v>
      </c>
      <c r="H1287" s="10" t="s">
        <v>1032</v>
      </c>
      <c r="K1287" t="s">
        <v>19</v>
      </c>
      <c r="L1287" t="s">
        <v>20</v>
      </c>
      <c r="M1287" s="9">
        <v>8481802</v>
      </c>
      <c r="N1287" t="s">
        <v>3477</v>
      </c>
      <c r="O1287">
        <v>18</v>
      </c>
      <c r="P1287" t="s">
        <v>3477</v>
      </c>
      <c r="Q1287">
        <v>18</v>
      </c>
      <c r="R1287" s="13">
        <v>7490</v>
      </c>
      <c r="S1287" s="13">
        <v>5243</v>
      </c>
    </row>
    <row r="1288" spans="1:19">
      <c r="A1288" s="9" t="s">
        <v>22</v>
      </c>
      <c r="B1288" s="9" t="s">
        <v>27</v>
      </c>
      <c r="C1288" s="9" t="s">
        <v>100</v>
      </c>
      <c r="D1288" t="s">
        <v>204</v>
      </c>
      <c r="F1288" s="12" t="s">
        <v>2788</v>
      </c>
      <c r="G1288" s="10" t="s">
        <v>1033</v>
      </c>
      <c r="H1288" s="10" t="s">
        <v>1033</v>
      </c>
      <c r="K1288" t="s">
        <v>19</v>
      </c>
      <c r="L1288" t="s">
        <v>20</v>
      </c>
      <c r="M1288" s="9">
        <v>8481802</v>
      </c>
      <c r="N1288" t="s">
        <v>3477</v>
      </c>
      <c r="O1288">
        <v>18</v>
      </c>
      <c r="P1288" t="s">
        <v>3477</v>
      </c>
      <c r="Q1288">
        <v>18</v>
      </c>
      <c r="R1288" s="13">
        <v>6820</v>
      </c>
      <c r="S1288" s="13">
        <v>4774</v>
      </c>
    </row>
    <row r="1289" spans="1:19">
      <c r="A1289" s="9" t="s">
        <v>22</v>
      </c>
      <c r="B1289" s="9" t="s">
        <v>27</v>
      </c>
      <c r="C1289" s="9" t="s">
        <v>48</v>
      </c>
      <c r="D1289" t="s">
        <v>204</v>
      </c>
      <c r="F1289" s="12" t="s">
        <v>2789</v>
      </c>
      <c r="G1289" s="10" t="s">
        <v>1034</v>
      </c>
      <c r="H1289" s="10" t="s">
        <v>1034</v>
      </c>
      <c r="K1289" t="s">
        <v>19</v>
      </c>
      <c r="L1289" t="s">
        <v>20</v>
      </c>
      <c r="M1289" s="9">
        <v>8481802</v>
      </c>
      <c r="N1289" t="s">
        <v>3477</v>
      </c>
      <c r="O1289">
        <v>18</v>
      </c>
      <c r="P1289" t="s">
        <v>3477</v>
      </c>
      <c r="Q1289">
        <v>18</v>
      </c>
      <c r="R1289" s="13">
        <v>5710</v>
      </c>
      <c r="S1289" s="13">
        <v>3996.9999999999995</v>
      </c>
    </row>
    <row r="1290" spans="1:19">
      <c r="A1290" s="9" t="s">
        <v>22</v>
      </c>
      <c r="B1290" s="9" t="s">
        <v>27</v>
      </c>
      <c r="C1290" s="9" t="s">
        <v>118</v>
      </c>
      <c r="D1290" t="s">
        <v>204</v>
      </c>
      <c r="F1290" s="12" t="s">
        <v>2790</v>
      </c>
      <c r="G1290" s="10" t="s">
        <v>1035</v>
      </c>
      <c r="H1290" s="10" t="s">
        <v>1035</v>
      </c>
      <c r="K1290" t="s">
        <v>19</v>
      </c>
      <c r="L1290" t="s">
        <v>20</v>
      </c>
      <c r="M1290" s="9">
        <v>8481802</v>
      </c>
      <c r="N1290" t="s">
        <v>3477</v>
      </c>
      <c r="O1290">
        <v>18</v>
      </c>
      <c r="P1290" t="s">
        <v>3477</v>
      </c>
      <c r="Q1290">
        <v>18</v>
      </c>
      <c r="R1290" s="13">
        <v>3670</v>
      </c>
      <c r="S1290" s="13">
        <v>2569</v>
      </c>
    </row>
    <row r="1291" spans="1:19">
      <c r="A1291" s="9" t="s">
        <v>22</v>
      </c>
      <c r="B1291" s="9" t="s">
        <v>27</v>
      </c>
      <c r="C1291" s="9" t="s">
        <v>118</v>
      </c>
      <c r="D1291" t="s">
        <v>204</v>
      </c>
      <c r="F1291" s="12" t="s">
        <v>2791</v>
      </c>
      <c r="G1291" s="10" t="s">
        <v>1036</v>
      </c>
      <c r="H1291" s="10" t="s">
        <v>1036</v>
      </c>
      <c r="K1291" t="s">
        <v>19</v>
      </c>
      <c r="L1291" t="s">
        <v>20</v>
      </c>
      <c r="M1291" s="9">
        <v>8481802</v>
      </c>
      <c r="N1291" t="s">
        <v>3477</v>
      </c>
      <c r="O1291">
        <v>18</v>
      </c>
      <c r="P1291" t="s">
        <v>3477</v>
      </c>
      <c r="Q1291">
        <v>18</v>
      </c>
      <c r="R1291" s="13">
        <v>4520</v>
      </c>
      <c r="S1291" s="13">
        <v>3164</v>
      </c>
    </row>
    <row r="1292" spans="1:19">
      <c r="A1292" s="9" t="s">
        <v>22</v>
      </c>
      <c r="B1292" s="9" t="s">
        <v>27</v>
      </c>
      <c r="C1292" s="9" t="s">
        <v>95</v>
      </c>
      <c r="D1292" t="s">
        <v>204</v>
      </c>
      <c r="F1292" s="12" t="s">
        <v>2792</v>
      </c>
      <c r="G1292" s="10" t="s">
        <v>1037</v>
      </c>
      <c r="H1292" s="10" t="s">
        <v>1037</v>
      </c>
      <c r="K1292" t="s">
        <v>19</v>
      </c>
      <c r="L1292" t="s">
        <v>20</v>
      </c>
      <c r="M1292" s="9">
        <v>8481909</v>
      </c>
      <c r="N1292" t="s">
        <v>3477</v>
      </c>
      <c r="O1292">
        <v>18</v>
      </c>
      <c r="P1292" t="s">
        <v>3477</v>
      </c>
      <c r="Q1292">
        <v>18</v>
      </c>
      <c r="R1292" s="13">
        <v>3000</v>
      </c>
      <c r="S1292" s="13">
        <v>2100</v>
      </c>
    </row>
    <row r="1293" spans="1:19">
      <c r="A1293" s="9" t="s">
        <v>22</v>
      </c>
      <c r="B1293" s="9" t="s">
        <v>29</v>
      </c>
      <c r="C1293" s="9" t="s">
        <v>52</v>
      </c>
      <c r="D1293" t="s">
        <v>204</v>
      </c>
      <c r="F1293" s="12" t="s">
        <v>2793</v>
      </c>
      <c r="G1293" s="10" t="s">
        <v>1038</v>
      </c>
      <c r="H1293" s="10" t="s">
        <v>1038</v>
      </c>
      <c r="K1293" t="s">
        <v>19</v>
      </c>
      <c r="L1293" t="s">
        <v>20</v>
      </c>
      <c r="M1293" s="9">
        <v>8481802</v>
      </c>
      <c r="N1293" t="s">
        <v>3477</v>
      </c>
      <c r="O1293">
        <v>18</v>
      </c>
      <c r="P1293" t="s">
        <v>3477</v>
      </c>
      <c r="Q1293">
        <v>18</v>
      </c>
      <c r="R1293" s="13">
        <v>30000</v>
      </c>
      <c r="S1293" s="13">
        <v>21000</v>
      </c>
    </row>
    <row r="1294" spans="1:19">
      <c r="A1294" s="9" t="s">
        <v>22</v>
      </c>
      <c r="B1294" s="9" t="s">
        <v>27</v>
      </c>
      <c r="C1294" s="9" t="s">
        <v>107</v>
      </c>
      <c r="D1294" t="s">
        <v>204</v>
      </c>
      <c r="F1294" s="12" t="s">
        <v>2794</v>
      </c>
      <c r="G1294" s="10" t="s">
        <v>1039</v>
      </c>
      <c r="H1294" s="10" t="s">
        <v>1039</v>
      </c>
      <c r="K1294" t="s">
        <v>19</v>
      </c>
      <c r="L1294" t="s">
        <v>20</v>
      </c>
      <c r="M1294" s="9">
        <v>8481802</v>
      </c>
      <c r="N1294" t="s">
        <v>3477</v>
      </c>
      <c r="O1294">
        <v>18</v>
      </c>
      <c r="P1294" t="s">
        <v>3477</v>
      </c>
      <c r="Q1294">
        <v>18</v>
      </c>
      <c r="R1294" s="13">
        <v>6000</v>
      </c>
      <c r="S1294" s="13">
        <v>4200</v>
      </c>
    </row>
    <row r="1295" spans="1:19">
      <c r="A1295" s="9" t="s">
        <v>22</v>
      </c>
      <c r="B1295" s="9" t="s">
        <v>27</v>
      </c>
      <c r="C1295" s="9" t="s">
        <v>108</v>
      </c>
      <c r="D1295" t="s">
        <v>204</v>
      </c>
      <c r="F1295" s="12" t="s">
        <v>2795</v>
      </c>
      <c r="G1295" s="10" t="s">
        <v>1040</v>
      </c>
      <c r="H1295" s="10" t="s">
        <v>1040</v>
      </c>
      <c r="K1295" t="s">
        <v>19</v>
      </c>
      <c r="L1295" t="s">
        <v>20</v>
      </c>
      <c r="M1295" s="9">
        <v>8481802</v>
      </c>
      <c r="N1295" t="s">
        <v>3477</v>
      </c>
      <c r="O1295">
        <v>18</v>
      </c>
      <c r="P1295" t="s">
        <v>3477</v>
      </c>
      <c r="Q1295">
        <v>18</v>
      </c>
      <c r="R1295" s="13">
        <v>5600</v>
      </c>
      <c r="S1295" s="13">
        <v>3919.9999999999995</v>
      </c>
    </row>
    <row r="1296" spans="1:19">
      <c r="A1296" s="9" t="s">
        <v>22</v>
      </c>
      <c r="B1296" s="9" t="s">
        <v>27</v>
      </c>
      <c r="C1296" s="9" t="s">
        <v>109</v>
      </c>
      <c r="D1296" t="s">
        <v>204</v>
      </c>
      <c r="F1296" s="12" t="s">
        <v>2796</v>
      </c>
      <c r="G1296" s="10" t="s">
        <v>1041</v>
      </c>
      <c r="H1296" s="10" t="s">
        <v>1041</v>
      </c>
      <c r="K1296" t="s">
        <v>19</v>
      </c>
      <c r="L1296" t="s">
        <v>20</v>
      </c>
      <c r="M1296" s="9">
        <v>8481802</v>
      </c>
      <c r="N1296" t="s">
        <v>3477</v>
      </c>
      <c r="O1296">
        <v>18</v>
      </c>
      <c r="P1296" t="s">
        <v>3477</v>
      </c>
      <c r="Q1296">
        <v>18</v>
      </c>
      <c r="R1296" s="13">
        <v>10400</v>
      </c>
      <c r="S1296" s="13">
        <v>7279.9999999999991</v>
      </c>
    </row>
    <row r="1297" spans="1:19">
      <c r="A1297" s="9" t="s">
        <v>22</v>
      </c>
      <c r="B1297" s="9" t="s">
        <v>27</v>
      </c>
      <c r="C1297" s="9" t="s">
        <v>178</v>
      </c>
      <c r="D1297" t="s">
        <v>204</v>
      </c>
      <c r="F1297" s="12" t="s">
        <v>2797</v>
      </c>
      <c r="G1297" s="10" t="s">
        <v>1042</v>
      </c>
      <c r="H1297" s="10" t="s">
        <v>1042</v>
      </c>
      <c r="K1297" t="s">
        <v>19</v>
      </c>
      <c r="L1297" t="s">
        <v>20</v>
      </c>
      <c r="M1297" s="9">
        <v>8481802</v>
      </c>
      <c r="N1297" t="s">
        <v>3477</v>
      </c>
      <c r="O1297">
        <v>18</v>
      </c>
      <c r="P1297" t="s">
        <v>3477</v>
      </c>
      <c r="Q1297">
        <v>18</v>
      </c>
      <c r="R1297" s="13">
        <v>10000</v>
      </c>
      <c r="S1297" s="13">
        <v>7000</v>
      </c>
    </row>
    <row r="1298" spans="1:19">
      <c r="A1298" s="9" t="s">
        <v>22</v>
      </c>
      <c r="B1298" s="9" t="s">
        <v>27</v>
      </c>
      <c r="C1298" s="9" t="s">
        <v>61</v>
      </c>
      <c r="D1298" t="s">
        <v>204</v>
      </c>
      <c r="F1298" s="12" t="s">
        <v>2798</v>
      </c>
      <c r="G1298" s="10" t="s">
        <v>1043</v>
      </c>
      <c r="H1298" s="10" t="s">
        <v>1043</v>
      </c>
      <c r="K1298" t="s">
        <v>19</v>
      </c>
      <c r="L1298" t="s">
        <v>20</v>
      </c>
      <c r="M1298" s="9">
        <v>8481802</v>
      </c>
      <c r="N1298" t="s">
        <v>3477</v>
      </c>
      <c r="O1298">
        <v>18</v>
      </c>
      <c r="P1298" t="s">
        <v>3477</v>
      </c>
      <c r="Q1298">
        <v>18</v>
      </c>
      <c r="R1298" s="13">
        <v>3650</v>
      </c>
      <c r="S1298" s="13">
        <v>2555</v>
      </c>
    </row>
    <row r="1299" spans="1:19">
      <c r="A1299" s="9" t="s">
        <v>22</v>
      </c>
      <c r="B1299" s="9" t="s">
        <v>27</v>
      </c>
      <c r="C1299" s="9" t="s">
        <v>61</v>
      </c>
      <c r="D1299" t="s">
        <v>204</v>
      </c>
      <c r="F1299" s="12" t="s">
        <v>2799</v>
      </c>
      <c r="G1299" s="10" t="s">
        <v>1044</v>
      </c>
      <c r="H1299" s="10" t="s">
        <v>1044</v>
      </c>
      <c r="K1299" t="s">
        <v>19</v>
      </c>
      <c r="L1299" t="s">
        <v>20</v>
      </c>
      <c r="M1299" s="9">
        <v>8481802</v>
      </c>
      <c r="N1299" t="s">
        <v>3477</v>
      </c>
      <c r="O1299">
        <v>18</v>
      </c>
      <c r="P1299" t="s">
        <v>3477</v>
      </c>
      <c r="Q1299">
        <v>18</v>
      </c>
      <c r="R1299" s="13">
        <v>5290</v>
      </c>
      <c r="S1299" s="13">
        <v>3702.9999999999995</v>
      </c>
    </row>
    <row r="1300" spans="1:19">
      <c r="A1300" s="9" t="s">
        <v>22</v>
      </c>
      <c r="B1300" s="9" t="s">
        <v>27</v>
      </c>
      <c r="C1300" s="9" t="s">
        <v>51</v>
      </c>
      <c r="D1300" t="s">
        <v>204</v>
      </c>
      <c r="F1300" s="12" t="s">
        <v>2800</v>
      </c>
      <c r="G1300" s="10" t="s">
        <v>1045</v>
      </c>
      <c r="H1300" s="10" t="s">
        <v>1045</v>
      </c>
      <c r="K1300" t="s">
        <v>19</v>
      </c>
      <c r="L1300" t="s">
        <v>20</v>
      </c>
      <c r="M1300" s="9">
        <v>8481909</v>
      </c>
      <c r="N1300" t="s">
        <v>3477</v>
      </c>
      <c r="O1300">
        <v>18</v>
      </c>
      <c r="P1300" t="s">
        <v>3477</v>
      </c>
      <c r="Q1300">
        <v>18</v>
      </c>
      <c r="R1300" s="13">
        <v>5370</v>
      </c>
      <c r="S1300" s="13">
        <v>3758.9999999999995</v>
      </c>
    </row>
    <row r="1301" spans="1:19">
      <c r="A1301" s="9" t="s">
        <v>22</v>
      </c>
      <c r="B1301" s="9" t="s">
        <v>27</v>
      </c>
      <c r="C1301" s="9" t="s">
        <v>51</v>
      </c>
      <c r="D1301" t="s">
        <v>204</v>
      </c>
      <c r="F1301" s="12" t="s">
        <v>2801</v>
      </c>
      <c r="G1301" s="10" t="s">
        <v>1046</v>
      </c>
      <c r="H1301" s="10" t="s">
        <v>1046</v>
      </c>
      <c r="K1301" t="s">
        <v>19</v>
      </c>
      <c r="L1301" t="s">
        <v>20</v>
      </c>
      <c r="M1301" s="9">
        <v>8481909</v>
      </c>
      <c r="N1301" t="s">
        <v>3477</v>
      </c>
      <c r="O1301">
        <v>18</v>
      </c>
      <c r="P1301" t="s">
        <v>3477</v>
      </c>
      <c r="Q1301">
        <v>18</v>
      </c>
      <c r="R1301" s="13">
        <v>3700</v>
      </c>
      <c r="S1301" s="13">
        <v>2590</v>
      </c>
    </row>
    <row r="1302" spans="1:19">
      <c r="A1302" s="9" t="s">
        <v>22</v>
      </c>
      <c r="B1302" s="9" t="s">
        <v>27</v>
      </c>
      <c r="C1302" s="9" t="s">
        <v>48</v>
      </c>
      <c r="D1302" t="s">
        <v>204</v>
      </c>
      <c r="F1302" s="12" t="s">
        <v>2802</v>
      </c>
      <c r="G1302" s="10" t="s">
        <v>1047</v>
      </c>
      <c r="H1302" s="10" t="s">
        <v>1047</v>
      </c>
      <c r="K1302" t="s">
        <v>19</v>
      </c>
      <c r="L1302" t="s">
        <v>20</v>
      </c>
      <c r="M1302" s="9">
        <v>8481802</v>
      </c>
      <c r="N1302" t="s">
        <v>3477</v>
      </c>
      <c r="O1302">
        <v>18</v>
      </c>
      <c r="P1302" t="s">
        <v>3477</v>
      </c>
      <c r="Q1302">
        <v>18</v>
      </c>
      <c r="R1302" s="13">
        <v>22030</v>
      </c>
      <c r="S1302" s="13">
        <v>15420.999999999998</v>
      </c>
    </row>
    <row r="1303" spans="1:19">
      <c r="A1303" s="9" t="s">
        <v>22</v>
      </c>
      <c r="B1303" s="9" t="s">
        <v>27</v>
      </c>
      <c r="C1303" s="9" t="s">
        <v>48</v>
      </c>
      <c r="D1303" t="s">
        <v>204</v>
      </c>
      <c r="F1303" s="12" t="s">
        <v>2803</v>
      </c>
      <c r="G1303" s="10" t="s">
        <v>1048</v>
      </c>
      <c r="H1303" s="10" t="s">
        <v>1048</v>
      </c>
      <c r="K1303" t="s">
        <v>19</v>
      </c>
      <c r="L1303" t="s">
        <v>20</v>
      </c>
      <c r="M1303" s="9">
        <v>8481802</v>
      </c>
      <c r="N1303" t="s">
        <v>3477</v>
      </c>
      <c r="O1303">
        <v>18</v>
      </c>
      <c r="P1303" t="s">
        <v>3477</v>
      </c>
      <c r="Q1303">
        <v>18</v>
      </c>
      <c r="R1303" s="13">
        <v>25030</v>
      </c>
      <c r="S1303" s="13">
        <v>17521</v>
      </c>
    </row>
    <row r="1304" spans="1:19">
      <c r="A1304" s="9" t="s">
        <v>22</v>
      </c>
      <c r="B1304" s="9" t="s">
        <v>27</v>
      </c>
      <c r="C1304" s="9" t="s">
        <v>48</v>
      </c>
      <c r="D1304" t="s">
        <v>204</v>
      </c>
      <c r="F1304" s="12" t="s">
        <v>2804</v>
      </c>
      <c r="G1304" s="10" t="s">
        <v>1049</v>
      </c>
      <c r="H1304" s="10" t="s">
        <v>1049</v>
      </c>
      <c r="K1304" t="s">
        <v>19</v>
      </c>
      <c r="L1304" t="s">
        <v>20</v>
      </c>
      <c r="M1304" s="9">
        <v>8481802</v>
      </c>
      <c r="N1304" t="s">
        <v>3477</v>
      </c>
      <c r="O1304">
        <v>18</v>
      </c>
      <c r="P1304" t="s">
        <v>3477</v>
      </c>
      <c r="Q1304">
        <v>18</v>
      </c>
      <c r="R1304" s="13">
        <v>20030</v>
      </c>
      <c r="S1304" s="13">
        <v>14021</v>
      </c>
    </row>
    <row r="1305" spans="1:19">
      <c r="A1305" s="9" t="s">
        <v>22</v>
      </c>
      <c r="B1305" s="9" t="s">
        <v>27</v>
      </c>
      <c r="C1305" s="9" t="s">
        <v>49</v>
      </c>
      <c r="D1305" t="s">
        <v>204</v>
      </c>
      <c r="F1305" s="12" t="s">
        <v>2805</v>
      </c>
      <c r="G1305" s="10" t="s">
        <v>1050</v>
      </c>
      <c r="H1305" s="10" t="s">
        <v>1050</v>
      </c>
      <c r="K1305" t="s">
        <v>19</v>
      </c>
      <c r="L1305" t="s">
        <v>20</v>
      </c>
      <c r="M1305" s="9">
        <v>8481802</v>
      </c>
      <c r="N1305" t="s">
        <v>3477</v>
      </c>
      <c r="O1305">
        <v>18</v>
      </c>
      <c r="P1305" t="s">
        <v>3477</v>
      </c>
      <c r="Q1305">
        <v>18</v>
      </c>
      <c r="R1305" s="13">
        <v>31280</v>
      </c>
      <c r="S1305" s="13">
        <v>21896</v>
      </c>
    </row>
    <row r="1306" spans="1:19">
      <c r="A1306" s="9" t="s">
        <v>22</v>
      </c>
      <c r="B1306" s="9" t="s">
        <v>27</v>
      </c>
      <c r="C1306" s="9" t="s">
        <v>95</v>
      </c>
      <c r="D1306" t="s">
        <v>204</v>
      </c>
      <c r="F1306" s="12" t="s">
        <v>2806</v>
      </c>
      <c r="G1306" s="10" t="s">
        <v>1051</v>
      </c>
      <c r="H1306" s="10" t="s">
        <v>1051</v>
      </c>
      <c r="K1306" t="s">
        <v>19</v>
      </c>
      <c r="L1306" t="s">
        <v>20</v>
      </c>
      <c r="M1306" s="9">
        <v>8481909</v>
      </c>
      <c r="N1306" t="s">
        <v>3477</v>
      </c>
      <c r="O1306">
        <v>18</v>
      </c>
      <c r="P1306" t="s">
        <v>3477</v>
      </c>
      <c r="Q1306">
        <v>18</v>
      </c>
      <c r="R1306" s="13">
        <v>9190</v>
      </c>
      <c r="S1306" s="13">
        <v>6433</v>
      </c>
    </row>
    <row r="1307" spans="1:19">
      <c r="A1307" s="9" t="s">
        <v>22</v>
      </c>
      <c r="B1307" s="9" t="s">
        <v>27</v>
      </c>
      <c r="C1307" s="9" t="s">
        <v>51</v>
      </c>
      <c r="D1307" t="s">
        <v>204</v>
      </c>
      <c r="F1307" s="12" t="s">
        <v>2807</v>
      </c>
      <c r="G1307" s="10" t="s">
        <v>1052</v>
      </c>
      <c r="H1307" s="10" t="s">
        <v>1052</v>
      </c>
      <c r="K1307" t="s">
        <v>19</v>
      </c>
      <c r="L1307" t="s">
        <v>20</v>
      </c>
      <c r="M1307" s="9">
        <v>8481909</v>
      </c>
      <c r="N1307" t="s">
        <v>3477</v>
      </c>
      <c r="O1307">
        <v>18</v>
      </c>
      <c r="P1307" t="s">
        <v>3477</v>
      </c>
      <c r="Q1307">
        <v>18</v>
      </c>
      <c r="R1307" s="13">
        <v>9310</v>
      </c>
      <c r="S1307" s="13">
        <v>6517</v>
      </c>
    </row>
    <row r="1308" spans="1:19">
      <c r="A1308" s="9" t="s">
        <v>22</v>
      </c>
      <c r="B1308" s="9" t="s">
        <v>27</v>
      </c>
      <c r="C1308" s="9" t="s">
        <v>51</v>
      </c>
      <c r="D1308" t="s">
        <v>204</v>
      </c>
      <c r="F1308" s="12" t="s">
        <v>2808</v>
      </c>
      <c r="G1308" s="10" t="s">
        <v>1053</v>
      </c>
      <c r="H1308" s="10" t="s">
        <v>1053</v>
      </c>
      <c r="K1308" t="s">
        <v>19</v>
      </c>
      <c r="L1308" t="s">
        <v>20</v>
      </c>
      <c r="M1308" s="9">
        <v>8481802</v>
      </c>
      <c r="N1308" t="s">
        <v>3477</v>
      </c>
      <c r="O1308">
        <v>18</v>
      </c>
      <c r="P1308" t="s">
        <v>3477</v>
      </c>
      <c r="Q1308">
        <v>18</v>
      </c>
      <c r="R1308" s="13">
        <v>6640</v>
      </c>
      <c r="S1308" s="13">
        <v>4648</v>
      </c>
    </row>
    <row r="1309" spans="1:19">
      <c r="A1309" s="9" t="s">
        <v>22</v>
      </c>
      <c r="B1309" s="9" t="s">
        <v>27</v>
      </c>
      <c r="C1309" s="9" t="s">
        <v>51</v>
      </c>
      <c r="D1309" t="s">
        <v>204</v>
      </c>
      <c r="F1309" s="12" t="s">
        <v>2809</v>
      </c>
      <c r="G1309" s="10" t="s">
        <v>1051</v>
      </c>
      <c r="H1309" s="10" t="s">
        <v>1051</v>
      </c>
      <c r="K1309" t="s">
        <v>19</v>
      </c>
      <c r="L1309" t="s">
        <v>20</v>
      </c>
      <c r="M1309" s="9">
        <v>8481909</v>
      </c>
      <c r="N1309" t="s">
        <v>3477</v>
      </c>
      <c r="O1309">
        <v>18</v>
      </c>
      <c r="P1309" t="s">
        <v>3477</v>
      </c>
      <c r="Q1309">
        <v>18</v>
      </c>
      <c r="R1309" s="13">
        <v>7440</v>
      </c>
      <c r="S1309" s="13">
        <v>5208</v>
      </c>
    </row>
    <row r="1310" spans="1:19">
      <c r="A1310" s="9" t="s">
        <v>22</v>
      </c>
      <c r="B1310" s="9" t="s">
        <v>27</v>
      </c>
      <c r="C1310" s="9" t="s">
        <v>51</v>
      </c>
      <c r="D1310" t="s">
        <v>204</v>
      </c>
      <c r="F1310" s="12" t="s">
        <v>2810</v>
      </c>
      <c r="G1310" s="10" t="s">
        <v>1054</v>
      </c>
      <c r="H1310" s="10" t="s">
        <v>1054</v>
      </c>
      <c r="K1310" t="s">
        <v>19</v>
      </c>
      <c r="L1310" t="s">
        <v>20</v>
      </c>
      <c r="M1310" s="9">
        <v>8481909</v>
      </c>
      <c r="N1310" t="s">
        <v>3477</v>
      </c>
      <c r="O1310">
        <v>18</v>
      </c>
      <c r="P1310" t="s">
        <v>3477</v>
      </c>
      <c r="Q1310">
        <v>18</v>
      </c>
      <c r="R1310" s="13">
        <v>11920</v>
      </c>
      <c r="S1310" s="13">
        <v>8344</v>
      </c>
    </row>
    <row r="1311" spans="1:19">
      <c r="A1311" s="9" t="s">
        <v>22</v>
      </c>
      <c r="B1311" s="9" t="s">
        <v>27</v>
      </c>
      <c r="C1311" s="9" t="s">
        <v>51</v>
      </c>
      <c r="D1311" t="s">
        <v>204</v>
      </c>
      <c r="F1311" s="12" t="s">
        <v>2811</v>
      </c>
      <c r="G1311" s="10" t="s">
        <v>1055</v>
      </c>
      <c r="H1311" s="10" t="s">
        <v>1055</v>
      </c>
      <c r="K1311" t="s">
        <v>19</v>
      </c>
      <c r="L1311" t="s">
        <v>20</v>
      </c>
      <c r="M1311" s="9">
        <v>8481802</v>
      </c>
      <c r="N1311" t="s">
        <v>3477</v>
      </c>
      <c r="O1311">
        <v>18</v>
      </c>
      <c r="P1311" t="s">
        <v>3477</v>
      </c>
      <c r="Q1311">
        <v>18</v>
      </c>
      <c r="R1311" s="13">
        <v>11920</v>
      </c>
      <c r="S1311" s="13">
        <v>8344</v>
      </c>
    </row>
    <row r="1312" spans="1:19">
      <c r="A1312" s="9" t="s">
        <v>22</v>
      </c>
      <c r="B1312" s="9" t="s">
        <v>27</v>
      </c>
      <c r="C1312" s="9" t="s">
        <v>51</v>
      </c>
      <c r="D1312" t="s">
        <v>204</v>
      </c>
      <c r="F1312" s="12" t="s">
        <v>2812</v>
      </c>
      <c r="G1312" s="10" t="s">
        <v>1056</v>
      </c>
      <c r="H1312" s="10" t="s">
        <v>1056</v>
      </c>
      <c r="K1312" t="s">
        <v>19</v>
      </c>
      <c r="L1312" t="s">
        <v>20</v>
      </c>
      <c r="M1312" s="9">
        <v>8481909</v>
      </c>
      <c r="N1312" t="s">
        <v>3477</v>
      </c>
      <c r="O1312">
        <v>18</v>
      </c>
      <c r="P1312" t="s">
        <v>3477</v>
      </c>
      <c r="Q1312">
        <v>18</v>
      </c>
      <c r="R1312" s="13">
        <v>6110</v>
      </c>
      <c r="S1312" s="13">
        <v>4277</v>
      </c>
    </row>
    <row r="1313" spans="1:19">
      <c r="A1313" s="9" t="s">
        <v>22</v>
      </c>
      <c r="B1313" s="9" t="s">
        <v>27</v>
      </c>
      <c r="C1313" s="9" t="s">
        <v>51</v>
      </c>
      <c r="D1313" t="s">
        <v>204</v>
      </c>
      <c r="F1313" s="12" t="s">
        <v>2813</v>
      </c>
      <c r="G1313" s="10" t="s">
        <v>1056</v>
      </c>
      <c r="H1313" s="10" t="s">
        <v>1056</v>
      </c>
      <c r="K1313" t="s">
        <v>19</v>
      </c>
      <c r="L1313" t="s">
        <v>20</v>
      </c>
      <c r="M1313" s="9">
        <v>8481909</v>
      </c>
      <c r="N1313" t="s">
        <v>3477</v>
      </c>
      <c r="O1313">
        <v>18</v>
      </c>
      <c r="P1313" t="s">
        <v>3477</v>
      </c>
      <c r="Q1313">
        <v>18</v>
      </c>
      <c r="R1313" s="13">
        <v>6850</v>
      </c>
      <c r="S1313" s="13">
        <v>4795</v>
      </c>
    </row>
    <row r="1314" spans="1:19">
      <c r="A1314" s="9" t="s">
        <v>22</v>
      </c>
      <c r="B1314" s="9" t="s">
        <v>27</v>
      </c>
      <c r="C1314" s="9" t="s">
        <v>51</v>
      </c>
      <c r="D1314" t="s">
        <v>204</v>
      </c>
      <c r="F1314" s="12" t="s">
        <v>2814</v>
      </c>
      <c r="G1314" s="10" t="s">
        <v>1057</v>
      </c>
      <c r="H1314" s="10" t="s">
        <v>1057</v>
      </c>
      <c r="K1314" t="s">
        <v>19</v>
      </c>
      <c r="L1314" t="s">
        <v>20</v>
      </c>
      <c r="M1314" s="9">
        <v>8481909</v>
      </c>
      <c r="N1314" t="s">
        <v>3477</v>
      </c>
      <c r="O1314">
        <v>18</v>
      </c>
      <c r="P1314" t="s">
        <v>3477</v>
      </c>
      <c r="Q1314">
        <v>18</v>
      </c>
      <c r="R1314" s="13">
        <v>10950</v>
      </c>
      <c r="S1314" s="13">
        <v>7664.9999999999991</v>
      </c>
    </row>
    <row r="1315" spans="1:19">
      <c r="A1315" s="9" t="s">
        <v>22</v>
      </c>
      <c r="B1315" s="9" t="s">
        <v>27</v>
      </c>
      <c r="C1315" s="9" t="s">
        <v>51</v>
      </c>
      <c r="D1315" t="s">
        <v>204</v>
      </c>
      <c r="F1315" s="12" t="s">
        <v>2815</v>
      </c>
      <c r="G1315" s="10" t="s">
        <v>1058</v>
      </c>
      <c r="H1315" s="10" t="s">
        <v>1058</v>
      </c>
      <c r="K1315" t="s">
        <v>19</v>
      </c>
      <c r="L1315" t="s">
        <v>20</v>
      </c>
      <c r="M1315" s="9">
        <v>8481909</v>
      </c>
      <c r="N1315" t="s">
        <v>3477</v>
      </c>
      <c r="O1315">
        <v>18</v>
      </c>
      <c r="P1315" t="s">
        <v>3477</v>
      </c>
      <c r="Q1315">
        <v>18</v>
      </c>
      <c r="R1315" s="13">
        <v>10950</v>
      </c>
      <c r="S1315" s="13">
        <v>7664.9999999999991</v>
      </c>
    </row>
    <row r="1316" spans="1:19">
      <c r="A1316" s="9" t="s">
        <v>22</v>
      </c>
      <c r="B1316" s="9" t="s">
        <v>27</v>
      </c>
      <c r="C1316" s="9" t="s">
        <v>55</v>
      </c>
      <c r="D1316" t="s">
        <v>204</v>
      </c>
      <c r="F1316" s="12" t="s">
        <v>2816</v>
      </c>
      <c r="G1316" s="10" t="s">
        <v>1059</v>
      </c>
      <c r="H1316" s="10" t="s">
        <v>1059</v>
      </c>
      <c r="K1316" t="s">
        <v>19</v>
      </c>
      <c r="L1316" t="s">
        <v>20</v>
      </c>
      <c r="M1316" s="9">
        <v>83025</v>
      </c>
      <c r="N1316" t="s">
        <v>3477</v>
      </c>
      <c r="O1316">
        <v>18</v>
      </c>
      <c r="P1316" t="s">
        <v>3477</v>
      </c>
      <c r="Q1316">
        <v>18</v>
      </c>
      <c r="R1316" s="13">
        <v>1790</v>
      </c>
      <c r="S1316" s="13">
        <v>1253</v>
      </c>
    </row>
    <row r="1317" spans="1:19">
      <c r="A1317" s="9" t="s">
        <v>22</v>
      </c>
      <c r="B1317" s="9" t="s">
        <v>27</v>
      </c>
      <c r="C1317" s="9" t="s">
        <v>53</v>
      </c>
      <c r="D1317" t="s">
        <v>204</v>
      </c>
      <c r="F1317" s="12" t="s">
        <v>2817</v>
      </c>
      <c r="G1317" s="10" t="s">
        <v>1060</v>
      </c>
      <c r="H1317" s="10" t="s">
        <v>1060</v>
      </c>
      <c r="K1317" t="s">
        <v>19</v>
      </c>
      <c r="L1317" t="s">
        <v>20</v>
      </c>
      <c r="M1317" s="9">
        <v>83025</v>
      </c>
      <c r="N1317" t="s">
        <v>3477</v>
      </c>
      <c r="O1317">
        <v>18</v>
      </c>
      <c r="P1317" t="s">
        <v>3477</v>
      </c>
      <c r="Q1317">
        <v>18</v>
      </c>
      <c r="R1317" s="13">
        <v>5190</v>
      </c>
      <c r="S1317" s="13">
        <v>3632.9999999999995</v>
      </c>
    </row>
    <row r="1318" spans="1:19">
      <c r="A1318" s="9" t="s">
        <v>22</v>
      </c>
      <c r="B1318" s="9" t="s">
        <v>27</v>
      </c>
      <c r="C1318" s="9" t="s">
        <v>56</v>
      </c>
      <c r="D1318" t="s">
        <v>204</v>
      </c>
      <c r="F1318" s="12" t="s">
        <v>2818</v>
      </c>
      <c r="G1318" s="10" t="s">
        <v>1061</v>
      </c>
      <c r="H1318" s="10" t="s">
        <v>1061</v>
      </c>
      <c r="K1318" t="s">
        <v>19</v>
      </c>
      <c r="L1318" t="s">
        <v>20</v>
      </c>
      <c r="M1318" s="9">
        <v>7907001</v>
      </c>
      <c r="N1318" t="s">
        <v>3477</v>
      </c>
      <c r="O1318">
        <v>18</v>
      </c>
      <c r="P1318" t="s">
        <v>3477</v>
      </c>
      <c r="Q1318">
        <v>18</v>
      </c>
      <c r="R1318" s="13">
        <v>2940</v>
      </c>
      <c r="S1318" s="13">
        <v>2058</v>
      </c>
    </row>
    <row r="1319" spans="1:19">
      <c r="A1319" s="9" t="s">
        <v>22</v>
      </c>
      <c r="B1319" s="9" t="s">
        <v>27</v>
      </c>
      <c r="C1319" s="9" t="s">
        <v>56</v>
      </c>
      <c r="D1319" t="s">
        <v>204</v>
      </c>
      <c r="F1319" s="12" t="s">
        <v>2819</v>
      </c>
      <c r="G1319" s="10" t="s">
        <v>1062</v>
      </c>
      <c r="H1319" s="10" t="s">
        <v>1062</v>
      </c>
      <c r="K1319" t="s">
        <v>19</v>
      </c>
      <c r="L1319" t="s">
        <v>20</v>
      </c>
      <c r="M1319" s="9">
        <v>7907001</v>
      </c>
      <c r="N1319" t="s">
        <v>3477</v>
      </c>
      <c r="O1319">
        <v>18</v>
      </c>
      <c r="P1319" t="s">
        <v>3477</v>
      </c>
      <c r="Q1319">
        <v>18</v>
      </c>
      <c r="R1319" s="13">
        <v>4900</v>
      </c>
      <c r="S1319" s="13">
        <v>3430</v>
      </c>
    </row>
    <row r="1320" spans="1:19">
      <c r="A1320" s="9" t="s">
        <v>22</v>
      </c>
      <c r="B1320" s="9" t="s">
        <v>27</v>
      </c>
      <c r="C1320" s="9" t="s">
        <v>64</v>
      </c>
      <c r="D1320" t="s">
        <v>204</v>
      </c>
      <c r="F1320" s="12" t="s">
        <v>2820</v>
      </c>
      <c r="G1320" s="10" t="s">
        <v>1063</v>
      </c>
      <c r="H1320" s="10" t="s">
        <v>1063</v>
      </c>
      <c r="K1320" t="s">
        <v>19</v>
      </c>
      <c r="L1320" t="s">
        <v>20</v>
      </c>
      <c r="M1320" s="9">
        <v>39229</v>
      </c>
      <c r="N1320" t="s">
        <v>3477</v>
      </c>
      <c r="O1320">
        <v>18</v>
      </c>
      <c r="P1320" t="s">
        <v>3477</v>
      </c>
      <c r="Q1320">
        <v>18</v>
      </c>
      <c r="R1320" s="13">
        <v>6500</v>
      </c>
      <c r="S1320" s="13">
        <v>4550</v>
      </c>
    </row>
    <row r="1321" spans="1:19">
      <c r="A1321" s="9" t="s">
        <v>22</v>
      </c>
      <c r="B1321" s="9" t="s">
        <v>27</v>
      </c>
      <c r="C1321" s="9" t="s">
        <v>65</v>
      </c>
      <c r="D1321" t="s">
        <v>204</v>
      </c>
      <c r="F1321" s="12" t="s">
        <v>2821</v>
      </c>
      <c r="G1321" s="10" t="s">
        <v>1064</v>
      </c>
      <c r="H1321" s="10" t="s">
        <v>1064</v>
      </c>
      <c r="K1321" t="s">
        <v>19</v>
      </c>
      <c r="L1321" t="s">
        <v>20</v>
      </c>
      <c r="M1321" s="9">
        <v>39229</v>
      </c>
      <c r="N1321" t="s">
        <v>3477</v>
      </c>
      <c r="O1321">
        <v>18</v>
      </c>
      <c r="P1321" t="s">
        <v>3477</v>
      </c>
      <c r="Q1321">
        <v>18</v>
      </c>
      <c r="R1321" s="13">
        <v>6770</v>
      </c>
      <c r="S1321" s="13">
        <v>4739</v>
      </c>
    </row>
    <row r="1322" spans="1:19">
      <c r="A1322" s="9" t="s">
        <v>23</v>
      </c>
      <c r="B1322" s="9" t="s">
        <v>33</v>
      </c>
      <c r="C1322" s="9" t="s">
        <v>123</v>
      </c>
      <c r="D1322" t="s">
        <v>204</v>
      </c>
      <c r="F1322" s="12" t="s">
        <v>2822</v>
      </c>
      <c r="G1322" s="10" t="s">
        <v>1065</v>
      </c>
      <c r="H1322" s="10" t="s">
        <v>1065</v>
      </c>
      <c r="K1322" t="s">
        <v>19</v>
      </c>
      <c r="L1322" t="s">
        <v>20</v>
      </c>
      <c r="M1322" s="9">
        <v>700991</v>
      </c>
      <c r="N1322" t="s">
        <v>3477</v>
      </c>
      <c r="O1322">
        <v>18</v>
      </c>
      <c r="P1322" t="s">
        <v>3477</v>
      </c>
      <c r="Q1322">
        <v>18</v>
      </c>
      <c r="R1322" s="13">
        <v>40650</v>
      </c>
      <c r="S1322" s="13">
        <v>24390</v>
      </c>
    </row>
    <row r="1323" spans="1:19">
      <c r="A1323" s="9" t="s">
        <v>23</v>
      </c>
      <c r="B1323" s="9" t="s">
        <v>33</v>
      </c>
      <c r="C1323" s="9" t="s">
        <v>93</v>
      </c>
      <c r="D1323" t="s">
        <v>204</v>
      </c>
      <c r="F1323" s="12" t="s">
        <v>2823</v>
      </c>
      <c r="G1323" s="10" t="s">
        <v>1066</v>
      </c>
      <c r="H1323" s="10" t="s">
        <v>1066</v>
      </c>
      <c r="K1323" t="s">
        <v>19</v>
      </c>
      <c r="L1323" t="s">
        <v>20</v>
      </c>
      <c r="M1323" s="9">
        <v>700991</v>
      </c>
      <c r="N1323" t="s">
        <v>3477</v>
      </c>
      <c r="O1323">
        <v>18</v>
      </c>
      <c r="P1323" t="s">
        <v>3477</v>
      </c>
      <c r="Q1323">
        <v>18</v>
      </c>
      <c r="R1323" s="13">
        <v>30900</v>
      </c>
      <c r="S1323" s="13">
        <v>18540</v>
      </c>
    </row>
    <row r="1324" spans="1:19">
      <c r="A1324" s="9" t="s">
        <v>23</v>
      </c>
      <c r="B1324" s="9" t="s">
        <v>33</v>
      </c>
      <c r="C1324" s="9" t="s">
        <v>179</v>
      </c>
      <c r="D1324" t="s">
        <v>204</v>
      </c>
      <c r="F1324" s="12" t="s">
        <v>2824</v>
      </c>
      <c r="G1324" s="10" t="s">
        <v>1067</v>
      </c>
      <c r="H1324" s="10" t="s">
        <v>1067</v>
      </c>
      <c r="K1324" t="s">
        <v>19</v>
      </c>
      <c r="L1324" t="s">
        <v>20</v>
      </c>
      <c r="M1324" s="9">
        <v>700991</v>
      </c>
      <c r="N1324" t="s">
        <v>3477</v>
      </c>
      <c r="O1324">
        <v>18</v>
      </c>
      <c r="P1324" t="s">
        <v>3477</v>
      </c>
      <c r="Q1324">
        <v>18</v>
      </c>
      <c r="R1324" s="13">
        <v>37600</v>
      </c>
      <c r="S1324" s="13">
        <v>22560</v>
      </c>
    </row>
    <row r="1325" spans="1:19">
      <c r="A1325" s="9" t="s">
        <v>23</v>
      </c>
      <c r="B1325" s="9" t="s">
        <v>33</v>
      </c>
      <c r="C1325" s="9" t="s">
        <v>179</v>
      </c>
      <c r="D1325" t="s">
        <v>204</v>
      </c>
      <c r="F1325" s="12" t="s">
        <v>2825</v>
      </c>
      <c r="G1325" s="10" t="s">
        <v>1068</v>
      </c>
      <c r="H1325" s="10" t="s">
        <v>1068</v>
      </c>
      <c r="K1325" t="s">
        <v>19</v>
      </c>
      <c r="L1325" t="s">
        <v>20</v>
      </c>
      <c r="M1325" s="9">
        <v>700991</v>
      </c>
      <c r="N1325" t="s">
        <v>3477</v>
      </c>
      <c r="O1325">
        <v>18</v>
      </c>
      <c r="P1325" t="s">
        <v>3477</v>
      </c>
      <c r="Q1325">
        <v>18</v>
      </c>
      <c r="R1325" s="13">
        <v>33500</v>
      </c>
      <c r="S1325" s="13">
        <v>20100</v>
      </c>
    </row>
    <row r="1326" spans="1:19">
      <c r="A1326" s="9" t="s">
        <v>23</v>
      </c>
      <c r="B1326" s="9" t="s">
        <v>33</v>
      </c>
      <c r="C1326" s="9" t="s">
        <v>180</v>
      </c>
      <c r="D1326" t="s">
        <v>204</v>
      </c>
      <c r="F1326" s="12" t="s">
        <v>2826</v>
      </c>
      <c r="G1326" s="10" t="s">
        <v>1069</v>
      </c>
      <c r="H1326" s="10" t="s">
        <v>1069</v>
      </c>
      <c r="K1326" t="s">
        <v>19</v>
      </c>
      <c r="L1326" t="s">
        <v>20</v>
      </c>
      <c r="M1326" s="9">
        <v>700991</v>
      </c>
      <c r="N1326" t="s">
        <v>3477</v>
      </c>
      <c r="O1326">
        <v>18</v>
      </c>
      <c r="P1326" t="s">
        <v>3477</v>
      </c>
      <c r="Q1326">
        <v>18</v>
      </c>
      <c r="R1326" s="13">
        <v>31800</v>
      </c>
      <c r="S1326" s="13">
        <v>19080</v>
      </c>
    </row>
    <row r="1327" spans="1:19">
      <c r="A1327" s="9" t="s">
        <v>24</v>
      </c>
      <c r="B1327" s="9" t="s">
        <v>33</v>
      </c>
      <c r="C1327" s="9" t="s">
        <v>93</v>
      </c>
      <c r="D1327" t="s">
        <v>204</v>
      </c>
      <c r="F1327" s="12" t="s">
        <v>2827</v>
      </c>
      <c r="G1327" s="10" t="s">
        <v>1070</v>
      </c>
      <c r="H1327" s="10" t="s">
        <v>1070</v>
      </c>
      <c r="K1327" t="s">
        <v>19</v>
      </c>
      <c r="L1327" t="s">
        <v>20</v>
      </c>
      <c r="M1327" s="9">
        <v>700991</v>
      </c>
      <c r="N1327" t="s">
        <v>3477</v>
      </c>
      <c r="O1327">
        <v>18</v>
      </c>
      <c r="P1327" t="s">
        <v>3477</v>
      </c>
      <c r="Q1327">
        <v>18</v>
      </c>
      <c r="R1327" s="13">
        <v>8700</v>
      </c>
      <c r="S1327" s="13">
        <v>6525</v>
      </c>
    </row>
    <row r="1328" spans="1:19">
      <c r="A1328" s="9" t="s">
        <v>22</v>
      </c>
      <c r="B1328" s="9" t="s">
        <v>35</v>
      </c>
      <c r="C1328" s="9" t="s">
        <v>181</v>
      </c>
      <c r="D1328" t="s">
        <v>204</v>
      </c>
      <c r="F1328" s="12" t="s">
        <v>2828</v>
      </c>
      <c r="G1328" s="10" t="s">
        <v>1071</v>
      </c>
      <c r="H1328" s="10" t="s">
        <v>1071</v>
      </c>
      <c r="K1328" t="s">
        <v>19</v>
      </c>
      <c r="L1328" t="s">
        <v>20</v>
      </c>
      <c r="M1328" s="9">
        <v>700991</v>
      </c>
      <c r="N1328" t="s">
        <v>3477</v>
      </c>
      <c r="O1328">
        <v>18</v>
      </c>
      <c r="P1328" t="s">
        <v>3477</v>
      </c>
      <c r="Q1328">
        <v>18</v>
      </c>
      <c r="R1328" s="13">
        <v>44000</v>
      </c>
      <c r="S1328" s="13">
        <v>30799.999999999996</v>
      </c>
    </row>
    <row r="1329" spans="1:19">
      <c r="A1329" s="9" t="s">
        <v>22</v>
      </c>
      <c r="B1329" s="9" t="s">
        <v>26</v>
      </c>
      <c r="C1329" s="9" t="s">
        <v>43</v>
      </c>
      <c r="D1329" t="s">
        <v>204</v>
      </c>
      <c r="F1329" s="12" t="s">
        <v>2829</v>
      </c>
      <c r="G1329" s="10" t="s">
        <v>1072</v>
      </c>
      <c r="H1329" s="10" t="s">
        <v>1072</v>
      </c>
      <c r="K1329" t="s">
        <v>19</v>
      </c>
      <c r="L1329" t="s">
        <v>20</v>
      </c>
      <c r="M1329" s="9">
        <v>69101</v>
      </c>
      <c r="N1329" t="s">
        <v>3477</v>
      </c>
      <c r="O1329">
        <v>18</v>
      </c>
      <c r="P1329" t="s">
        <v>3477</v>
      </c>
      <c r="Q1329">
        <v>18</v>
      </c>
      <c r="R1329" s="13">
        <v>28000</v>
      </c>
      <c r="S1329" s="13">
        <v>19600</v>
      </c>
    </row>
    <row r="1330" spans="1:19">
      <c r="A1330" s="9" t="s">
        <v>22</v>
      </c>
      <c r="B1330" s="9" t="s">
        <v>27</v>
      </c>
      <c r="C1330" s="9" t="s">
        <v>63</v>
      </c>
      <c r="D1330" t="s">
        <v>204</v>
      </c>
      <c r="F1330" s="12" t="s">
        <v>2830</v>
      </c>
      <c r="G1330" s="10" t="s">
        <v>1073</v>
      </c>
      <c r="H1330" s="10" t="s">
        <v>1073</v>
      </c>
      <c r="K1330" t="s">
        <v>19</v>
      </c>
      <c r="L1330" t="s">
        <v>20</v>
      </c>
      <c r="M1330" s="9">
        <v>8481802</v>
      </c>
      <c r="N1330" t="s">
        <v>3477</v>
      </c>
      <c r="O1330">
        <v>18</v>
      </c>
      <c r="P1330" t="s">
        <v>3477</v>
      </c>
      <c r="Q1330">
        <v>18</v>
      </c>
      <c r="R1330" s="13">
        <v>250</v>
      </c>
      <c r="S1330" s="13">
        <v>175</v>
      </c>
    </row>
    <row r="1331" spans="1:19">
      <c r="A1331" s="9" t="s">
        <v>24</v>
      </c>
      <c r="B1331" s="9" t="s">
        <v>33</v>
      </c>
      <c r="C1331" s="9" t="s">
        <v>179</v>
      </c>
      <c r="D1331" t="s">
        <v>204</v>
      </c>
      <c r="F1331" s="12" t="s">
        <v>2831</v>
      </c>
      <c r="G1331" s="10" t="s">
        <v>1074</v>
      </c>
      <c r="H1331" s="10" t="s">
        <v>1074</v>
      </c>
      <c r="K1331" t="s">
        <v>19</v>
      </c>
      <c r="L1331" t="s">
        <v>20</v>
      </c>
      <c r="M1331" s="9">
        <v>700991</v>
      </c>
      <c r="N1331" t="s">
        <v>3477</v>
      </c>
      <c r="O1331">
        <v>18</v>
      </c>
      <c r="P1331" t="s">
        <v>3477</v>
      </c>
      <c r="Q1331">
        <v>18</v>
      </c>
      <c r="R1331" s="13">
        <v>18000</v>
      </c>
      <c r="S1331" s="13">
        <v>13500</v>
      </c>
    </row>
    <row r="1332" spans="1:19">
      <c r="A1332" s="9" t="s">
        <v>24</v>
      </c>
      <c r="B1332" s="9" t="s">
        <v>33</v>
      </c>
      <c r="C1332" s="9" t="s">
        <v>182</v>
      </c>
      <c r="D1332" t="s">
        <v>204</v>
      </c>
      <c r="F1332" s="12" t="s">
        <v>2832</v>
      </c>
      <c r="G1332" s="10" t="s">
        <v>1075</v>
      </c>
      <c r="H1332" s="10" t="s">
        <v>1075</v>
      </c>
      <c r="K1332" t="s">
        <v>19</v>
      </c>
      <c r="L1332" t="s">
        <v>20</v>
      </c>
      <c r="M1332" s="9">
        <v>700991</v>
      </c>
      <c r="N1332" t="s">
        <v>3477</v>
      </c>
      <c r="O1332">
        <v>18</v>
      </c>
      <c r="P1332" t="s">
        <v>3477</v>
      </c>
      <c r="Q1332">
        <v>18</v>
      </c>
      <c r="R1332" s="13">
        <v>8700</v>
      </c>
      <c r="S1332" s="13">
        <v>6525</v>
      </c>
    </row>
    <row r="1333" spans="1:19">
      <c r="A1333" s="9" t="s">
        <v>24</v>
      </c>
      <c r="B1333" s="9" t="s">
        <v>33</v>
      </c>
      <c r="C1333" s="9" t="s">
        <v>93</v>
      </c>
      <c r="D1333" t="s">
        <v>204</v>
      </c>
      <c r="F1333" s="12" t="s">
        <v>2833</v>
      </c>
      <c r="G1333" s="10" t="s">
        <v>1076</v>
      </c>
      <c r="H1333" s="10" t="s">
        <v>1076</v>
      </c>
      <c r="K1333" t="s">
        <v>19</v>
      </c>
      <c r="L1333" t="s">
        <v>20</v>
      </c>
      <c r="M1333" s="9">
        <v>700991</v>
      </c>
      <c r="N1333" t="s">
        <v>3477</v>
      </c>
      <c r="O1333">
        <v>18</v>
      </c>
      <c r="P1333" t="s">
        <v>3477</v>
      </c>
      <c r="Q1333">
        <v>18</v>
      </c>
      <c r="R1333" s="13">
        <v>17500</v>
      </c>
      <c r="S1333" s="13">
        <v>13125</v>
      </c>
    </row>
    <row r="1334" spans="1:19">
      <c r="A1334" s="9" t="s">
        <v>23</v>
      </c>
      <c r="B1334" s="9" t="s">
        <v>33</v>
      </c>
      <c r="C1334" s="9" t="s">
        <v>147</v>
      </c>
      <c r="D1334" t="s">
        <v>204</v>
      </c>
      <c r="F1334" s="12" t="s">
        <v>2834</v>
      </c>
      <c r="G1334" s="10" t="s">
        <v>1077</v>
      </c>
      <c r="H1334" s="10" t="s">
        <v>1077</v>
      </c>
      <c r="K1334" t="s">
        <v>19</v>
      </c>
      <c r="L1334" t="s">
        <v>20</v>
      </c>
      <c r="M1334" s="9">
        <v>700991</v>
      </c>
      <c r="N1334" t="s">
        <v>3477</v>
      </c>
      <c r="O1334">
        <v>18</v>
      </c>
      <c r="P1334" t="s">
        <v>3477</v>
      </c>
      <c r="Q1334">
        <v>18</v>
      </c>
      <c r="R1334" s="13">
        <v>28950</v>
      </c>
      <c r="S1334" s="13">
        <v>17370</v>
      </c>
    </row>
    <row r="1335" spans="1:19">
      <c r="A1335" s="9" t="s">
        <v>22</v>
      </c>
      <c r="B1335" s="9" t="s">
        <v>26</v>
      </c>
      <c r="C1335" s="9" t="s">
        <v>85</v>
      </c>
      <c r="D1335" t="s">
        <v>204</v>
      </c>
      <c r="F1335" s="12" t="s">
        <v>2835</v>
      </c>
      <c r="G1335" s="10" t="s">
        <v>1078</v>
      </c>
      <c r="H1335" s="10" t="s">
        <v>1078</v>
      </c>
      <c r="K1335" t="s">
        <v>19</v>
      </c>
      <c r="L1335" t="s">
        <v>20</v>
      </c>
      <c r="M1335" s="9">
        <v>69101</v>
      </c>
      <c r="N1335" t="s">
        <v>3477</v>
      </c>
      <c r="O1335">
        <v>18</v>
      </c>
      <c r="P1335" t="s">
        <v>3477</v>
      </c>
      <c r="Q1335">
        <v>18</v>
      </c>
      <c r="R1335" s="13">
        <v>15000</v>
      </c>
      <c r="S1335" s="13">
        <v>10500</v>
      </c>
    </row>
    <row r="1336" spans="1:19">
      <c r="A1336" s="9" t="s">
        <v>22</v>
      </c>
      <c r="B1336" s="9" t="s">
        <v>27</v>
      </c>
      <c r="C1336" s="9" t="s">
        <v>48</v>
      </c>
      <c r="D1336" t="s">
        <v>204</v>
      </c>
      <c r="F1336" s="12" t="s">
        <v>2836</v>
      </c>
      <c r="G1336" s="10" t="s">
        <v>1078</v>
      </c>
      <c r="H1336" s="10" t="s">
        <v>1078</v>
      </c>
      <c r="K1336" t="s">
        <v>19</v>
      </c>
      <c r="L1336" t="s">
        <v>20</v>
      </c>
      <c r="M1336" s="9">
        <v>8481802</v>
      </c>
      <c r="N1336" t="s">
        <v>3477</v>
      </c>
      <c r="O1336">
        <v>18</v>
      </c>
      <c r="P1336" t="s">
        <v>3477</v>
      </c>
      <c r="Q1336">
        <v>18</v>
      </c>
      <c r="R1336" s="13">
        <v>10000</v>
      </c>
      <c r="S1336" s="13">
        <v>7000</v>
      </c>
    </row>
    <row r="1337" spans="1:19">
      <c r="A1337" s="9" t="s">
        <v>22</v>
      </c>
      <c r="B1337" s="9" t="s">
        <v>27</v>
      </c>
      <c r="C1337" s="9" t="s">
        <v>48</v>
      </c>
      <c r="D1337" t="s">
        <v>204</v>
      </c>
      <c r="F1337" s="12" t="s">
        <v>2837</v>
      </c>
      <c r="G1337" s="10" t="s">
        <v>1079</v>
      </c>
      <c r="H1337" s="10" t="s">
        <v>1079</v>
      </c>
      <c r="K1337" t="s">
        <v>19</v>
      </c>
      <c r="L1337" t="s">
        <v>20</v>
      </c>
      <c r="M1337" s="9">
        <v>8481802</v>
      </c>
      <c r="N1337" t="s">
        <v>3477</v>
      </c>
      <c r="O1337">
        <v>18</v>
      </c>
      <c r="P1337" t="s">
        <v>3477</v>
      </c>
      <c r="Q1337">
        <v>18</v>
      </c>
      <c r="R1337" s="13">
        <v>8000</v>
      </c>
      <c r="S1337" s="13">
        <v>5600</v>
      </c>
    </row>
    <row r="1338" spans="1:19">
      <c r="A1338" s="9" t="s">
        <v>22</v>
      </c>
      <c r="B1338" s="9" t="s">
        <v>27</v>
      </c>
      <c r="C1338" s="9" t="s">
        <v>49</v>
      </c>
      <c r="D1338" t="s">
        <v>204</v>
      </c>
      <c r="F1338" s="12" t="s">
        <v>2838</v>
      </c>
      <c r="G1338" s="10" t="s">
        <v>1079</v>
      </c>
      <c r="H1338" s="10" t="s">
        <v>1079</v>
      </c>
      <c r="K1338" t="s">
        <v>19</v>
      </c>
      <c r="L1338" t="s">
        <v>20</v>
      </c>
      <c r="M1338" s="9">
        <v>8481802</v>
      </c>
      <c r="N1338" t="s">
        <v>3477</v>
      </c>
      <c r="O1338">
        <v>18</v>
      </c>
      <c r="P1338" t="s">
        <v>3477</v>
      </c>
      <c r="Q1338">
        <v>18</v>
      </c>
      <c r="R1338" s="13">
        <v>12500</v>
      </c>
      <c r="S1338" s="13">
        <v>8750</v>
      </c>
    </row>
    <row r="1339" spans="1:19">
      <c r="A1339" s="9" t="s">
        <v>22</v>
      </c>
      <c r="B1339" s="9" t="s">
        <v>27</v>
      </c>
      <c r="C1339" s="9" t="s">
        <v>49</v>
      </c>
      <c r="D1339" t="s">
        <v>204</v>
      </c>
      <c r="F1339" s="12" t="s">
        <v>2839</v>
      </c>
      <c r="G1339" s="10" t="s">
        <v>1080</v>
      </c>
      <c r="H1339" s="10" t="s">
        <v>1080</v>
      </c>
      <c r="K1339" t="s">
        <v>19</v>
      </c>
      <c r="L1339" t="s">
        <v>20</v>
      </c>
      <c r="M1339" s="9">
        <v>8481802</v>
      </c>
      <c r="N1339" t="s">
        <v>3477</v>
      </c>
      <c r="O1339">
        <v>18</v>
      </c>
      <c r="P1339" t="s">
        <v>3477</v>
      </c>
      <c r="Q1339">
        <v>18</v>
      </c>
      <c r="R1339" s="13">
        <v>10000</v>
      </c>
      <c r="S1339" s="13">
        <v>7000</v>
      </c>
    </row>
    <row r="1340" spans="1:19">
      <c r="A1340" s="9" t="s">
        <v>22</v>
      </c>
      <c r="B1340" s="9" t="s">
        <v>27</v>
      </c>
      <c r="C1340" s="9" t="s">
        <v>114</v>
      </c>
      <c r="D1340" t="s">
        <v>204</v>
      </c>
      <c r="F1340" s="12" t="s">
        <v>2840</v>
      </c>
      <c r="G1340" s="10" t="s">
        <v>1081</v>
      </c>
      <c r="H1340" s="10" t="s">
        <v>1081</v>
      </c>
      <c r="K1340" t="s">
        <v>19</v>
      </c>
      <c r="L1340" t="s">
        <v>20</v>
      </c>
      <c r="M1340" s="9">
        <v>8481802</v>
      </c>
      <c r="N1340" t="s">
        <v>3477</v>
      </c>
      <c r="O1340">
        <v>18</v>
      </c>
      <c r="P1340" t="s">
        <v>3477</v>
      </c>
      <c r="Q1340">
        <v>18</v>
      </c>
      <c r="R1340" s="13">
        <v>5400</v>
      </c>
      <c r="S1340" s="13">
        <v>3779.9999999999995</v>
      </c>
    </row>
    <row r="1341" spans="1:19">
      <c r="A1341" s="9" t="s">
        <v>22</v>
      </c>
      <c r="B1341" s="9" t="s">
        <v>27</v>
      </c>
      <c r="C1341" s="9" t="s">
        <v>95</v>
      </c>
      <c r="D1341" t="s">
        <v>204</v>
      </c>
      <c r="F1341" s="12" t="s">
        <v>2841</v>
      </c>
      <c r="G1341" s="10" t="s">
        <v>1081</v>
      </c>
      <c r="H1341" s="10" t="s">
        <v>1081</v>
      </c>
      <c r="K1341" t="s">
        <v>19</v>
      </c>
      <c r="L1341" t="s">
        <v>20</v>
      </c>
      <c r="M1341" s="9">
        <v>8481909</v>
      </c>
      <c r="N1341" t="s">
        <v>3477</v>
      </c>
      <c r="O1341">
        <v>18</v>
      </c>
      <c r="P1341" t="s">
        <v>3477</v>
      </c>
      <c r="Q1341">
        <v>18</v>
      </c>
      <c r="R1341" s="13">
        <v>5750</v>
      </c>
      <c r="S1341" s="13">
        <v>4024.9999999999995</v>
      </c>
    </row>
    <row r="1342" spans="1:19">
      <c r="A1342" s="9" t="s">
        <v>22</v>
      </c>
      <c r="B1342" s="9" t="s">
        <v>27</v>
      </c>
      <c r="C1342" s="9" t="s">
        <v>95</v>
      </c>
      <c r="D1342" t="s">
        <v>204</v>
      </c>
      <c r="F1342" s="12" t="s">
        <v>2842</v>
      </c>
      <c r="G1342" s="10" t="s">
        <v>1082</v>
      </c>
      <c r="H1342" s="10" t="s">
        <v>1082</v>
      </c>
      <c r="K1342" t="s">
        <v>19</v>
      </c>
      <c r="L1342" t="s">
        <v>20</v>
      </c>
      <c r="M1342" s="9">
        <v>8481909</v>
      </c>
      <c r="N1342" t="s">
        <v>3477</v>
      </c>
      <c r="O1342">
        <v>18</v>
      </c>
      <c r="P1342" t="s">
        <v>3477</v>
      </c>
      <c r="Q1342">
        <v>18</v>
      </c>
      <c r="R1342" s="13">
        <v>4600</v>
      </c>
      <c r="S1342" s="13">
        <v>3220</v>
      </c>
    </row>
    <row r="1343" spans="1:19">
      <c r="A1343" s="9" t="s">
        <v>22</v>
      </c>
      <c r="B1343" s="9" t="s">
        <v>27</v>
      </c>
      <c r="C1343" s="9" t="s">
        <v>95</v>
      </c>
      <c r="D1343" t="s">
        <v>204</v>
      </c>
      <c r="F1343" s="12" t="s">
        <v>2843</v>
      </c>
      <c r="G1343" s="10" t="s">
        <v>1082</v>
      </c>
      <c r="H1343" s="10" t="s">
        <v>1082</v>
      </c>
      <c r="K1343" t="s">
        <v>19</v>
      </c>
      <c r="L1343" t="s">
        <v>20</v>
      </c>
      <c r="M1343" s="9">
        <v>8481909</v>
      </c>
      <c r="N1343" t="s">
        <v>3477</v>
      </c>
      <c r="O1343">
        <v>18</v>
      </c>
      <c r="P1343" t="s">
        <v>3477</v>
      </c>
      <c r="Q1343">
        <v>18</v>
      </c>
      <c r="R1343" s="13">
        <v>4800</v>
      </c>
      <c r="S1343" s="13">
        <v>3360</v>
      </c>
    </row>
    <row r="1344" spans="1:19">
      <c r="A1344" s="9" t="s">
        <v>22</v>
      </c>
      <c r="B1344" s="9" t="s">
        <v>27</v>
      </c>
      <c r="C1344" s="9" t="s">
        <v>95</v>
      </c>
      <c r="D1344" t="s">
        <v>204</v>
      </c>
      <c r="F1344" s="12" t="s">
        <v>2844</v>
      </c>
      <c r="G1344" s="10" t="s">
        <v>1083</v>
      </c>
      <c r="H1344" s="10" t="s">
        <v>1083</v>
      </c>
      <c r="K1344" t="s">
        <v>19</v>
      </c>
      <c r="L1344" t="s">
        <v>20</v>
      </c>
      <c r="M1344" s="9">
        <v>8481909</v>
      </c>
      <c r="N1344" t="s">
        <v>3477</v>
      </c>
      <c r="O1344">
        <v>18</v>
      </c>
      <c r="P1344" t="s">
        <v>3477</v>
      </c>
      <c r="Q1344">
        <v>18</v>
      </c>
      <c r="R1344" s="13">
        <v>7250</v>
      </c>
      <c r="S1344" s="13">
        <v>5075</v>
      </c>
    </row>
    <row r="1345" spans="1:19">
      <c r="A1345" s="9" t="s">
        <v>22</v>
      </c>
      <c r="B1345" s="9" t="s">
        <v>27</v>
      </c>
      <c r="C1345" s="9" t="s">
        <v>51</v>
      </c>
      <c r="D1345" t="s">
        <v>204</v>
      </c>
      <c r="F1345" s="12" t="s">
        <v>2845</v>
      </c>
      <c r="G1345" s="10" t="s">
        <v>1083</v>
      </c>
      <c r="H1345" s="10" t="s">
        <v>1083</v>
      </c>
      <c r="K1345" t="s">
        <v>19</v>
      </c>
      <c r="L1345" t="s">
        <v>20</v>
      </c>
      <c r="M1345" s="9">
        <v>8481802</v>
      </c>
      <c r="N1345" t="s">
        <v>3477</v>
      </c>
      <c r="O1345">
        <v>18</v>
      </c>
      <c r="P1345" t="s">
        <v>3477</v>
      </c>
      <c r="Q1345">
        <v>18</v>
      </c>
      <c r="R1345" s="13">
        <v>3750</v>
      </c>
      <c r="S1345" s="13">
        <v>2625</v>
      </c>
    </row>
    <row r="1346" spans="1:19">
      <c r="A1346" s="9" t="s">
        <v>22</v>
      </c>
      <c r="B1346" s="9" t="s">
        <v>27</v>
      </c>
      <c r="C1346" s="9" t="s">
        <v>51</v>
      </c>
      <c r="D1346" t="s">
        <v>204</v>
      </c>
      <c r="F1346" s="12" t="s">
        <v>2846</v>
      </c>
      <c r="G1346" s="10" t="s">
        <v>1084</v>
      </c>
      <c r="H1346" s="10" t="s">
        <v>1084</v>
      </c>
      <c r="K1346" t="s">
        <v>19</v>
      </c>
      <c r="L1346" t="s">
        <v>20</v>
      </c>
      <c r="M1346" s="9">
        <v>8481802</v>
      </c>
      <c r="N1346" t="s">
        <v>3477</v>
      </c>
      <c r="O1346">
        <v>18</v>
      </c>
      <c r="P1346" t="s">
        <v>3477</v>
      </c>
      <c r="Q1346">
        <v>18</v>
      </c>
      <c r="R1346" s="13">
        <v>3000</v>
      </c>
      <c r="S1346" s="13">
        <v>2100</v>
      </c>
    </row>
    <row r="1347" spans="1:19">
      <c r="A1347" s="9" t="s">
        <v>22</v>
      </c>
      <c r="B1347" s="9" t="s">
        <v>27</v>
      </c>
      <c r="C1347" s="9" t="s">
        <v>51</v>
      </c>
      <c r="D1347" t="s">
        <v>204</v>
      </c>
      <c r="F1347" s="12" t="s">
        <v>2847</v>
      </c>
      <c r="G1347" s="10" t="s">
        <v>1084</v>
      </c>
      <c r="H1347" s="10" t="s">
        <v>1084</v>
      </c>
      <c r="K1347" t="s">
        <v>19</v>
      </c>
      <c r="L1347" t="s">
        <v>20</v>
      </c>
      <c r="M1347" s="9">
        <v>8481802</v>
      </c>
      <c r="N1347" t="s">
        <v>3477</v>
      </c>
      <c r="O1347">
        <v>18</v>
      </c>
      <c r="P1347" t="s">
        <v>3477</v>
      </c>
      <c r="Q1347">
        <v>18</v>
      </c>
      <c r="R1347" s="13">
        <v>5000</v>
      </c>
      <c r="S1347" s="13">
        <v>3500</v>
      </c>
    </row>
    <row r="1348" spans="1:19">
      <c r="A1348" s="9" t="s">
        <v>22</v>
      </c>
      <c r="B1348" s="9" t="s">
        <v>27</v>
      </c>
      <c r="C1348" s="9" t="s">
        <v>51</v>
      </c>
      <c r="D1348" t="s">
        <v>204</v>
      </c>
      <c r="F1348" s="12" t="s">
        <v>2848</v>
      </c>
      <c r="G1348" s="10" t="s">
        <v>1085</v>
      </c>
      <c r="H1348" s="10" t="s">
        <v>1085</v>
      </c>
      <c r="K1348" t="s">
        <v>19</v>
      </c>
      <c r="L1348" t="s">
        <v>20</v>
      </c>
      <c r="M1348" s="9">
        <v>8481802</v>
      </c>
      <c r="N1348" t="s">
        <v>3477</v>
      </c>
      <c r="O1348">
        <v>18</v>
      </c>
      <c r="P1348" t="s">
        <v>3477</v>
      </c>
      <c r="Q1348">
        <v>18</v>
      </c>
      <c r="R1348" s="13">
        <v>4000</v>
      </c>
      <c r="S1348" s="13">
        <v>2800</v>
      </c>
    </row>
    <row r="1349" spans="1:19">
      <c r="A1349" s="9" t="s">
        <v>24</v>
      </c>
      <c r="B1349" s="9" t="s">
        <v>26</v>
      </c>
      <c r="C1349" s="9" t="s">
        <v>80</v>
      </c>
      <c r="D1349" t="s">
        <v>204</v>
      </c>
      <c r="F1349" s="12" t="s">
        <v>2849</v>
      </c>
      <c r="G1349" s="10" t="s">
        <v>1085</v>
      </c>
      <c r="H1349" s="10" t="s">
        <v>1085</v>
      </c>
      <c r="K1349" t="s">
        <v>19</v>
      </c>
      <c r="L1349" t="s">
        <v>20</v>
      </c>
      <c r="M1349" s="9">
        <v>69101</v>
      </c>
      <c r="N1349" t="s">
        <v>3477</v>
      </c>
      <c r="O1349">
        <v>18</v>
      </c>
      <c r="P1349" t="s">
        <v>3477</v>
      </c>
      <c r="Q1349">
        <v>18</v>
      </c>
      <c r="R1349" s="13">
        <v>8000</v>
      </c>
      <c r="S1349" s="13">
        <v>6000</v>
      </c>
    </row>
    <row r="1350" spans="1:19">
      <c r="A1350" s="9" t="s">
        <v>24</v>
      </c>
      <c r="B1350" s="9" t="s">
        <v>26</v>
      </c>
      <c r="C1350" s="9" t="s">
        <v>80</v>
      </c>
      <c r="D1350" t="s">
        <v>204</v>
      </c>
      <c r="F1350" s="12" t="s">
        <v>2850</v>
      </c>
      <c r="G1350" s="10" t="s">
        <v>1085</v>
      </c>
      <c r="H1350" s="10" t="s">
        <v>1085</v>
      </c>
      <c r="K1350" t="s">
        <v>19</v>
      </c>
      <c r="L1350" t="s">
        <v>20</v>
      </c>
      <c r="M1350" s="9">
        <v>69101</v>
      </c>
      <c r="N1350" t="s">
        <v>3477</v>
      </c>
      <c r="O1350">
        <v>18</v>
      </c>
      <c r="P1350" t="s">
        <v>3477</v>
      </c>
      <c r="Q1350">
        <v>18</v>
      </c>
      <c r="R1350" s="13">
        <v>9200</v>
      </c>
      <c r="S1350" s="13">
        <v>6900</v>
      </c>
    </row>
    <row r="1351" spans="1:19">
      <c r="A1351" s="9" t="s">
        <v>24</v>
      </c>
      <c r="B1351" s="9" t="s">
        <v>26</v>
      </c>
      <c r="C1351" s="9" t="s">
        <v>80</v>
      </c>
      <c r="D1351" t="s">
        <v>204</v>
      </c>
      <c r="F1351" s="12" t="s">
        <v>2851</v>
      </c>
      <c r="G1351" s="10" t="s">
        <v>1086</v>
      </c>
      <c r="H1351" s="10" t="s">
        <v>1086</v>
      </c>
      <c r="K1351" t="s">
        <v>19</v>
      </c>
      <c r="L1351" t="s">
        <v>20</v>
      </c>
      <c r="M1351" s="9">
        <v>69101</v>
      </c>
      <c r="N1351" t="s">
        <v>3477</v>
      </c>
      <c r="O1351">
        <v>18</v>
      </c>
      <c r="P1351" t="s">
        <v>3477</v>
      </c>
      <c r="Q1351">
        <v>18</v>
      </c>
      <c r="R1351" s="13">
        <v>9200</v>
      </c>
      <c r="S1351" s="13">
        <v>6900</v>
      </c>
    </row>
    <row r="1352" spans="1:19">
      <c r="A1352" s="9" t="s">
        <v>23</v>
      </c>
      <c r="B1352" s="9" t="s">
        <v>27</v>
      </c>
      <c r="C1352" s="9" t="s">
        <v>90</v>
      </c>
      <c r="D1352" t="s">
        <v>204</v>
      </c>
      <c r="F1352" s="12" t="s">
        <v>2852</v>
      </c>
      <c r="G1352" s="10" t="s">
        <v>1086</v>
      </c>
      <c r="H1352" s="10" t="s">
        <v>1086</v>
      </c>
      <c r="K1352" t="s">
        <v>19</v>
      </c>
      <c r="L1352" t="s">
        <v>20</v>
      </c>
      <c r="M1352" s="9">
        <v>732429</v>
      </c>
      <c r="N1352" t="s">
        <v>3477</v>
      </c>
      <c r="O1352">
        <v>18</v>
      </c>
      <c r="P1352" t="s">
        <v>3477</v>
      </c>
      <c r="Q1352">
        <v>18</v>
      </c>
      <c r="R1352" s="13">
        <v>35600</v>
      </c>
      <c r="S1352" s="13">
        <v>21360</v>
      </c>
    </row>
    <row r="1353" spans="1:19">
      <c r="A1353" s="9" t="s">
        <v>23</v>
      </c>
      <c r="B1353" s="9" t="s">
        <v>27</v>
      </c>
      <c r="C1353" s="9" t="s">
        <v>90</v>
      </c>
      <c r="D1353" t="s">
        <v>204</v>
      </c>
      <c r="F1353" s="12" t="s">
        <v>2853</v>
      </c>
      <c r="G1353" s="10" t="s">
        <v>1086</v>
      </c>
      <c r="H1353" s="10" t="s">
        <v>1086</v>
      </c>
      <c r="K1353" t="s">
        <v>19</v>
      </c>
      <c r="L1353" t="s">
        <v>20</v>
      </c>
      <c r="M1353" s="9">
        <v>732429</v>
      </c>
      <c r="N1353" t="s">
        <v>3477</v>
      </c>
      <c r="O1353">
        <v>18</v>
      </c>
      <c r="P1353" t="s">
        <v>3477</v>
      </c>
      <c r="Q1353">
        <v>18</v>
      </c>
      <c r="R1353" s="13">
        <v>39900</v>
      </c>
      <c r="S1353" s="13">
        <v>23940</v>
      </c>
    </row>
    <row r="1354" spans="1:19">
      <c r="A1354" s="9" t="s">
        <v>23</v>
      </c>
      <c r="B1354" s="9" t="s">
        <v>27</v>
      </c>
      <c r="C1354" s="9" t="s">
        <v>90</v>
      </c>
      <c r="D1354" t="s">
        <v>204</v>
      </c>
      <c r="F1354" s="12" t="s">
        <v>2854</v>
      </c>
      <c r="G1354" s="10" t="s">
        <v>1086</v>
      </c>
      <c r="H1354" s="10" t="s">
        <v>1086</v>
      </c>
      <c r="K1354" t="s">
        <v>19</v>
      </c>
      <c r="L1354" t="s">
        <v>20</v>
      </c>
      <c r="M1354" s="9">
        <v>732429</v>
      </c>
      <c r="N1354" t="s">
        <v>3477</v>
      </c>
      <c r="O1354">
        <v>18</v>
      </c>
      <c r="P1354" t="s">
        <v>3477</v>
      </c>
      <c r="Q1354">
        <v>18</v>
      </c>
      <c r="R1354" s="13">
        <v>42750</v>
      </c>
      <c r="S1354" s="13">
        <v>25650</v>
      </c>
    </row>
    <row r="1355" spans="1:19">
      <c r="A1355" s="9" t="s">
        <v>23</v>
      </c>
      <c r="B1355" s="9" t="s">
        <v>27</v>
      </c>
      <c r="C1355" s="9" t="s">
        <v>90</v>
      </c>
      <c r="D1355" t="s">
        <v>204</v>
      </c>
      <c r="F1355" s="12" t="s">
        <v>2855</v>
      </c>
      <c r="G1355" s="10" t="s">
        <v>1086</v>
      </c>
      <c r="H1355" s="10" t="s">
        <v>1086</v>
      </c>
      <c r="K1355" t="s">
        <v>19</v>
      </c>
      <c r="L1355" t="s">
        <v>20</v>
      </c>
      <c r="M1355" s="9">
        <v>732429</v>
      </c>
      <c r="N1355" t="s">
        <v>3477</v>
      </c>
      <c r="O1355">
        <v>18</v>
      </c>
      <c r="P1355" t="s">
        <v>3477</v>
      </c>
      <c r="Q1355">
        <v>18</v>
      </c>
      <c r="R1355" s="13">
        <v>42750</v>
      </c>
      <c r="S1355" s="13">
        <v>25650</v>
      </c>
    </row>
    <row r="1356" spans="1:19">
      <c r="A1356" s="9" t="s">
        <v>23</v>
      </c>
      <c r="B1356" s="9" t="s">
        <v>27</v>
      </c>
      <c r="C1356" s="9" t="s">
        <v>90</v>
      </c>
      <c r="D1356" t="s">
        <v>204</v>
      </c>
      <c r="F1356" s="12" t="s">
        <v>2856</v>
      </c>
      <c r="G1356" s="10" t="s">
        <v>1086</v>
      </c>
      <c r="H1356" s="10" t="s">
        <v>1086</v>
      </c>
      <c r="K1356" t="s">
        <v>19</v>
      </c>
      <c r="L1356" t="s">
        <v>20</v>
      </c>
      <c r="M1356" s="9">
        <v>732429</v>
      </c>
      <c r="N1356" t="s">
        <v>3477</v>
      </c>
      <c r="O1356">
        <v>18</v>
      </c>
      <c r="P1356" t="s">
        <v>3477</v>
      </c>
      <c r="Q1356">
        <v>18</v>
      </c>
      <c r="R1356" s="13">
        <v>28500</v>
      </c>
      <c r="S1356" s="13">
        <v>17100</v>
      </c>
    </row>
    <row r="1357" spans="1:19">
      <c r="A1357" s="9" t="s">
        <v>23</v>
      </c>
      <c r="B1357" s="9" t="s">
        <v>27</v>
      </c>
      <c r="C1357" s="9" t="s">
        <v>90</v>
      </c>
      <c r="D1357" t="s">
        <v>204</v>
      </c>
      <c r="F1357" s="12" t="s">
        <v>2857</v>
      </c>
      <c r="G1357" s="10" t="s">
        <v>1087</v>
      </c>
      <c r="H1357" s="10" t="s">
        <v>1087</v>
      </c>
      <c r="K1357" t="s">
        <v>19</v>
      </c>
      <c r="L1357" t="s">
        <v>20</v>
      </c>
      <c r="M1357" s="9">
        <v>732429</v>
      </c>
      <c r="N1357" t="s">
        <v>3477</v>
      </c>
      <c r="O1357">
        <v>18</v>
      </c>
      <c r="P1357" t="s">
        <v>3477</v>
      </c>
      <c r="Q1357">
        <v>18</v>
      </c>
      <c r="R1357" s="13">
        <v>39900</v>
      </c>
      <c r="S1357" s="13">
        <v>23940</v>
      </c>
    </row>
    <row r="1358" spans="1:19">
      <c r="A1358" s="9" t="s">
        <v>23</v>
      </c>
      <c r="B1358" s="9" t="s">
        <v>33</v>
      </c>
      <c r="C1358" s="9" t="s">
        <v>147</v>
      </c>
      <c r="D1358" t="s">
        <v>204</v>
      </c>
      <c r="F1358" s="12" t="s">
        <v>2858</v>
      </c>
      <c r="G1358" s="10" t="s">
        <v>1088</v>
      </c>
      <c r="H1358" s="10" t="s">
        <v>1088</v>
      </c>
      <c r="K1358" t="s">
        <v>19</v>
      </c>
      <c r="L1358" t="s">
        <v>20</v>
      </c>
      <c r="M1358" s="9">
        <v>940389</v>
      </c>
      <c r="N1358" t="s">
        <v>3477</v>
      </c>
      <c r="O1358">
        <v>18</v>
      </c>
      <c r="P1358" t="s">
        <v>3477</v>
      </c>
      <c r="Q1358">
        <v>18</v>
      </c>
      <c r="R1358" s="13">
        <v>13500</v>
      </c>
      <c r="S1358" s="13">
        <v>8100</v>
      </c>
    </row>
    <row r="1359" spans="1:19">
      <c r="A1359" s="9" t="s">
        <v>22</v>
      </c>
      <c r="B1359" s="9" t="s">
        <v>26</v>
      </c>
      <c r="C1359" s="9" t="s">
        <v>72</v>
      </c>
      <c r="D1359" t="s">
        <v>204</v>
      </c>
      <c r="F1359" s="12" t="s">
        <v>2859</v>
      </c>
      <c r="G1359" s="10" t="s">
        <v>1089</v>
      </c>
      <c r="H1359" s="10" t="s">
        <v>1089</v>
      </c>
      <c r="K1359" t="s">
        <v>19</v>
      </c>
      <c r="L1359" t="s">
        <v>20</v>
      </c>
      <c r="M1359" s="9">
        <v>69101</v>
      </c>
      <c r="N1359" t="s">
        <v>3477</v>
      </c>
      <c r="O1359">
        <v>18</v>
      </c>
      <c r="P1359" t="s">
        <v>3477</v>
      </c>
      <c r="Q1359">
        <v>18</v>
      </c>
      <c r="R1359" s="13">
        <v>37360</v>
      </c>
      <c r="S1359" s="13">
        <v>26152</v>
      </c>
    </row>
    <row r="1360" spans="1:19">
      <c r="A1360" s="9" t="s">
        <v>22</v>
      </c>
      <c r="B1360" s="9" t="s">
        <v>27</v>
      </c>
      <c r="C1360" s="9" t="s">
        <v>94</v>
      </c>
      <c r="D1360" t="s">
        <v>204</v>
      </c>
      <c r="F1360" s="12" t="s">
        <v>2860</v>
      </c>
      <c r="G1360" s="10" t="s">
        <v>1090</v>
      </c>
      <c r="H1360" s="10" t="s">
        <v>1090</v>
      </c>
      <c r="K1360" t="s">
        <v>19</v>
      </c>
      <c r="L1360" t="s">
        <v>20</v>
      </c>
      <c r="M1360" s="9">
        <v>8481802</v>
      </c>
      <c r="N1360" t="s">
        <v>3477</v>
      </c>
      <c r="O1360">
        <v>18</v>
      </c>
      <c r="P1360" t="s">
        <v>3477</v>
      </c>
      <c r="Q1360">
        <v>18</v>
      </c>
      <c r="R1360" s="13">
        <v>165240</v>
      </c>
      <c r="S1360" s="13">
        <v>115667.99999999999</v>
      </c>
    </row>
    <row r="1361" spans="1:19">
      <c r="A1361" s="9" t="s">
        <v>23</v>
      </c>
      <c r="B1361" s="9" t="s">
        <v>25</v>
      </c>
      <c r="C1361" s="9" t="s">
        <v>163</v>
      </c>
      <c r="D1361" t="s">
        <v>204</v>
      </c>
      <c r="F1361" s="12" t="s">
        <v>2861</v>
      </c>
      <c r="G1361" s="10" t="s">
        <v>1091</v>
      </c>
      <c r="H1361" s="10" t="s">
        <v>1091</v>
      </c>
      <c r="K1361" t="s">
        <v>19</v>
      </c>
      <c r="L1361" t="s">
        <v>20</v>
      </c>
      <c r="M1361" s="9">
        <v>73241</v>
      </c>
      <c r="N1361" t="s">
        <v>3477</v>
      </c>
      <c r="O1361">
        <v>18</v>
      </c>
      <c r="P1361" t="s">
        <v>3477</v>
      </c>
      <c r="Q1361">
        <v>18</v>
      </c>
      <c r="R1361" s="13">
        <v>19000</v>
      </c>
      <c r="S1361" s="13">
        <v>11400</v>
      </c>
    </row>
    <row r="1362" spans="1:19">
      <c r="A1362" s="9" t="s">
        <v>23</v>
      </c>
      <c r="B1362" s="9" t="s">
        <v>25</v>
      </c>
      <c r="C1362" s="9" t="s">
        <v>163</v>
      </c>
      <c r="D1362" t="s">
        <v>204</v>
      </c>
      <c r="F1362" s="12" t="s">
        <v>2862</v>
      </c>
      <c r="G1362" s="10" t="s">
        <v>1092</v>
      </c>
      <c r="H1362" s="10" t="s">
        <v>1092</v>
      </c>
      <c r="K1362" t="s">
        <v>19</v>
      </c>
      <c r="L1362" t="s">
        <v>20</v>
      </c>
      <c r="M1362" s="9">
        <v>73241</v>
      </c>
      <c r="N1362" t="s">
        <v>3477</v>
      </c>
      <c r="O1362">
        <v>18</v>
      </c>
      <c r="P1362" t="s">
        <v>3477</v>
      </c>
      <c r="Q1362">
        <v>18</v>
      </c>
      <c r="R1362" s="13">
        <v>20500</v>
      </c>
      <c r="S1362" s="13">
        <v>12300</v>
      </c>
    </row>
    <row r="1363" spans="1:19">
      <c r="A1363" s="9" t="s">
        <v>23</v>
      </c>
      <c r="B1363" s="9" t="s">
        <v>25</v>
      </c>
      <c r="C1363" s="9" t="s">
        <v>163</v>
      </c>
      <c r="D1363" t="s">
        <v>204</v>
      </c>
      <c r="F1363" s="12" t="s">
        <v>2863</v>
      </c>
      <c r="G1363" s="10" t="s">
        <v>1093</v>
      </c>
      <c r="H1363" s="10" t="s">
        <v>1093</v>
      </c>
      <c r="K1363" t="s">
        <v>19</v>
      </c>
      <c r="L1363" t="s">
        <v>20</v>
      </c>
      <c r="M1363" s="9">
        <v>73241</v>
      </c>
      <c r="N1363" t="s">
        <v>3477</v>
      </c>
      <c r="O1363">
        <v>18</v>
      </c>
      <c r="P1363" t="s">
        <v>3477</v>
      </c>
      <c r="Q1363">
        <v>18</v>
      </c>
      <c r="R1363" s="13">
        <v>21000</v>
      </c>
      <c r="S1363" s="13">
        <v>12600</v>
      </c>
    </row>
    <row r="1364" spans="1:19">
      <c r="A1364" s="9" t="s">
        <v>23</v>
      </c>
      <c r="B1364" s="9" t="s">
        <v>26</v>
      </c>
      <c r="C1364" s="9" t="s">
        <v>43</v>
      </c>
      <c r="D1364" t="s">
        <v>204</v>
      </c>
      <c r="F1364" s="12" t="s">
        <v>2864</v>
      </c>
      <c r="G1364" s="10" t="s">
        <v>1094</v>
      </c>
      <c r="H1364" s="10" t="s">
        <v>1094</v>
      </c>
      <c r="K1364" t="s">
        <v>19</v>
      </c>
      <c r="L1364" t="s">
        <v>20</v>
      </c>
      <c r="M1364" s="9">
        <v>69101</v>
      </c>
      <c r="N1364" t="s">
        <v>3477</v>
      </c>
      <c r="O1364">
        <v>18</v>
      </c>
      <c r="P1364" t="s">
        <v>3477</v>
      </c>
      <c r="Q1364">
        <v>18</v>
      </c>
      <c r="R1364" s="13">
        <v>50800</v>
      </c>
      <c r="S1364" s="13">
        <v>30480</v>
      </c>
    </row>
    <row r="1365" spans="1:19">
      <c r="A1365" s="9" t="s">
        <v>23</v>
      </c>
      <c r="B1365" s="9" t="s">
        <v>25</v>
      </c>
      <c r="C1365" s="9" t="s">
        <v>163</v>
      </c>
      <c r="D1365" t="s">
        <v>204</v>
      </c>
      <c r="F1365" s="12" t="s">
        <v>2865</v>
      </c>
      <c r="G1365" s="10" t="s">
        <v>1095</v>
      </c>
      <c r="H1365" s="10" t="s">
        <v>1095</v>
      </c>
      <c r="K1365" t="s">
        <v>19</v>
      </c>
      <c r="L1365" t="s">
        <v>20</v>
      </c>
      <c r="M1365" s="9">
        <v>73241</v>
      </c>
      <c r="N1365" t="s">
        <v>3477</v>
      </c>
      <c r="O1365">
        <v>18</v>
      </c>
      <c r="P1365" t="s">
        <v>3477</v>
      </c>
      <c r="Q1365">
        <v>18</v>
      </c>
      <c r="R1365" s="13">
        <v>22000</v>
      </c>
      <c r="S1365" s="13">
        <v>13200</v>
      </c>
    </row>
    <row r="1366" spans="1:19">
      <c r="A1366" s="9" t="s">
        <v>23</v>
      </c>
      <c r="B1366" s="9" t="s">
        <v>25</v>
      </c>
      <c r="C1366" s="9" t="s">
        <v>163</v>
      </c>
      <c r="D1366" t="s">
        <v>204</v>
      </c>
      <c r="F1366" s="12" t="s">
        <v>2866</v>
      </c>
      <c r="G1366" s="10" t="s">
        <v>1096</v>
      </c>
      <c r="H1366" s="10" t="s">
        <v>1096</v>
      </c>
      <c r="K1366" t="s">
        <v>19</v>
      </c>
      <c r="L1366" t="s">
        <v>20</v>
      </c>
      <c r="M1366" s="9">
        <v>73241</v>
      </c>
      <c r="N1366" t="s">
        <v>3477</v>
      </c>
      <c r="O1366">
        <v>18</v>
      </c>
      <c r="P1366" t="s">
        <v>3477</v>
      </c>
      <c r="Q1366">
        <v>18</v>
      </c>
      <c r="R1366" s="13">
        <v>23500</v>
      </c>
      <c r="S1366" s="13">
        <v>14100</v>
      </c>
    </row>
    <row r="1367" spans="1:19">
      <c r="A1367" s="9" t="s">
        <v>23</v>
      </c>
      <c r="B1367" s="9" t="s">
        <v>25</v>
      </c>
      <c r="C1367" s="9" t="s">
        <v>163</v>
      </c>
      <c r="D1367" t="s">
        <v>204</v>
      </c>
      <c r="F1367" s="12" t="s">
        <v>2867</v>
      </c>
      <c r="G1367" s="10" t="s">
        <v>1097</v>
      </c>
      <c r="H1367" s="10" t="s">
        <v>1097</v>
      </c>
      <c r="K1367" t="s">
        <v>19</v>
      </c>
      <c r="L1367" t="s">
        <v>20</v>
      </c>
      <c r="M1367" s="9">
        <v>73241</v>
      </c>
      <c r="N1367" t="s">
        <v>3477</v>
      </c>
      <c r="O1367">
        <v>18</v>
      </c>
      <c r="P1367" t="s">
        <v>3477</v>
      </c>
      <c r="Q1367">
        <v>18</v>
      </c>
      <c r="R1367" s="13">
        <v>26000</v>
      </c>
      <c r="S1367" s="13">
        <v>15600</v>
      </c>
    </row>
    <row r="1368" spans="1:19">
      <c r="A1368" s="9" t="s">
        <v>23</v>
      </c>
      <c r="B1368" s="9" t="s">
        <v>25</v>
      </c>
      <c r="C1368" s="9" t="s">
        <v>163</v>
      </c>
      <c r="D1368" t="s">
        <v>204</v>
      </c>
      <c r="F1368" s="12" t="s">
        <v>2868</v>
      </c>
      <c r="G1368" s="10" t="s">
        <v>1098</v>
      </c>
      <c r="H1368" s="10" t="s">
        <v>1098</v>
      </c>
      <c r="K1368" t="s">
        <v>19</v>
      </c>
      <c r="L1368" t="s">
        <v>20</v>
      </c>
      <c r="M1368" s="9">
        <v>73241</v>
      </c>
      <c r="N1368" t="s">
        <v>3477</v>
      </c>
      <c r="O1368">
        <v>18</v>
      </c>
      <c r="P1368" t="s">
        <v>3477</v>
      </c>
      <c r="Q1368">
        <v>18</v>
      </c>
      <c r="R1368" s="13">
        <v>32500</v>
      </c>
      <c r="S1368" s="13">
        <v>19500</v>
      </c>
    </row>
    <row r="1369" spans="1:19">
      <c r="A1369" s="9" t="s">
        <v>23</v>
      </c>
      <c r="B1369" s="9" t="s">
        <v>25</v>
      </c>
      <c r="C1369" s="9" t="s">
        <v>163</v>
      </c>
      <c r="D1369" t="s">
        <v>204</v>
      </c>
      <c r="F1369" s="12" t="s">
        <v>2869</v>
      </c>
      <c r="G1369" s="10" t="s">
        <v>1099</v>
      </c>
      <c r="H1369" s="10" t="s">
        <v>1099</v>
      </c>
      <c r="K1369" t="s">
        <v>19</v>
      </c>
      <c r="L1369" t="s">
        <v>20</v>
      </c>
      <c r="M1369" s="9">
        <v>73241</v>
      </c>
      <c r="N1369" t="s">
        <v>3477</v>
      </c>
      <c r="O1369">
        <v>18</v>
      </c>
      <c r="P1369" t="s">
        <v>3477</v>
      </c>
      <c r="Q1369">
        <v>18</v>
      </c>
      <c r="R1369" s="13">
        <v>34000</v>
      </c>
      <c r="S1369" s="13">
        <v>20400</v>
      </c>
    </row>
    <row r="1370" spans="1:19">
      <c r="A1370" s="9" t="s">
        <v>23</v>
      </c>
      <c r="B1370" s="9" t="s">
        <v>25</v>
      </c>
      <c r="C1370" s="9" t="s">
        <v>163</v>
      </c>
      <c r="D1370" t="s">
        <v>204</v>
      </c>
      <c r="F1370" s="12" t="s">
        <v>2870</v>
      </c>
      <c r="G1370" s="10" t="s">
        <v>1100</v>
      </c>
      <c r="H1370" s="10" t="s">
        <v>1100</v>
      </c>
      <c r="K1370" t="s">
        <v>19</v>
      </c>
      <c r="L1370" t="s">
        <v>20</v>
      </c>
      <c r="M1370" s="9">
        <v>73241</v>
      </c>
      <c r="N1370" t="s">
        <v>3477</v>
      </c>
      <c r="O1370">
        <v>18</v>
      </c>
      <c r="P1370" t="s">
        <v>3477</v>
      </c>
      <c r="Q1370">
        <v>18</v>
      </c>
      <c r="R1370" s="13">
        <v>34500</v>
      </c>
      <c r="S1370" s="13">
        <v>20700</v>
      </c>
    </row>
    <row r="1371" spans="1:19">
      <c r="A1371" s="9" t="s">
        <v>23</v>
      </c>
      <c r="B1371" s="9" t="s">
        <v>25</v>
      </c>
      <c r="C1371" s="9" t="s">
        <v>163</v>
      </c>
      <c r="D1371" t="s">
        <v>204</v>
      </c>
      <c r="F1371" s="12" t="s">
        <v>2871</v>
      </c>
      <c r="G1371" s="10" t="s">
        <v>1101</v>
      </c>
      <c r="H1371" s="10" t="s">
        <v>1101</v>
      </c>
      <c r="K1371" t="s">
        <v>19</v>
      </c>
      <c r="L1371" t="s">
        <v>20</v>
      </c>
      <c r="M1371" s="9">
        <v>73241</v>
      </c>
      <c r="N1371" t="s">
        <v>3477</v>
      </c>
      <c r="O1371">
        <v>18</v>
      </c>
      <c r="P1371" t="s">
        <v>3477</v>
      </c>
      <c r="Q1371">
        <v>18</v>
      </c>
      <c r="R1371" s="13">
        <v>49500</v>
      </c>
      <c r="S1371" s="13">
        <v>29700</v>
      </c>
    </row>
    <row r="1372" spans="1:19">
      <c r="A1372" s="9" t="s">
        <v>23</v>
      </c>
      <c r="B1372" s="9" t="s">
        <v>25</v>
      </c>
      <c r="C1372" s="9" t="s">
        <v>163</v>
      </c>
      <c r="D1372" t="s">
        <v>204</v>
      </c>
      <c r="F1372" s="12" t="s">
        <v>2872</v>
      </c>
      <c r="G1372" s="10" t="s">
        <v>1102</v>
      </c>
      <c r="H1372" s="10" t="s">
        <v>1102</v>
      </c>
      <c r="K1372" t="s">
        <v>19</v>
      </c>
      <c r="L1372" t="s">
        <v>20</v>
      </c>
      <c r="M1372" s="9">
        <v>73241</v>
      </c>
      <c r="N1372" t="s">
        <v>3477</v>
      </c>
      <c r="O1372">
        <v>18</v>
      </c>
      <c r="P1372" t="s">
        <v>3477</v>
      </c>
      <c r="Q1372">
        <v>18</v>
      </c>
      <c r="R1372" s="13">
        <v>51000</v>
      </c>
      <c r="S1372" s="13">
        <v>30600</v>
      </c>
    </row>
    <row r="1373" spans="1:19">
      <c r="A1373" s="9" t="s">
        <v>22</v>
      </c>
      <c r="B1373" s="9" t="s">
        <v>25</v>
      </c>
      <c r="C1373" s="9" t="s">
        <v>183</v>
      </c>
      <c r="D1373" t="s">
        <v>204</v>
      </c>
      <c r="F1373" s="12" t="s">
        <v>2873</v>
      </c>
      <c r="G1373" s="10" t="s">
        <v>1103</v>
      </c>
      <c r="H1373" s="10" t="s">
        <v>1103</v>
      </c>
      <c r="K1373" t="s">
        <v>19</v>
      </c>
      <c r="L1373" t="s">
        <v>20</v>
      </c>
      <c r="M1373" s="9">
        <v>73241</v>
      </c>
      <c r="N1373" t="s">
        <v>3477</v>
      </c>
      <c r="O1373">
        <v>18</v>
      </c>
      <c r="P1373" t="s">
        <v>3477</v>
      </c>
      <c r="Q1373">
        <v>18</v>
      </c>
      <c r="R1373" s="13">
        <v>28530</v>
      </c>
      <c r="S1373" s="13">
        <v>19971</v>
      </c>
    </row>
    <row r="1374" spans="1:19">
      <c r="A1374" s="9" t="s">
        <v>22</v>
      </c>
      <c r="B1374" s="9" t="s">
        <v>27</v>
      </c>
      <c r="C1374" s="9" t="s">
        <v>184</v>
      </c>
      <c r="D1374" t="s">
        <v>204</v>
      </c>
      <c r="F1374" s="12" t="s">
        <v>2874</v>
      </c>
      <c r="G1374" s="10" t="s">
        <v>1103</v>
      </c>
      <c r="H1374" s="10" t="s">
        <v>1103</v>
      </c>
      <c r="K1374" t="s">
        <v>19</v>
      </c>
      <c r="L1374" t="s">
        <v>20</v>
      </c>
      <c r="M1374" s="9">
        <v>8481802</v>
      </c>
      <c r="N1374" t="s">
        <v>3477</v>
      </c>
      <c r="O1374">
        <v>18</v>
      </c>
      <c r="P1374" t="s">
        <v>3477</v>
      </c>
      <c r="Q1374">
        <v>18</v>
      </c>
      <c r="R1374" s="13">
        <v>13750</v>
      </c>
      <c r="S1374" s="13">
        <v>9625</v>
      </c>
    </row>
    <row r="1375" spans="1:19">
      <c r="A1375" s="9" t="s">
        <v>22</v>
      </c>
      <c r="B1375" s="9" t="s">
        <v>27</v>
      </c>
      <c r="C1375" s="9" t="s">
        <v>184</v>
      </c>
      <c r="D1375" t="s">
        <v>204</v>
      </c>
      <c r="F1375" s="12" t="s">
        <v>2875</v>
      </c>
      <c r="G1375" s="10" t="s">
        <v>1103</v>
      </c>
      <c r="H1375" s="10" t="s">
        <v>1103</v>
      </c>
      <c r="K1375" t="s">
        <v>19</v>
      </c>
      <c r="L1375" t="s">
        <v>20</v>
      </c>
      <c r="M1375" s="9">
        <v>8481802</v>
      </c>
      <c r="N1375" t="s">
        <v>3477</v>
      </c>
      <c r="O1375">
        <v>18</v>
      </c>
      <c r="P1375" t="s">
        <v>3477</v>
      </c>
      <c r="Q1375">
        <v>18</v>
      </c>
      <c r="R1375" s="13">
        <v>15400</v>
      </c>
      <c r="S1375" s="13">
        <v>10780</v>
      </c>
    </row>
    <row r="1376" spans="1:19">
      <c r="A1376" s="9" t="s">
        <v>22</v>
      </c>
      <c r="B1376" s="9" t="s">
        <v>27</v>
      </c>
      <c r="C1376" s="9" t="s">
        <v>184</v>
      </c>
      <c r="D1376" t="s">
        <v>204</v>
      </c>
      <c r="F1376" s="12" t="s">
        <v>2876</v>
      </c>
      <c r="G1376" s="10" t="s">
        <v>1103</v>
      </c>
      <c r="H1376" s="10" t="s">
        <v>1103</v>
      </c>
      <c r="K1376" t="s">
        <v>19</v>
      </c>
      <c r="L1376" t="s">
        <v>20</v>
      </c>
      <c r="M1376" s="9">
        <v>8481802</v>
      </c>
      <c r="N1376" t="s">
        <v>3477</v>
      </c>
      <c r="O1376">
        <v>18</v>
      </c>
      <c r="P1376" t="s">
        <v>3477</v>
      </c>
      <c r="Q1376">
        <v>18</v>
      </c>
      <c r="R1376" s="13">
        <v>15400</v>
      </c>
      <c r="S1376" s="13">
        <v>10780</v>
      </c>
    </row>
    <row r="1377" spans="1:19">
      <c r="A1377" s="9" t="s">
        <v>22</v>
      </c>
      <c r="B1377" s="9" t="s">
        <v>27</v>
      </c>
      <c r="C1377" s="9" t="s">
        <v>184</v>
      </c>
      <c r="D1377" t="s">
        <v>204</v>
      </c>
      <c r="F1377" s="12" t="s">
        <v>2877</v>
      </c>
      <c r="G1377" s="10" t="s">
        <v>1103</v>
      </c>
      <c r="H1377" s="10" t="s">
        <v>1103</v>
      </c>
      <c r="K1377" t="s">
        <v>19</v>
      </c>
      <c r="L1377" t="s">
        <v>20</v>
      </c>
      <c r="M1377" s="9">
        <v>8481802</v>
      </c>
      <c r="N1377" t="s">
        <v>3477</v>
      </c>
      <c r="O1377">
        <v>18</v>
      </c>
      <c r="P1377" t="s">
        <v>3477</v>
      </c>
      <c r="Q1377">
        <v>18</v>
      </c>
      <c r="R1377" s="13">
        <v>15400</v>
      </c>
      <c r="S1377" s="13">
        <v>10780</v>
      </c>
    </row>
    <row r="1378" spans="1:19">
      <c r="A1378" s="9" t="s">
        <v>22</v>
      </c>
      <c r="B1378" s="9" t="s">
        <v>27</v>
      </c>
      <c r="C1378" s="9" t="s">
        <v>184</v>
      </c>
      <c r="D1378" t="s">
        <v>204</v>
      </c>
      <c r="F1378" s="12" t="s">
        <v>2878</v>
      </c>
      <c r="G1378" s="10" t="s">
        <v>1103</v>
      </c>
      <c r="H1378" s="10" t="s">
        <v>1103</v>
      </c>
      <c r="K1378" t="s">
        <v>19</v>
      </c>
      <c r="L1378" t="s">
        <v>20</v>
      </c>
      <c r="M1378" s="9">
        <v>8481802</v>
      </c>
      <c r="N1378" t="s">
        <v>3477</v>
      </c>
      <c r="O1378">
        <v>18</v>
      </c>
      <c r="P1378" t="s">
        <v>3477</v>
      </c>
      <c r="Q1378">
        <v>18</v>
      </c>
      <c r="R1378" s="13">
        <v>11000</v>
      </c>
      <c r="S1378" s="13">
        <v>7699.9999999999991</v>
      </c>
    </row>
    <row r="1379" spans="1:19">
      <c r="A1379" s="9" t="s">
        <v>22</v>
      </c>
      <c r="B1379" s="9" t="s">
        <v>27</v>
      </c>
      <c r="C1379" s="9" t="s">
        <v>184</v>
      </c>
      <c r="D1379" t="s">
        <v>204</v>
      </c>
      <c r="F1379" s="12" t="s">
        <v>2879</v>
      </c>
      <c r="G1379" s="10" t="s">
        <v>1104</v>
      </c>
      <c r="H1379" s="10" t="s">
        <v>1104</v>
      </c>
      <c r="K1379" t="s">
        <v>19</v>
      </c>
      <c r="L1379" t="s">
        <v>20</v>
      </c>
      <c r="M1379" s="9">
        <v>8481802</v>
      </c>
      <c r="N1379" t="s">
        <v>3477</v>
      </c>
      <c r="O1379">
        <v>18</v>
      </c>
      <c r="P1379" t="s">
        <v>3477</v>
      </c>
      <c r="Q1379">
        <v>18</v>
      </c>
      <c r="R1379" s="13">
        <v>15400</v>
      </c>
      <c r="S1379" s="13">
        <v>10780</v>
      </c>
    </row>
    <row r="1380" spans="1:19">
      <c r="A1380" s="9" t="s">
        <v>22</v>
      </c>
      <c r="B1380" s="9" t="s">
        <v>27</v>
      </c>
      <c r="C1380" s="9" t="s">
        <v>49</v>
      </c>
      <c r="D1380" t="s">
        <v>204</v>
      </c>
      <c r="F1380" s="12" t="s">
        <v>2880</v>
      </c>
      <c r="G1380" s="10" t="s">
        <v>1104</v>
      </c>
      <c r="H1380" s="10" t="s">
        <v>1104</v>
      </c>
      <c r="K1380" t="s">
        <v>19</v>
      </c>
      <c r="L1380" t="s">
        <v>20</v>
      </c>
      <c r="M1380" s="9">
        <v>8481802</v>
      </c>
      <c r="N1380" t="s">
        <v>3477</v>
      </c>
      <c r="O1380">
        <v>18</v>
      </c>
      <c r="P1380" t="s">
        <v>3477</v>
      </c>
      <c r="Q1380">
        <v>18</v>
      </c>
      <c r="R1380" s="13">
        <v>17190</v>
      </c>
      <c r="S1380" s="13">
        <v>12033</v>
      </c>
    </row>
    <row r="1381" spans="1:19">
      <c r="A1381" s="9" t="s">
        <v>22</v>
      </c>
      <c r="B1381" s="9" t="s">
        <v>27</v>
      </c>
      <c r="C1381" s="9" t="s">
        <v>49</v>
      </c>
      <c r="D1381" t="s">
        <v>204</v>
      </c>
      <c r="F1381" s="12" t="s">
        <v>2881</v>
      </c>
      <c r="G1381" s="10" t="s">
        <v>1104</v>
      </c>
      <c r="H1381" s="10" t="s">
        <v>1104</v>
      </c>
      <c r="K1381" t="s">
        <v>19</v>
      </c>
      <c r="L1381" t="s">
        <v>20</v>
      </c>
      <c r="M1381" s="9">
        <v>8481802</v>
      </c>
      <c r="N1381" t="s">
        <v>3477</v>
      </c>
      <c r="O1381">
        <v>18</v>
      </c>
      <c r="P1381" t="s">
        <v>3477</v>
      </c>
      <c r="Q1381">
        <v>18</v>
      </c>
      <c r="R1381" s="13">
        <v>19250</v>
      </c>
      <c r="S1381" s="13">
        <v>13475</v>
      </c>
    </row>
    <row r="1382" spans="1:19">
      <c r="A1382" s="9" t="s">
        <v>22</v>
      </c>
      <c r="B1382" s="9" t="s">
        <v>27</v>
      </c>
      <c r="C1382" s="9" t="s">
        <v>49</v>
      </c>
      <c r="D1382" t="s">
        <v>204</v>
      </c>
      <c r="F1382" s="12" t="s">
        <v>2882</v>
      </c>
      <c r="G1382" s="10" t="s">
        <v>1104</v>
      </c>
      <c r="H1382" s="10" t="s">
        <v>1104</v>
      </c>
      <c r="K1382" t="s">
        <v>19</v>
      </c>
      <c r="L1382" t="s">
        <v>20</v>
      </c>
      <c r="M1382" s="9">
        <v>8481802</v>
      </c>
      <c r="N1382" t="s">
        <v>3477</v>
      </c>
      <c r="O1382">
        <v>18</v>
      </c>
      <c r="P1382" t="s">
        <v>3477</v>
      </c>
      <c r="Q1382">
        <v>18</v>
      </c>
      <c r="R1382" s="13">
        <v>19250</v>
      </c>
      <c r="S1382" s="13">
        <v>13475</v>
      </c>
    </row>
    <row r="1383" spans="1:19">
      <c r="A1383" s="9" t="s">
        <v>22</v>
      </c>
      <c r="B1383" s="9" t="s">
        <v>27</v>
      </c>
      <c r="C1383" s="9" t="s">
        <v>49</v>
      </c>
      <c r="D1383" t="s">
        <v>204</v>
      </c>
      <c r="F1383" s="12" t="s">
        <v>2883</v>
      </c>
      <c r="G1383" s="10" t="s">
        <v>1104</v>
      </c>
      <c r="H1383" s="10" t="s">
        <v>1104</v>
      </c>
      <c r="K1383" t="s">
        <v>19</v>
      </c>
      <c r="L1383" t="s">
        <v>20</v>
      </c>
      <c r="M1383" s="9">
        <v>8481802</v>
      </c>
      <c r="N1383" t="s">
        <v>3477</v>
      </c>
      <c r="O1383">
        <v>18</v>
      </c>
      <c r="P1383" t="s">
        <v>3477</v>
      </c>
      <c r="Q1383">
        <v>18</v>
      </c>
      <c r="R1383" s="13">
        <v>19250</v>
      </c>
      <c r="S1383" s="13">
        <v>13475</v>
      </c>
    </row>
    <row r="1384" spans="1:19">
      <c r="A1384" s="9" t="s">
        <v>22</v>
      </c>
      <c r="B1384" s="9" t="s">
        <v>27</v>
      </c>
      <c r="C1384" s="9" t="s">
        <v>49</v>
      </c>
      <c r="D1384" t="s">
        <v>204</v>
      </c>
      <c r="F1384" s="12" t="s">
        <v>2884</v>
      </c>
      <c r="G1384" s="10" t="s">
        <v>1104</v>
      </c>
      <c r="H1384" s="10" t="s">
        <v>1104</v>
      </c>
      <c r="K1384" t="s">
        <v>19</v>
      </c>
      <c r="L1384" t="s">
        <v>20</v>
      </c>
      <c r="M1384" s="9">
        <v>8481802</v>
      </c>
      <c r="N1384" t="s">
        <v>3477</v>
      </c>
      <c r="O1384">
        <v>18</v>
      </c>
      <c r="P1384" t="s">
        <v>3477</v>
      </c>
      <c r="Q1384">
        <v>18</v>
      </c>
      <c r="R1384" s="13">
        <v>13750</v>
      </c>
      <c r="S1384" s="13">
        <v>9625</v>
      </c>
    </row>
    <row r="1385" spans="1:19">
      <c r="A1385" s="9" t="s">
        <v>22</v>
      </c>
      <c r="B1385" s="9" t="s">
        <v>27</v>
      </c>
      <c r="C1385" s="9" t="s">
        <v>49</v>
      </c>
      <c r="D1385" t="s">
        <v>204</v>
      </c>
      <c r="F1385" s="12" t="s">
        <v>2885</v>
      </c>
      <c r="G1385" s="10" t="s">
        <v>1105</v>
      </c>
      <c r="H1385" s="10" t="s">
        <v>1105</v>
      </c>
      <c r="K1385" t="s">
        <v>19</v>
      </c>
      <c r="L1385" t="s">
        <v>20</v>
      </c>
      <c r="M1385" s="9">
        <v>8481802</v>
      </c>
      <c r="N1385" t="s">
        <v>3477</v>
      </c>
      <c r="O1385">
        <v>18</v>
      </c>
      <c r="P1385" t="s">
        <v>3477</v>
      </c>
      <c r="Q1385">
        <v>18</v>
      </c>
      <c r="R1385" s="13">
        <v>19250</v>
      </c>
      <c r="S1385" s="13">
        <v>13475</v>
      </c>
    </row>
    <row r="1386" spans="1:19">
      <c r="A1386" s="9" t="s">
        <v>22</v>
      </c>
      <c r="B1386" s="9" t="s">
        <v>27</v>
      </c>
      <c r="C1386" s="9" t="s">
        <v>117</v>
      </c>
      <c r="D1386" t="s">
        <v>204</v>
      </c>
      <c r="F1386" s="12" t="s">
        <v>2886</v>
      </c>
      <c r="G1386" s="10" t="s">
        <v>1106</v>
      </c>
      <c r="H1386" s="10" t="s">
        <v>1106</v>
      </c>
      <c r="K1386" t="s">
        <v>19</v>
      </c>
      <c r="L1386" t="s">
        <v>20</v>
      </c>
      <c r="M1386" s="9">
        <v>8481802</v>
      </c>
      <c r="N1386" t="s">
        <v>3477</v>
      </c>
      <c r="O1386">
        <v>18</v>
      </c>
      <c r="P1386" t="s">
        <v>3477</v>
      </c>
      <c r="Q1386">
        <v>18</v>
      </c>
      <c r="R1386" s="13">
        <v>17190</v>
      </c>
      <c r="S1386" s="13">
        <v>12033</v>
      </c>
    </row>
    <row r="1387" spans="1:19">
      <c r="A1387" s="9" t="s">
        <v>22</v>
      </c>
      <c r="B1387" s="9" t="s">
        <v>27</v>
      </c>
      <c r="C1387" s="9" t="s">
        <v>117</v>
      </c>
      <c r="D1387" t="s">
        <v>204</v>
      </c>
      <c r="F1387" s="12" t="s">
        <v>2887</v>
      </c>
      <c r="G1387" s="10" t="s">
        <v>1106</v>
      </c>
      <c r="H1387" s="10" t="s">
        <v>1106</v>
      </c>
      <c r="K1387" t="s">
        <v>19</v>
      </c>
      <c r="L1387" t="s">
        <v>20</v>
      </c>
      <c r="M1387" s="9">
        <v>8481802</v>
      </c>
      <c r="N1387" t="s">
        <v>3477</v>
      </c>
      <c r="O1387">
        <v>18</v>
      </c>
      <c r="P1387" t="s">
        <v>3477</v>
      </c>
      <c r="Q1387">
        <v>18</v>
      </c>
      <c r="R1387" s="13">
        <v>19250</v>
      </c>
      <c r="S1387" s="13">
        <v>13475</v>
      </c>
    </row>
    <row r="1388" spans="1:19">
      <c r="A1388" s="9" t="s">
        <v>22</v>
      </c>
      <c r="B1388" s="9" t="s">
        <v>27</v>
      </c>
      <c r="C1388" s="9" t="s">
        <v>117</v>
      </c>
      <c r="D1388" t="s">
        <v>204</v>
      </c>
      <c r="F1388" s="12" t="s">
        <v>2888</v>
      </c>
      <c r="G1388" s="10" t="s">
        <v>1106</v>
      </c>
      <c r="H1388" s="10" t="s">
        <v>1106</v>
      </c>
      <c r="K1388" t="s">
        <v>19</v>
      </c>
      <c r="L1388" t="s">
        <v>20</v>
      </c>
      <c r="M1388" s="9">
        <v>8481802</v>
      </c>
      <c r="N1388" t="s">
        <v>3477</v>
      </c>
      <c r="O1388">
        <v>18</v>
      </c>
      <c r="P1388" t="s">
        <v>3477</v>
      </c>
      <c r="Q1388">
        <v>18</v>
      </c>
      <c r="R1388" s="13">
        <v>19250</v>
      </c>
      <c r="S1388" s="13">
        <v>13475</v>
      </c>
    </row>
    <row r="1389" spans="1:19">
      <c r="A1389" s="9" t="s">
        <v>22</v>
      </c>
      <c r="B1389" s="9" t="s">
        <v>27</v>
      </c>
      <c r="C1389" s="9" t="s">
        <v>117</v>
      </c>
      <c r="D1389" t="s">
        <v>204</v>
      </c>
      <c r="F1389" s="12" t="s">
        <v>2889</v>
      </c>
      <c r="G1389" s="10" t="s">
        <v>1106</v>
      </c>
      <c r="H1389" s="10" t="s">
        <v>1106</v>
      </c>
      <c r="K1389" t="s">
        <v>19</v>
      </c>
      <c r="L1389" t="s">
        <v>20</v>
      </c>
      <c r="M1389" s="9">
        <v>8481802</v>
      </c>
      <c r="N1389" t="s">
        <v>3477</v>
      </c>
      <c r="O1389">
        <v>18</v>
      </c>
      <c r="P1389" t="s">
        <v>3477</v>
      </c>
      <c r="Q1389">
        <v>18</v>
      </c>
      <c r="R1389" s="13">
        <v>19250</v>
      </c>
      <c r="S1389" s="13">
        <v>13475</v>
      </c>
    </row>
    <row r="1390" spans="1:19">
      <c r="A1390" s="9" t="s">
        <v>22</v>
      </c>
      <c r="B1390" s="9" t="s">
        <v>27</v>
      </c>
      <c r="C1390" s="9" t="s">
        <v>117</v>
      </c>
      <c r="D1390" t="s">
        <v>204</v>
      </c>
      <c r="F1390" s="12" t="s">
        <v>2890</v>
      </c>
      <c r="G1390" s="10" t="s">
        <v>1106</v>
      </c>
      <c r="H1390" s="10" t="s">
        <v>1106</v>
      </c>
      <c r="K1390" t="s">
        <v>19</v>
      </c>
      <c r="L1390" t="s">
        <v>20</v>
      </c>
      <c r="M1390" s="9">
        <v>8481802</v>
      </c>
      <c r="N1390" t="s">
        <v>3477</v>
      </c>
      <c r="O1390">
        <v>18</v>
      </c>
      <c r="P1390" t="s">
        <v>3477</v>
      </c>
      <c r="Q1390">
        <v>18</v>
      </c>
      <c r="R1390" s="13">
        <v>13750</v>
      </c>
      <c r="S1390" s="13">
        <v>9625</v>
      </c>
    </row>
    <row r="1391" spans="1:19">
      <c r="A1391" s="9" t="s">
        <v>22</v>
      </c>
      <c r="B1391" s="9" t="s">
        <v>27</v>
      </c>
      <c r="C1391" s="9" t="s">
        <v>117</v>
      </c>
      <c r="D1391" t="s">
        <v>204</v>
      </c>
      <c r="F1391" s="12" t="s">
        <v>2891</v>
      </c>
      <c r="G1391" s="10" t="s">
        <v>1107</v>
      </c>
      <c r="H1391" s="10" t="s">
        <v>1107</v>
      </c>
      <c r="K1391" t="s">
        <v>19</v>
      </c>
      <c r="L1391" t="s">
        <v>20</v>
      </c>
      <c r="M1391" s="9">
        <v>8481802</v>
      </c>
      <c r="N1391" t="s">
        <v>3477</v>
      </c>
      <c r="O1391">
        <v>18</v>
      </c>
      <c r="P1391" t="s">
        <v>3477</v>
      </c>
      <c r="Q1391">
        <v>18</v>
      </c>
      <c r="R1391" s="13">
        <v>19250</v>
      </c>
      <c r="S1391" s="13">
        <v>13475</v>
      </c>
    </row>
    <row r="1392" spans="1:19">
      <c r="A1392" s="9" t="s">
        <v>22</v>
      </c>
      <c r="B1392" s="9" t="s">
        <v>27</v>
      </c>
      <c r="C1392" s="9" t="s">
        <v>95</v>
      </c>
      <c r="D1392" t="s">
        <v>204</v>
      </c>
      <c r="F1392" s="12" t="s">
        <v>2892</v>
      </c>
      <c r="G1392" s="10" t="s">
        <v>1107</v>
      </c>
      <c r="H1392" s="10" t="s">
        <v>1107</v>
      </c>
      <c r="K1392" t="s">
        <v>19</v>
      </c>
      <c r="L1392" t="s">
        <v>20</v>
      </c>
      <c r="M1392" s="9">
        <v>8481909</v>
      </c>
      <c r="N1392" t="s">
        <v>3477</v>
      </c>
      <c r="O1392">
        <v>18</v>
      </c>
      <c r="P1392" t="s">
        <v>3477</v>
      </c>
      <c r="Q1392">
        <v>18</v>
      </c>
      <c r="R1392" s="13">
        <v>6600</v>
      </c>
      <c r="S1392" s="13">
        <v>4620</v>
      </c>
    </row>
    <row r="1393" spans="1:19">
      <c r="A1393" s="9" t="s">
        <v>22</v>
      </c>
      <c r="B1393" s="9" t="s">
        <v>27</v>
      </c>
      <c r="C1393" s="9" t="s">
        <v>95</v>
      </c>
      <c r="D1393" t="s">
        <v>204</v>
      </c>
      <c r="F1393" s="12" t="s">
        <v>2893</v>
      </c>
      <c r="G1393" s="10" t="s">
        <v>1108</v>
      </c>
      <c r="H1393" s="10" t="s">
        <v>1108</v>
      </c>
      <c r="K1393" t="s">
        <v>19</v>
      </c>
      <c r="L1393" t="s">
        <v>20</v>
      </c>
      <c r="M1393" s="9">
        <v>8481909</v>
      </c>
      <c r="N1393" t="s">
        <v>3477</v>
      </c>
      <c r="O1393">
        <v>18</v>
      </c>
      <c r="P1393" t="s">
        <v>3477</v>
      </c>
      <c r="Q1393">
        <v>18</v>
      </c>
      <c r="R1393" s="13">
        <v>9500</v>
      </c>
      <c r="S1393" s="13">
        <v>6650</v>
      </c>
    </row>
    <row r="1394" spans="1:19">
      <c r="A1394" s="9" t="s">
        <v>22</v>
      </c>
      <c r="B1394" s="9" t="s">
        <v>27</v>
      </c>
      <c r="C1394" s="9" t="s">
        <v>95</v>
      </c>
      <c r="D1394" t="s">
        <v>204</v>
      </c>
      <c r="F1394" s="12" t="s">
        <v>2894</v>
      </c>
      <c r="G1394" s="10" t="s">
        <v>1107</v>
      </c>
      <c r="H1394" s="10" t="s">
        <v>1107</v>
      </c>
      <c r="K1394" t="s">
        <v>19</v>
      </c>
      <c r="L1394" t="s">
        <v>20</v>
      </c>
      <c r="M1394" s="9">
        <v>8481909</v>
      </c>
      <c r="N1394" t="s">
        <v>3477</v>
      </c>
      <c r="O1394">
        <v>18</v>
      </c>
      <c r="P1394" t="s">
        <v>3477</v>
      </c>
      <c r="Q1394">
        <v>18</v>
      </c>
      <c r="R1394" s="13">
        <v>12400</v>
      </c>
      <c r="S1394" s="13">
        <v>8680</v>
      </c>
    </row>
    <row r="1395" spans="1:19">
      <c r="A1395" s="9" t="s">
        <v>22</v>
      </c>
      <c r="B1395" s="9" t="s">
        <v>27</v>
      </c>
      <c r="C1395" s="9" t="s">
        <v>95</v>
      </c>
      <c r="D1395" t="s">
        <v>204</v>
      </c>
      <c r="F1395" s="12" t="s">
        <v>2895</v>
      </c>
      <c r="G1395" s="10" t="s">
        <v>1107</v>
      </c>
      <c r="H1395" s="10" t="s">
        <v>1107</v>
      </c>
      <c r="K1395" t="s">
        <v>19</v>
      </c>
      <c r="L1395" t="s">
        <v>20</v>
      </c>
      <c r="M1395" s="9">
        <v>8481909</v>
      </c>
      <c r="N1395" t="s">
        <v>3477</v>
      </c>
      <c r="O1395">
        <v>18</v>
      </c>
      <c r="P1395" t="s">
        <v>3477</v>
      </c>
      <c r="Q1395">
        <v>18</v>
      </c>
      <c r="R1395" s="13">
        <v>12400</v>
      </c>
      <c r="S1395" s="13">
        <v>8680</v>
      </c>
    </row>
    <row r="1396" spans="1:19">
      <c r="A1396" s="9" t="s">
        <v>22</v>
      </c>
      <c r="B1396" s="9" t="s">
        <v>27</v>
      </c>
      <c r="C1396" s="9" t="s">
        <v>95</v>
      </c>
      <c r="D1396" t="s">
        <v>204</v>
      </c>
      <c r="F1396" s="12" t="s">
        <v>2896</v>
      </c>
      <c r="G1396" s="10" t="s">
        <v>1109</v>
      </c>
      <c r="H1396" s="10" t="s">
        <v>1109</v>
      </c>
      <c r="K1396" t="s">
        <v>19</v>
      </c>
      <c r="L1396" t="s">
        <v>20</v>
      </c>
      <c r="M1396" s="9">
        <v>8481909</v>
      </c>
      <c r="N1396" t="s">
        <v>3477</v>
      </c>
      <c r="O1396">
        <v>18</v>
      </c>
      <c r="P1396" t="s">
        <v>3477</v>
      </c>
      <c r="Q1396">
        <v>18</v>
      </c>
      <c r="R1396" s="13">
        <v>11200</v>
      </c>
      <c r="S1396" s="13">
        <v>7839.9999999999991</v>
      </c>
    </row>
    <row r="1397" spans="1:19">
      <c r="A1397" s="9" t="s">
        <v>22</v>
      </c>
      <c r="B1397" s="9" t="s">
        <v>27</v>
      </c>
      <c r="C1397" s="9" t="s">
        <v>95</v>
      </c>
      <c r="D1397" t="s">
        <v>204</v>
      </c>
      <c r="F1397" s="12" t="s">
        <v>2897</v>
      </c>
      <c r="G1397" s="10" t="s">
        <v>1109</v>
      </c>
      <c r="H1397" s="10" t="s">
        <v>1109</v>
      </c>
      <c r="K1397" t="s">
        <v>19</v>
      </c>
      <c r="L1397" t="s">
        <v>20</v>
      </c>
      <c r="M1397" s="9">
        <v>8481909</v>
      </c>
      <c r="N1397" t="s">
        <v>3477</v>
      </c>
      <c r="O1397">
        <v>18</v>
      </c>
      <c r="P1397" t="s">
        <v>3477</v>
      </c>
      <c r="Q1397">
        <v>18</v>
      </c>
      <c r="R1397" s="13">
        <v>14850</v>
      </c>
      <c r="S1397" s="13">
        <v>10395</v>
      </c>
    </row>
    <row r="1398" spans="1:19">
      <c r="A1398" s="9" t="s">
        <v>22</v>
      </c>
      <c r="B1398" s="9" t="s">
        <v>27</v>
      </c>
      <c r="C1398" s="9" t="s">
        <v>95</v>
      </c>
      <c r="D1398" t="s">
        <v>204</v>
      </c>
      <c r="F1398" s="12" t="s">
        <v>2898</v>
      </c>
      <c r="G1398" s="10" t="s">
        <v>1109</v>
      </c>
      <c r="H1398" s="10" t="s">
        <v>1109</v>
      </c>
      <c r="K1398" t="s">
        <v>19</v>
      </c>
      <c r="L1398" t="s">
        <v>20</v>
      </c>
      <c r="M1398" s="9">
        <v>8481909</v>
      </c>
      <c r="N1398" t="s">
        <v>3477</v>
      </c>
      <c r="O1398">
        <v>18</v>
      </c>
      <c r="P1398" t="s">
        <v>3477</v>
      </c>
      <c r="Q1398">
        <v>18</v>
      </c>
      <c r="R1398" s="13">
        <v>16630</v>
      </c>
      <c r="S1398" s="13">
        <v>11641</v>
      </c>
    </row>
    <row r="1399" spans="1:19">
      <c r="A1399" s="9" t="s">
        <v>22</v>
      </c>
      <c r="B1399" s="9" t="s">
        <v>27</v>
      </c>
      <c r="C1399" s="9" t="s">
        <v>95</v>
      </c>
      <c r="D1399" t="s">
        <v>204</v>
      </c>
      <c r="F1399" s="12" t="s">
        <v>2899</v>
      </c>
      <c r="G1399" s="10" t="s">
        <v>1110</v>
      </c>
      <c r="H1399" s="10" t="s">
        <v>1110</v>
      </c>
      <c r="K1399" t="s">
        <v>19</v>
      </c>
      <c r="L1399" t="s">
        <v>20</v>
      </c>
      <c r="M1399" s="9">
        <v>8481909</v>
      </c>
      <c r="N1399" t="s">
        <v>3477</v>
      </c>
      <c r="O1399">
        <v>18</v>
      </c>
      <c r="P1399" t="s">
        <v>3477</v>
      </c>
      <c r="Q1399">
        <v>18</v>
      </c>
      <c r="R1399" s="13">
        <v>11880</v>
      </c>
      <c r="S1399" s="13">
        <v>8316</v>
      </c>
    </row>
    <row r="1400" spans="1:19">
      <c r="A1400" s="9" t="s">
        <v>22</v>
      </c>
      <c r="B1400" s="9" t="s">
        <v>27</v>
      </c>
      <c r="C1400" s="9" t="s">
        <v>51</v>
      </c>
      <c r="D1400" t="s">
        <v>204</v>
      </c>
      <c r="F1400" s="12" t="s">
        <v>2900</v>
      </c>
      <c r="G1400" s="10" t="s">
        <v>1110</v>
      </c>
      <c r="H1400" s="10" t="s">
        <v>1110</v>
      </c>
      <c r="K1400" t="s">
        <v>19</v>
      </c>
      <c r="L1400" t="s">
        <v>20</v>
      </c>
      <c r="M1400" s="9">
        <v>8481909</v>
      </c>
      <c r="N1400" t="s">
        <v>3477</v>
      </c>
      <c r="O1400">
        <v>18</v>
      </c>
      <c r="P1400" t="s">
        <v>3477</v>
      </c>
      <c r="Q1400">
        <v>18</v>
      </c>
      <c r="R1400" s="13">
        <v>6250</v>
      </c>
      <c r="S1400" s="13">
        <v>4375</v>
      </c>
    </row>
    <row r="1401" spans="1:19">
      <c r="A1401" s="9" t="s">
        <v>22</v>
      </c>
      <c r="B1401" s="9" t="s">
        <v>27</v>
      </c>
      <c r="C1401" s="9" t="s">
        <v>51</v>
      </c>
      <c r="D1401" t="s">
        <v>204</v>
      </c>
      <c r="F1401" s="12" t="s">
        <v>2901</v>
      </c>
      <c r="G1401" s="10" t="s">
        <v>1110</v>
      </c>
      <c r="H1401" s="10" t="s">
        <v>1110</v>
      </c>
      <c r="K1401" t="s">
        <v>19</v>
      </c>
      <c r="L1401" t="s">
        <v>20</v>
      </c>
      <c r="M1401" s="9">
        <v>8481909</v>
      </c>
      <c r="N1401" t="s">
        <v>3477</v>
      </c>
      <c r="O1401">
        <v>18</v>
      </c>
      <c r="P1401" t="s">
        <v>3477</v>
      </c>
      <c r="Q1401">
        <v>18</v>
      </c>
      <c r="R1401" s="13">
        <v>7000</v>
      </c>
      <c r="S1401" s="13">
        <v>4900</v>
      </c>
    </row>
    <row r="1402" spans="1:19">
      <c r="A1402" s="9" t="s">
        <v>22</v>
      </c>
      <c r="B1402" s="9" t="s">
        <v>27</v>
      </c>
      <c r="C1402" s="9" t="s">
        <v>51</v>
      </c>
      <c r="D1402" t="s">
        <v>204</v>
      </c>
      <c r="F1402" s="12" t="s">
        <v>2902</v>
      </c>
      <c r="G1402" s="10" t="s">
        <v>1110</v>
      </c>
      <c r="H1402" s="10" t="s">
        <v>1110</v>
      </c>
      <c r="K1402" t="s">
        <v>19</v>
      </c>
      <c r="L1402" t="s">
        <v>20</v>
      </c>
      <c r="M1402" s="9">
        <v>8481909</v>
      </c>
      <c r="N1402" t="s">
        <v>3477</v>
      </c>
      <c r="O1402">
        <v>18</v>
      </c>
      <c r="P1402" t="s">
        <v>3477</v>
      </c>
      <c r="Q1402">
        <v>18</v>
      </c>
      <c r="R1402" s="13">
        <v>7000</v>
      </c>
      <c r="S1402" s="13">
        <v>4900</v>
      </c>
    </row>
    <row r="1403" spans="1:19">
      <c r="A1403" s="9" t="s">
        <v>22</v>
      </c>
      <c r="B1403" s="9" t="s">
        <v>27</v>
      </c>
      <c r="C1403" s="9" t="s">
        <v>51</v>
      </c>
      <c r="D1403" t="s">
        <v>204</v>
      </c>
      <c r="F1403" s="12" t="s">
        <v>2903</v>
      </c>
      <c r="G1403" s="10" t="s">
        <v>1110</v>
      </c>
      <c r="H1403" s="10" t="s">
        <v>1110</v>
      </c>
      <c r="K1403" t="s">
        <v>19</v>
      </c>
      <c r="L1403" t="s">
        <v>20</v>
      </c>
      <c r="M1403" s="9">
        <v>8481909</v>
      </c>
      <c r="N1403" t="s">
        <v>3477</v>
      </c>
      <c r="O1403">
        <v>18</v>
      </c>
      <c r="P1403" t="s">
        <v>3477</v>
      </c>
      <c r="Q1403">
        <v>18</v>
      </c>
      <c r="R1403" s="13">
        <v>7000</v>
      </c>
      <c r="S1403" s="13">
        <v>4900</v>
      </c>
    </row>
    <row r="1404" spans="1:19">
      <c r="A1404" s="9" t="s">
        <v>22</v>
      </c>
      <c r="B1404" s="9" t="s">
        <v>27</v>
      </c>
      <c r="C1404" s="9" t="s">
        <v>51</v>
      </c>
      <c r="D1404" t="s">
        <v>204</v>
      </c>
      <c r="F1404" s="12" t="s">
        <v>2904</v>
      </c>
      <c r="G1404" s="10" t="s">
        <v>1110</v>
      </c>
      <c r="H1404" s="10" t="s">
        <v>1110</v>
      </c>
      <c r="K1404" t="s">
        <v>19</v>
      </c>
      <c r="L1404" t="s">
        <v>20</v>
      </c>
      <c r="M1404" s="9">
        <v>8481909</v>
      </c>
      <c r="N1404" t="s">
        <v>3477</v>
      </c>
      <c r="O1404">
        <v>18</v>
      </c>
      <c r="P1404" t="s">
        <v>3477</v>
      </c>
      <c r="Q1404">
        <v>18</v>
      </c>
      <c r="R1404" s="13">
        <v>5000</v>
      </c>
      <c r="S1404" s="13">
        <v>3500</v>
      </c>
    </row>
    <row r="1405" spans="1:19">
      <c r="A1405" s="9" t="s">
        <v>22</v>
      </c>
      <c r="B1405" s="9" t="s">
        <v>27</v>
      </c>
      <c r="C1405" s="9" t="s">
        <v>51</v>
      </c>
      <c r="D1405" t="s">
        <v>204</v>
      </c>
      <c r="F1405" s="12" t="s">
        <v>2905</v>
      </c>
      <c r="G1405" s="10" t="s">
        <v>1111</v>
      </c>
      <c r="H1405" s="10" t="s">
        <v>1111</v>
      </c>
      <c r="K1405" t="s">
        <v>19</v>
      </c>
      <c r="L1405" t="s">
        <v>20</v>
      </c>
      <c r="M1405" s="9">
        <v>8481909</v>
      </c>
      <c r="N1405" t="s">
        <v>3477</v>
      </c>
      <c r="O1405">
        <v>18</v>
      </c>
      <c r="P1405" t="s">
        <v>3477</v>
      </c>
      <c r="Q1405">
        <v>18</v>
      </c>
      <c r="R1405" s="13">
        <v>7000</v>
      </c>
      <c r="S1405" s="13">
        <v>4900</v>
      </c>
    </row>
    <row r="1406" spans="1:19">
      <c r="A1406" s="9" t="s">
        <v>22</v>
      </c>
      <c r="B1406" s="9" t="s">
        <v>27</v>
      </c>
      <c r="C1406" s="9" t="s">
        <v>51</v>
      </c>
      <c r="D1406" t="s">
        <v>204</v>
      </c>
      <c r="F1406" s="12" t="s">
        <v>2906</v>
      </c>
      <c r="G1406" s="10" t="s">
        <v>1111</v>
      </c>
      <c r="H1406" s="10" t="s">
        <v>1111</v>
      </c>
      <c r="K1406" t="s">
        <v>19</v>
      </c>
      <c r="L1406" t="s">
        <v>20</v>
      </c>
      <c r="M1406" s="9">
        <v>8481909</v>
      </c>
      <c r="N1406" t="s">
        <v>3477</v>
      </c>
      <c r="O1406">
        <v>18</v>
      </c>
      <c r="P1406" t="s">
        <v>3477</v>
      </c>
      <c r="Q1406">
        <v>18</v>
      </c>
      <c r="R1406" s="13">
        <v>4840</v>
      </c>
      <c r="S1406" s="13">
        <v>3388</v>
      </c>
    </row>
    <row r="1407" spans="1:19">
      <c r="A1407" s="9" t="s">
        <v>22</v>
      </c>
      <c r="B1407" s="9" t="s">
        <v>27</v>
      </c>
      <c r="C1407" s="9" t="s">
        <v>51</v>
      </c>
      <c r="D1407" t="s">
        <v>204</v>
      </c>
      <c r="F1407" s="12" t="s">
        <v>2907</v>
      </c>
      <c r="G1407" s="10" t="s">
        <v>1111</v>
      </c>
      <c r="H1407" s="10" t="s">
        <v>1111</v>
      </c>
      <c r="K1407" t="s">
        <v>19</v>
      </c>
      <c r="L1407" t="s">
        <v>20</v>
      </c>
      <c r="M1407" s="9">
        <v>8481909</v>
      </c>
      <c r="N1407" t="s">
        <v>3477</v>
      </c>
      <c r="O1407">
        <v>18</v>
      </c>
      <c r="P1407" t="s">
        <v>3477</v>
      </c>
      <c r="Q1407">
        <v>18</v>
      </c>
      <c r="R1407" s="13">
        <v>5420</v>
      </c>
      <c r="S1407" s="13">
        <v>3793.9999999999995</v>
      </c>
    </row>
    <row r="1408" spans="1:19">
      <c r="A1408" s="9" t="s">
        <v>22</v>
      </c>
      <c r="B1408" s="9" t="s">
        <v>27</v>
      </c>
      <c r="C1408" s="9" t="s">
        <v>51</v>
      </c>
      <c r="D1408" t="s">
        <v>204</v>
      </c>
      <c r="F1408" s="12" t="s">
        <v>2908</v>
      </c>
      <c r="G1408" s="10" t="s">
        <v>1111</v>
      </c>
      <c r="H1408" s="10" t="s">
        <v>1111</v>
      </c>
      <c r="K1408" t="s">
        <v>19</v>
      </c>
      <c r="L1408" t="s">
        <v>20</v>
      </c>
      <c r="M1408" s="9">
        <v>8481909</v>
      </c>
      <c r="N1408" t="s">
        <v>3477</v>
      </c>
      <c r="O1408">
        <v>18</v>
      </c>
      <c r="P1408" t="s">
        <v>3477</v>
      </c>
      <c r="Q1408">
        <v>18</v>
      </c>
      <c r="R1408" s="13">
        <v>5420</v>
      </c>
      <c r="S1408" s="13">
        <v>3793.9999999999995</v>
      </c>
    </row>
    <row r="1409" spans="1:19">
      <c r="A1409" s="9" t="s">
        <v>22</v>
      </c>
      <c r="B1409" s="9" t="s">
        <v>27</v>
      </c>
      <c r="C1409" s="9" t="s">
        <v>51</v>
      </c>
      <c r="D1409" t="s">
        <v>204</v>
      </c>
      <c r="F1409" s="12" t="s">
        <v>2909</v>
      </c>
      <c r="G1409" s="10" t="s">
        <v>1111</v>
      </c>
      <c r="H1409" s="10" t="s">
        <v>1111</v>
      </c>
      <c r="K1409" t="s">
        <v>19</v>
      </c>
      <c r="L1409" t="s">
        <v>20</v>
      </c>
      <c r="M1409" s="9">
        <v>8481909</v>
      </c>
      <c r="N1409" t="s">
        <v>3477</v>
      </c>
      <c r="O1409">
        <v>18</v>
      </c>
      <c r="P1409" t="s">
        <v>3477</v>
      </c>
      <c r="Q1409">
        <v>18</v>
      </c>
      <c r="R1409" s="13">
        <v>5420</v>
      </c>
      <c r="S1409" s="13">
        <v>3793.9999999999995</v>
      </c>
    </row>
    <row r="1410" spans="1:19">
      <c r="A1410" s="9" t="s">
        <v>22</v>
      </c>
      <c r="B1410" s="9" t="s">
        <v>27</v>
      </c>
      <c r="C1410" s="9" t="s">
        <v>51</v>
      </c>
      <c r="D1410" t="s">
        <v>204</v>
      </c>
      <c r="F1410" s="12" t="s">
        <v>2910</v>
      </c>
      <c r="G1410" s="10" t="s">
        <v>1111</v>
      </c>
      <c r="H1410" s="10" t="s">
        <v>1111</v>
      </c>
      <c r="K1410" t="s">
        <v>19</v>
      </c>
      <c r="L1410" t="s">
        <v>20</v>
      </c>
      <c r="M1410" s="9">
        <v>8481909</v>
      </c>
      <c r="N1410" t="s">
        <v>3477</v>
      </c>
      <c r="O1410">
        <v>18</v>
      </c>
      <c r="P1410" t="s">
        <v>3477</v>
      </c>
      <c r="Q1410">
        <v>18</v>
      </c>
      <c r="R1410" s="13">
        <v>3870</v>
      </c>
      <c r="S1410" s="13">
        <v>2709</v>
      </c>
    </row>
    <row r="1411" spans="1:19">
      <c r="A1411" s="9" t="s">
        <v>22</v>
      </c>
      <c r="B1411" s="9" t="s">
        <v>27</v>
      </c>
      <c r="C1411" s="9" t="s">
        <v>51</v>
      </c>
      <c r="D1411" t="s">
        <v>204</v>
      </c>
      <c r="F1411" s="12" t="s">
        <v>2911</v>
      </c>
      <c r="G1411" s="10" t="s">
        <v>1112</v>
      </c>
      <c r="H1411" s="10" t="s">
        <v>1112</v>
      </c>
      <c r="K1411" t="s">
        <v>19</v>
      </c>
      <c r="L1411" t="s">
        <v>20</v>
      </c>
      <c r="M1411" s="9">
        <v>8481909</v>
      </c>
      <c r="N1411" t="s">
        <v>3477</v>
      </c>
      <c r="O1411">
        <v>18</v>
      </c>
      <c r="P1411" t="s">
        <v>3477</v>
      </c>
      <c r="Q1411">
        <v>18</v>
      </c>
      <c r="R1411" s="13">
        <v>5420</v>
      </c>
      <c r="S1411" s="13">
        <v>3793.9999999999995</v>
      </c>
    </row>
    <row r="1412" spans="1:19">
      <c r="A1412" s="9" t="s">
        <v>22</v>
      </c>
      <c r="B1412" s="9" t="s">
        <v>27</v>
      </c>
      <c r="C1412" s="9" t="s">
        <v>184</v>
      </c>
      <c r="D1412" t="s">
        <v>204</v>
      </c>
      <c r="F1412" s="12" t="s">
        <v>2912</v>
      </c>
      <c r="G1412" s="10" t="s">
        <v>1112</v>
      </c>
      <c r="H1412" s="10" t="s">
        <v>1112</v>
      </c>
      <c r="K1412" t="s">
        <v>19</v>
      </c>
      <c r="L1412" t="s">
        <v>20</v>
      </c>
      <c r="M1412" s="9">
        <v>8481802</v>
      </c>
      <c r="N1412" t="s">
        <v>3477</v>
      </c>
      <c r="O1412">
        <v>18</v>
      </c>
      <c r="P1412" t="s">
        <v>3477</v>
      </c>
      <c r="Q1412">
        <v>18</v>
      </c>
      <c r="R1412" s="13">
        <v>15000</v>
      </c>
      <c r="S1412" s="13">
        <v>10500</v>
      </c>
    </row>
    <row r="1413" spans="1:19">
      <c r="A1413" s="9" t="s">
        <v>22</v>
      </c>
      <c r="B1413" s="9" t="s">
        <v>27</v>
      </c>
      <c r="C1413" s="9" t="s">
        <v>184</v>
      </c>
      <c r="D1413" t="s">
        <v>204</v>
      </c>
      <c r="F1413" s="12" t="s">
        <v>2913</v>
      </c>
      <c r="G1413" s="10" t="s">
        <v>1112</v>
      </c>
      <c r="H1413" s="10" t="s">
        <v>1112</v>
      </c>
      <c r="K1413" t="s">
        <v>19</v>
      </c>
      <c r="L1413" t="s">
        <v>20</v>
      </c>
      <c r="M1413" s="9">
        <v>8481802</v>
      </c>
      <c r="N1413" t="s">
        <v>3477</v>
      </c>
      <c r="O1413">
        <v>18</v>
      </c>
      <c r="P1413" t="s">
        <v>3477</v>
      </c>
      <c r="Q1413">
        <v>18</v>
      </c>
      <c r="R1413" s="13">
        <v>16800</v>
      </c>
      <c r="S1413" s="13">
        <v>11760</v>
      </c>
    </row>
    <row r="1414" spans="1:19">
      <c r="A1414" s="9" t="s">
        <v>22</v>
      </c>
      <c r="B1414" s="9" t="s">
        <v>27</v>
      </c>
      <c r="C1414" s="9" t="s">
        <v>184</v>
      </c>
      <c r="D1414" t="s">
        <v>204</v>
      </c>
      <c r="F1414" s="12" t="s">
        <v>2914</v>
      </c>
      <c r="G1414" s="10" t="s">
        <v>1112</v>
      </c>
      <c r="H1414" s="10" t="s">
        <v>1112</v>
      </c>
      <c r="K1414" t="s">
        <v>19</v>
      </c>
      <c r="L1414" t="s">
        <v>20</v>
      </c>
      <c r="M1414" s="9">
        <v>8481802</v>
      </c>
      <c r="N1414" t="s">
        <v>3477</v>
      </c>
      <c r="O1414">
        <v>18</v>
      </c>
      <c r="P1414" t="s">
        <v>3477</v>
      </c>
      <c r="Q1414">
        <v>18</v>
      </c>
      <c r="R1414" s="13">
        <v>16800</v>
      </c>
      <c r="S1414" s="13">
        <v>11760</v>
      </c>
    </row>
    <row r="1415" spans="1:19">
      <c r="A1415" s="9" t="s">
        <v>22</v>
      </c>
      <c r="B1415" s="9" t="s">
        <v>27</v>
      </c>
      <c r="C1415" s="9" t="s">
        <v>184</v>
      </c>
      <c r="D1415" t="s">
        <v>204</v>
      </c>
      <c r="F1415" s="12" t="s">
        <v>2915</v>
      </c>
      <c r="G1415" s="10" t="s">
        <v>1112</v>
      </c>
      <c r="H1415" s="10" t="s">
        <v>1112</v>
      </c>
      <c r="K1415" t="s">
        <v>19</v>
      </c>
      <c r="L1415" t="s">
        <v>20</v>
      </c>
      <c r="M1415" s="9">
        <v>8481802</v>
      </c>
      <c r="N1415" t="s">
        <v>3477</v>
      </c>
      <c r="O1415">
        <v>18</v>
      </c>
      <c r="P1415" t="s">
        <v>3477</v>
      </c>
      <c r="Q1415">
        <v>18</v>
      </c>
      <c r="R1415" s="13">
        <v>16800</v>
      </c>
      <c r="S1415" s="13">
        <v>11760</v>
      </c>
    </row>
    <row r="1416" spans="1:19">
      <c r="A1416" s="9" t="s">
        <v>22</v>
      </c>
      <c r="B1416" s="9" t="s">
        <v>27</v>
      </c>
      <c r="C1416" s="9" t="s">
        <v>184</v>
      </c>
      <c r="D1416" t="s">
        <v>204</v>
      </c>
      <c r="F1416" s="12" t="s">
        <v>2916</v>
      </c>
      <c r="G1416" s="10" t="s">
        <v>1112</v>
      </c>
      <c r="H1416" s="10" t="s">
        <v>1112</v>
      </c>
      <c r="K1416" t="s">
        <v>19</v>
      </c>
      <c r="L1416" t="s">
        <v>20</v>
      </c>
      <c r="M1416" s="9">
        <v>8481802</v>
      </c>
      <c r="N1416" t="s">
        <v>3477</v>
      </c>
      <c r="O1416">
        <v>18</v>
      </c>
      <c r="P1416" t="s">
        <v>3477</v>
      </c>
      <c r="Q1416">
        <v>18</v>
      </c>
      <c r="R1416" s="13">
        <v>12000</v>
      </c>
      <c r="S1416" s="13">
        <v>8400</v>
      </c>
    </row>
    <row r="1417" spans="1:19">
      <c r="A1417" s="9" t="s">
        <v>22</v>
      </c>
      <c r="B1417" s="9" t="s">
        <v>27</v>
      </c>
      <c r="C1417" s="9" t="s">
        <v>184</v>
      </c>
      <c r="D1417" t="s">
        <v>204</v>
      </c>
      <c r="F1417" s="12" t="s">
        <v>2917</v>
      </c>
      <c r="G1417" s="10" t="s">
        <v>1113</v>
      </c>
      <c r="H1417" s="10" t="s">
        <v>1113</v>
      </c>
      <c r="K1417" t="s">
        <v>19</v>
      </c>
      <c r="L1417" t="s">
        <v>20</v>
      </c>
      <c r="M1417" s="9">
        <v>8481802</v>
      </c>
      <c r="N1417" t="s">
        <v>3477</v>
      </c>
      <c r="O1417">
        <v>18</v>
      </c>
      <c r="P1417" t="s">
        <v>3477</v>
      </c>
      <c r="Q1417">
        <v>18</v>
      </c>
      <c r="R1417" s="13">
        <v>16800</v>
      </c>
      <c r="S1417" s="13">
        <v>11760</v>
      </c>
    </row>
    <row r="1418" spans="1:19">
      <c r="A1418" s="9" t="s">
        <v>22</v>
      </c>
      <c r="B1418" s="9" t="s">
        <v>27</v>
      </c>
      <c r="C1418" s="9" t="s">
        <v>49</v>
      </c>
      <c r="D1418" t="s">
        <v>204</v>
      </c>
      <c r="F1418" s="12" t="s">
        <v>2918</v>
      </c>
      <c r="G1418" s="10" t="s">
        <v>1113</v>
      </c>
      <c r="H1418" s="10" t="s">
        <v>1113</v>
      </c>
      <c r="K1418" t="s">
        <v>19</v>
      </c>
      <c r="L1418" t="s">
        <v>20</v>
      </c>
      <c r="M1418" s="9">
        <v>8481802</v>
      </c>
      <c r="N1418" t="s">
        <v>3477</v>
      </c>
      <c r="O1418">
        <v>18</v>
      </c>
      <c r="P1418" t="s">
        <v>3477</v>
      </c>
      <c r="Q1418">
        <v>18</v>
      </c>
      <c r="R1418" s="13">
        <v>18750</v>
      </c>
      <c r="S1418" s="13">
        <v>13125</v>
      </c>
    </row>
    <row r="1419" spans="1:19">
      <c r="A1419" s="9" t="s">
        <v>22</v>
      </c>
      <c r="B1419" s="9" t="s">
        <v>27</v>
      </c>
      <c r="C1419" s="9" t="s">
        <v>49</v>
      </c>
      <c r="D1419" t="s">
        <v>204</v>
      </c>
      <c r="F1419" s="12" t="s">
        <v>2919</v>
      </c>
      <c r="G1419" s="10" t="s">
        <v>1113</v>
      </c>
      <c r="H1419" s="10" t="s">
        <v>1113</v>
      </c>
      <c r="K1419" t="s">
        <v>19</v>
      </c>
      <c r="L1419" t="s">
        <v>20</v>
      </c>
      <c r="M1419" s="9">
        <v>8481802</v>
      </c>
      <c r="N1419" t="s">
        <v>3477</v>
      </c>
      <c r="O1419">
        <v>18</v>
      </c>
      <c r="P1419" t="s">
        <v>3477</v>
      </c>
      <c r="Q1419">
        <v>18</v>
      </c>
      <c r="R1419" s="13">
        <v>21000</v>
      </c>
      <c r="S1419" s="13">
        <v>14699.999999999998</v>
      </c>
    </row>
    <row r="1420" spans="1:19">
      <c r="A1420" s="9" t="s">
        <v>22</v>
      </c>
      <c r="B1420" s="9" t="s">
        <v>27</v>
      </c>
      <c r="C1420" s="9" t="s">
        <v>49</v>
      </c>
      <c r="D1420" t="s">
        <v>204</v>
      </c>
      <c r="F1420" s="12" t="s">
        <v>2920</v>
      </c>
      <c r="G1420" s="10" t="s">
        <v>1113</v>
      </c>
      <c r="H1420" s="10" t="s">
        <v>1113</v>
      </c>
      <c r="K1420" t="s">
        <v>19</v>
      </c>
      <c r="L1420" t="s">
        <v>20</v>
      </c>
      <c r="M1420" s="9">
        <v>8481802</v>
      </c>
      <c r="N1420" t="s">
        <v>3477</v>
      </c>
      <c r="O1420">
        <v>18</v>
      </c>
      <c r="P1420" t="s">
        <v>3477</v>
      </c>
      <c r="Q1420">
        <v>18</v>
      </c>
      <c r="R1420" s="13">
        <v>21000</v>
      </c>
      <c r="S1420" s="13">
        <v>14699.999999999998</v>
      </c>
    </row>
    <row r="1421" spans="1:19">
      <c r="A1421" s="9" t="s">
        <v>22</v>
      </c>
      <c r="B1421" s="9" t="s">
        <v>27</v>
      </c>
      <c r="C1421" s="9" t="s">
        <v>49</v>
      </c>
      <c r="D1421" t="s">
        <v>204</v>
      </c>
      <c r="F1421" s="12" t="s">
        <v>2921</v>
      </c>
      <c r="G1421" s="10" t="s">
        <v>1113</v>
      </c>
      <c r="H1421" s="10" t="s">
        <v>1113</v>
      </c>
      <c r="K1421" t="s">
        <v>19</v>
      </c>
      <c r="L1421" t="s">
        <v>20</v>
      </c>
      <c r="M1421" s="9">
        <v>8481802</v>
      </c>
      <c r="N1421" t="s">
        <v>3477</v>
      </c>
      <c r="O1421">
        <v>18</v>
      </c>
      <c r="P1421" t="s">
        <v>3477</v>
      </c>
      <c r="Q1421">
        <v>18</v>
      </c>
      <c r="R1421" s="13">
        <v>21000</v>
      </c>
      <c r="S1421" s="13">
        <v>14699.999999999998</v>
      </c>
    </row>
    <row r="1422" spans="1:19">
      <c r="A1422" s="9" t="s">
        <v>22</v>
      </c>
      <c r="B1422" s="9" t="s">
        <v>27</v>
      </c>
      <c r="C1422" s="9" t="s">
        <v>49</v>
      </c>
      <c r="D1422" t="s">
        <v>204</v>
      </c>
      <c r="F1422" s="12" t="s">
        <v>2922</v>
      </c>
      <c r="G1422" s="10" t="s">
        <v>1113</v>
      </c>
      <c r="H1422" s="10" t="s">
        <v>1113</v>
      </c>
      <c r="K1422" t="s">
        <v>19</v>
      </c>
      <c r="L1422" t="s">
        <v>20</v>
      </c>
      <c r="M1422" s="9">
        <v>8481802</v>
      </c>
      <c r="N1422" t="s">
        <v>3477</v>
      </c>
      <c r="O1422">
        <v>18</v>
      </c>
      <c r="P1422" t="s">
        <v>3477</v>
      </c>
      <c r="Q1422">
        <v>18</v>
      </c>
      <c r="R1422" s="13">
        <v>15000</v>
      </c>
      <c r="S1422" s="13">
        <v>10500</v>
      </c>
    </row>
    <row r="1423" spans="1:19">
      <c r="A1423" s="9" t="s">
        <v>22</v>
      </c>
      <c r="B1423" s="9" t="s">
        <v>27</v>
      </c>
      <c r="C1423" s="9" t="s">
        <v>49</v>
      </c>
      <c r="D1423" t="s">
        <v>204</v>
      </c>
      <c r="F1423" s="12" t="s">
        <v>2923</v>
      </c>
      <c r="G1423" s="10" t="s">
        <v>1114</v>
      </c>
      <c r="H1423" s="10" t="s">
        <v>1114</v>
      </c>
      <c r="K1423" t="s">
        <v>19</v>
      </c>
      <c r="L1423" t="s">
        <v>20</v>
      </c>
      <c r="M1423" s="9">
        <v>8481802</v>
      </c>
      <c r="N1423" t="s">
        <v>3477</v>
      </c>
      <c r="O1423">
        <v>18</v>
      </c>
      <c r="P1423" t="s">
        <v>3477</v>
      </c>
      <c r="Q1423">
        <v>18</v>
      </c>
      <c r="R1423" s="13">
        <v>21000</v>
      </c>
      <c r="S1423" s="13">
        <v>14699.999999999998</v>
      </c>
    </row>
    <row r="1424" spans="1:19">
      <c r="A1424" s="9" t="s">
        <v>22</v>
      </c>
      <c r="B1424" s="9" t="s">
        <v>27</v>
      </c>
      <c r="C1424" s="9" t="s">
        <v>117</v>
      </c>
      <c r="D1424" t="s">
        <v>204</v>
      </c>
      <c r="F1424" s="12" t="s">
        <v>2924</v>
      </c>
      <c r="G1424" s="10" t="s">
        <v>1114</v>
      </c>
      <c r="H1424" s="10" t="s">
        <v>1114</v>
      </c>
      <c r="K1424" t="s">
        <v>19</v>
      </c>
      <c r="L1424" t="s">
        <v>20</v>
      </c>
      <c r="M1424" s="9">
        <v>8481802</v>
      </c>
      <c r="N1424" t="s">
        <v>3477</v>
      </c>
      <c r="O1424">
        <v>18</v>
      </c>
      <c r="P1424" t="s">
        <v>3477</v>
      </c>
      <c r="Q1424">
        <v>18</v>
      </c>
      <c r="R1424" s="13">
        <v>18750</v>
      </c>
      <c r="S1424" s="13">
        <v>13125</v>
      </c>
    </row>
    <row r="1425" spans="1:19">
      <c r="A1425" s="9" t="s">
        <v>22</v>
      </c>
      <c r="B1425" s="9" t="s">
        <v>27</v>
      </c>
      <c r="C1425" s="9" t="s">
        <v>117</v>
      </c>
      <c r="D1425" t="s">
        <v>204</v>
      </c>
      <c r="F1425" s="12" t="s">
        <v>2925</v>
      </c>
      <c r="G1425" s="10" t="s">
        <v>1115</v>
      </c>
      <c r="H1425" s="10" t="s">
        <v>1115</v>
      </c>
      <c r="K1425" t="s">
        <v>19</v>
      </c>
      <c r="L1425" t="s">
        <v>20</v>
      </c>
      <c r="M1425" s="9">
        <v>8481802</v>
      </c>
      <c r="N1425" t="s">
        <v>3477</v>
      </c>
      <c r="O1425">
        <v>18</v>
      </c>
      <c r="P1425" t="s">
        <v>3477</v>
      </c>
      <c r="Q1425">
        <v>18</v>
      </c>
      <c r="R1425" s="13">
        <v>21000</v>
      </c>
      <c r="S1425" s="13">
        <v>14699.999999999998</v>
      </c>
    </row>
    <row r="1426" spans="1:19">
      <c r="A1426" s="9" t="s">
        <v>22</v>
      </c>
      <c r="B1426" s="9" t="s">
        <v>27</v>
      </c>
      <c r="C1426" s="9" t="s">
        <v>117</v>
      </c>
      <c r="D1426" t="s">
        <v>204</v>
      </c>
      <c r="F1426" s="12" t="s">
        <v>2926</v>
      </c>
      <c r="G1426" s="10" t="s">
        <v>1114</v>
      </c>
      <c r="H1426" s="10" t="s">
        <v>1114</v>
      </c>
      <c r="K1426" t="s">
        <v>19</v>
      </c>
      <c r="L1426" t="s">
        <v>20</v>
      </c>
      <c r="M1426" s="9">
        <v>8481802</v>
      </c>
      <c r="N1426" t="s">
        <v>3477</v>
      </c>
      <c r="O1426">
        <v>18</v>
      </c>
      <c r="P1426" t="s">
        <v>3477</v>
      </c>
      <c r="Q1426">
        <v>18</v>
      </c>
      <c r="R1426" s="13">
        <v>21000</v>
      </c>
      <c r="S1426" s="13">
        <v>14699.999999999998</v>
      </c>
    </row>
    <row r="1427" spans="1:19">
      <c r="A1427" s="9" t="s">
        <v>22</v>
      </c>
      <c r="B1427" s="9" t="s">
        <v>27</v>
      </c>
      <c r="C1427" s="9" t="s">
        <v>117</v>
      </c>
      <c r="D1427" t="s">
        <v>204</v>
      </c>
      <c r="F1427" s="12" t="s">
        <v>2927</v>
      </c>
      <c r="G1427" s="10" t="s">
        <v>1114</v>
      </c>
      <c r="H1427" s="10" t="s">
        <v>1114</v>
      </c>
      <c r="K1427" t="s">
        <v>19</v>
      </c>
      <c r="L1427" t="s">
        <v>20</v>
      </c>
      <c r="M1427" s="9">
        <v>8481802</v>
      </c>
      <c r="N1427" t="s">
        <v>3477</v>
      </c>
      <c r="O1427">
        <v>18</v>
      </c>
      <c r="P1427" t="s">
        <v>3477</v>
      </c>
      <c r="Q1427">
        <v>18</v>
      </c>
      <c r="R1427" s="13">
        <v>21000</v>
      </c>
      <c r="S1427" s="13">
        <v>14699.999999999998</v>
      </c>
    </row>
    <row r="1428" spans="1:19">
      <c r="A1428" s="9" t="s">
        <v>22</v>
      </c>
      <c r="B1428" s="9" t="s">
        <v>27</v>
      </c>
      <c r="C1428" s="9" t="s">
        <v>117</v>
      </c>
      <c r="D1428" t="s">
        <v>204</v>
      </c>
      <c r="F1428" s="12" t="s">
        <v>2928</v>
      </c>
      <c r="G1428" s="10" t="s">
        <v>1114</v>
      </c>
      <c r="H1428" s="10" t="s">
        <v>1114</v>
      </c>
      <c r="K1428" t="s">
        <v>19</v>
      </c>
      <c r="L1428" t="s">
        <v>20</v>
      </c>
      <c r="M1428" s="9">
        <v>8481802</v>
      </c>
      <c r="N1428" t="s">
        <v>3477</v>
      </c>
      <c r="O1428">
        <v>18</v>
      </c>
      <c r="P1428" t="s">
        <v>3477</v>
      </c>
      <c r="Q1428">
        <v>18</v>
      </c>
      <c r="R1428" s="13">
        <v>15000</v>
      </c>
      <c r="S1428" s="13">
        <v>10500</v>
      </c>
    </row>
    <row r="1429" spans="1:19">
      <c r="A1429" s="9" t="s">
        <v>22</v>
      </c>
      <c r="B1429" s="9" t="s">
        <v>27</v>
      </c>
      <c r="C1429" s="9" t="s">
        <v>117</v>
      </c>
      <c r="D1429" t="s">
        <v>204</v>
      </c>
      <c r="F1429" s="12" t="s">
        <v>2929</v>
      </c>
      <c r="G1429" s="10" t="s">
        <v>1116</v>
      </c>
      <c r="H1429" s="10" t="s">
        <v>1116</v>
      </c>
      <c r="K1429" t="s">
        <v>19</v>
      </c>
      <c r="L1429" t="s">
        <v>20</v>
      </c>
      <c r="M1429" s="9">
        <v>8481802</v>
      </c>
      <c r="N1429" t="s">
        <v>3477</v>
      </c>
      <c r="O1429">
        <v>18</v>
      </c>
      <c r="P1429" t="s">
        <v>3477</v>
      </c>
      <c r="Q1429">
        <v>18</v>
      </c>
      <c r="R1429" s="13">
        <v>21000</v>
      </c>
      <c r="S1429" s="13">
        <v>14699.999999999998</v>
      </c>
    </row>
    <row r="1430" spans="1:19">
      <c r="A1430" s="9" t="s">
        <v>22</v>
      </c>
      <c r="B1430" s="9" t="s">
        <v>27</v>
      </c>
      <c r="C1430" s="9" t="s">
        <v>95</v>
      </c>
      <c r="D1430" t="s">
        <v>204</v>
      </c>
      <c r="F1430" s="12" t="s">
        <v>2930</v>
      </c>
      <c r="G1430" s="10" t="s">
        <v>1116</v>
      </c>
      <c r="H1430" s="10" t="s">
        <v>1116</v>
      </c>
      <c r="K1430" t="s">
        <v>19</v>
      </c>
      <c r="L1430" t="s">
        <v>20</v>
      </c>
      <c r="M1430" s="9">
        <v>8481909</v>
      </c>
      <c r="N1430" t="s">
        <v>3477</v>
      </c>
      <c r="O1430">
        <v>18</v>
      </c>
      <c r="P1430" t="s">
        <v>3477</v>
      </c>
      <c r="Q1430">
        <v>18</v>
      </c>
      <c r="R1430" s="13">
        <v>7200</v>
      </c>
      <c r="S1430" s="13">
        <v>5040</v>
      </c>
    </row>
    <row r="1431" spans="1:19">
      <c r="A1431" s="9" t="s">
        <v>22</v>
      </c>
      <c r="B1431" s="9" t="s">
        <v>27</v>
      </c>
      <c r="C1431" s="9" t="s">
        <v>95</v>
      </c>
      <c r="D1431" t="s">
        <v>204</v>
      </c>
      <c r="F1431" s="12" t="s">
        <v>2931</v>
      </c>
      <c r="G1431" s="10" t="s">
        <v>1116</v>
      </c>
      <c r="H1431" s="10" t="s">
        <v>1116</v>
      </c>
      <c r="K1431" t="s">
        <v>19</v>
      </c>
      <c r="L1431" t="s">
        <v>20</v>
      </c>
      <c r="M1431" s="9">
        <v>8481909</v>
      </c>
      <c r="N1431" t="s">
        <v>3477</v>
      </c>
      <c r="O1431">
        <v>18</v>
      </c>
      <c r="P1431" t="s">
        <v>3477</v>
      </c>
      <c r="Q1431">
        <v>18</v>
      </c>
      <c r="R1431" s="13">
        <v>10250</v>
      </c>
      <c r="S1431" s="13">
        <v>7174.9999999999991</v>
      </c>
    </row>
    <row r="1432" spans="1:19">
      <c r="A1432" s="9" t="s">
        <v>22</v>
      </c>
      <c r="B1432" s="9" t="s">
        <v>27</v>
      </c>
      <c r="C1432" s="9" t="s">
        <v>95</v>
      </c>
      <c r="D1432" t="s">
        <v>204</v>
      </c>
      <c r="F1432" s="12" t="s">
        <v>2932</v>
      </c>
      <c r="G1432" s="10" t="s">
        <v>1117</v>
      </c>
      <c r="H1432" s="10" t="s">
        <v>1117</v>
      </c>
      <c r="K1432" t="s">
        <v>19</v>
      </c>
      <c r="L1432" t="s">
        <v>20</v>
      </c>
      <c r="M1432" s="9">
        <v>8481909</v>
      </c>
      <c r="N1432" t="s">
        <v>3477</v>
      </c>
      <c r="O1432">
        <v>18</v>
      </c>
      <c r="P1432" t="s">
        <v>3477</v>
      </c>
      <c r="Q1432">
        <v>18</v>
      </c>
      <c r="R1432" s="13">
        <v>13300</v>
      </c>
      <c r="S1432" s="13">
        <v>9310</v>
      </c>
    </row>
    <row r="1433" spans="1:19">
      <c r="A1433" s="9" t="s">
        <v>22</v>
      </c>
      <c r="B1433" s="9" t="s">
        <v>27</v>
      </c>
      <c r="C1433" s="9" t="s">
        <v>95</v>
      </c>
      <c r="D1433" t="s">
        <v>204</v>
      </c>
      <c r="F1433" s="12" t="s">
        <v>2933</v>
      </c>
      <c r="G1433" s="10" t="s">
        <v>1116</v>
      </c>
      <c r="H1433" s="10" t="s">
        <v>1116</v>
      </c>
      <c r="K1433" t="s">
        <v>19</v>
      </c>
      <c r="L1433" t="s">
        <v>20</v>
      </c>
      <c r="M1433" s="9">
        <v>8481909</v>
      </c>
      <c r="N1433" t="s">
        <v>3477</v>
      </c>
      <c r="O1433">
        <v>18</v>
      </c>
      <c r="P1433" t="s">
        <v>3477</v>
      </c>
      <c r="Q1433">
        <v>18</v>
      </c>
      <c r="R1433" s="13">
        <v>13300</v>
      </c>
      <c r="S1433" s="13">
        <v>9310</v>
      </c>
    </row>
    <row r="1434" spans="1:19">
      <c r="A1434" s="9" t="s">
        <v>22</v>
      </c>
      <c r="B1434" s="9" t="s">
        <v>27</v>
      </c>
      <c r="C1434" s="9" t="s">
        <v>95</v>
      </c>
      <c r="D1434" t="s">
        <v>204</v>
      </c>
      <c r="F1434" s="12" t="s">
        <v>2934</v>
      </c>
      <c r="G1434" s="10" t="s">
        <v>1118</v>
      </c>
      <c r="H1434" s="10" t="s">
        <v>1118</v>
      </c>
      <c r="K1434" t="s">
        <v>19</v>
      </c>
      <c r="L1434" t="s">
        <v>20</v>
      </c>
      <c r="M1434" s="9">
        <v>8481909</v>
      </c>
      <c r="N1434" t="s">
        <v>3477</v>
      </c>
      <c r="O1434">
        <v>18</v>
      </c>
      <c r="P1434" t="s">
        <v>3477</v>
      </c>
      <c r="Q1434">
        <v>18</v>
      </c>
      <c r="R1434" s="13">
        <v>12100</v>
      </c>
      <c r="S1434" s="13">
        <v>8470</v>
      </c>
    </row>
    <row r="1435" spans="1:19">
      <c r="A1435" s="9" t="s">
        <v>22</v>
      </c>
      <c r="B1435" s="9" t="s">
        <v>27</v>
      </c>
      <c r="C1435" s="9" t="s">
        <v>95</v>
      </c>
      <c r="D1435" t="s">
        <v>204</v>
      </c>
      <c r="F1435" s="12" t="s">
        <v>2935</v>
      </c>
      <c r="G1435" s="10" t="s">
        <v>1118</v>
      </c>
      <c r="H1435" s="10" t="s">
        <v>1118</v>
      </c>
      <c r="K1435" t="s">
        <v>19</v>
      </c>
      <c r="L1435" t="s">
        <v>20</v>
      </c>
      <c r="M1435" s="9">
        <v>8481909</v>
      </c>
      <c r="N1435" t="s">
        <v>3477</v>
      </c>
      <c r="O1435">
        <v>18</v>
      </c>
      <c r="P1435" t="s">
        <v>3477</v>
      </c>
      <c r="Q1435">
        <v>18</v>
      </c>
      <c r="R1435" s="13">
        <v>16200</v>
      </c>
      <c r="S1435" s="13">
        <v>11340</v>
      </c>
    </row>
    <row r="1436" spans="1:19">
      <c r="A1436" s="9" t="s">
        <v>22</v>
      </c>
      <c r="B1436" s="9" t="s">
        <v>27</v>
      </c>
      <c r="C1436" s="9" t="s">
        <v>95</v>
      </c>
      <c r="D1436" t="s">
        <v>204</v>
      </c>
      <c r="F1436" s="12" t="s">
        <v>2936</v>
      </c>
      <c r="G1436" s="10" t="s">
        <v>1118</v>
      </c>
      <c r="H1436" s="10" t="s">
        <v>1118</v>
      </c>
      <c r="K1436" t="s">
        <v>19</v>
      </c>
      <c r="L1436" t="s">
        <v>20</v>
      </c>
      <c r="M1436" s="9">
        <v>8481909</v>
      </c>
      <c r="N1436" t="s">
        <v>3477</v>
      </c>
      <c r="O1436">
        <v>18</v>
      </c>
      <c r="P1436" t="s">
        <v>3477</v>
      </c>
      <c r="Q1436">
        <v>18</v>
      </c>
      <c r="R1436" s="13">
        <v>18140</v>
      </c>
      <c r="S1436" s="13">
        <v>12698</v>
      </c>
    </row>
    <row r="1437" spans="1:19">
      <c r="A1437" s="9" t="s">
        <v>22</v>
      </c>
      <c r="B1437" s="9" t="s">
        <v>27</v>
      </c>
      <c r="C1437" s="9" t="s">
        <v>95</v>
      </c>
      <c r="D1437" t="s">
        <v>204</v>
      </c>
      <c r="F1437" s="12" t="s">
        <v>2937</v>
      </c>
      <c r="G1437" s="10" t="s">
        <v>1119</v>
      </c>
      <c r="H1437" s="10" t="s">
        <v>1119</v>
      </c>
      <c r="K1437" t="s">
        <v>19</v>
      </c>
      <c r="L1437" t="s">
        <v>20</v>
      </c>
      <c r="M1437" s="9">
        <v>8481909</v>
      </c>
      <c r="N1437" t="s">
        <v>3477</v>
      </c>
      <c r="O1437">
        <v>18</v>
      </c>
      <c r="P1437" t="s">
        <v>3477</v>
      </c>
      <c r="Q1437">
        <v>18</v>
      </c>
      <c r="R1437" s="13">
        <v>12960</v>
      </c>
      <c r="S1437" s="13">
        <v>9072</v>
      </c>
    </row>
    <row r="1438" spans="1:19">
      <c r="A1438" s="9" t="s">
        <v>22</v>
      </c>
      <c r="B1438" s="9" t="s">
        <v>27</v>
      </c>
      <c r="C1438" s="9" t="s">
        <v>95</v>
      </c>
      <c r="D1438" t="s">
        <v>204</v>
      </c>
      <c r="F1438" s="12" t="s">
        <v>2938</v>
      </c>
      <c r="G1438" s="10" t="s">
        <v>1119</v>
      </c>
      <c r="H1438" s="10" t="s">
        <v>1119</v>
      </c>
      <c r="K1438" t="s">
        <v>19</v>
      </c>
      <c r="L1438" t="s">
        <v>20</v>
      </c>
      <c r="M1438" s="9">
        <v>8481909</v>
      </c>
      <c r="N1438" t="s">
        <v>3477</v>
      </c>
      <c r="O1438">
        <v>18</v>
      </c>
      <c r="P1438" t="s">
        <v>3477</v>
      </c>
      <c r="Q1438">
        <v>18</v>
      </c>
      <c r="R1438" s="13">
        <v>5390</v>
      </c>
      <c r="S1438" s="13">
        <v>3772.9999999999995</v>
      </c>
    </row>
    <row r="1439" spans="1:19">
      <c r="A1439" s="9" t="s">
        <v>22</v>
      </c>
      <c r="B1439" s="9" t="s">
        <v>27</v>
      </c>
      <c r="C1439" s="9" t="s">
        <v>95</v>
      </c>
      <c r="D1439" t="s">
        <v>204</v>
      </c>
      <c r="F1439" s="12" t="s">
        <v>2939</v>
      </c>
      <c r="G1439" s="10" t="s">
        <v>1120</v>
      </c>
      <c r="H1439" s="10" t="s">
        <v>1120</v>
      </c>
      <c r="K1439" t="s">
        <v>19</v>
      </c>
      <c r="L1439" t="s">
        <v>20</v>
      </c>
      <c r="M1439" s="9">
        <v>8481909</v>
      </c>
      <c r="N1439" t="s">
        <v>3477</v>
      </c>
      <c r="O1439">
        <v>18</v>
      </c>
      <c r="P1439" t="s">
        <v>3477</v>
      </c>
      <c r="Q1439">
        <v>18</v>
      </c>
      <c r="R1439" s="13">
        <v>7887</v>
      </c>
      <c r="S1439" s="13">
        <v>5520.9</v>
      </c>
    </row>
    <row r="1440" spans="1:19">
      <c r="A1440" s="9" t="s">
        <v>22</v>
      </c>
      <c r="B1440" s="9" t="s">
        <v>27</v>
      </c>
      <c r="C1440" s="9" t="s">
        <v>95</v>
      </c>
      <c r="D1440" t="s">
        <v>204</v>
      </c>
      <c r="F1440" s="12" t="s">
        <v>2940</v>
      </c>
      <c r="G1440" s="10" t="s">
        <v>1120</v>
      </c>
      <c r="H1440" s="10" t="s">
        <v>1120</v>
      </c>
      <c r="K1440" t="s">
        <v>19</v>
      </c>
      <c r="L1440" t="s">
        <v>20</v>
      </c>
      <c r="M1440" s="9">
        <v>8481909</v>
      </c>
      <c r="N1440" t="s">
        <v>3477</v>
      </c>
      <c r="O1440">
        <v>18</v>
      </c>
      <c r="P1440" t="s">
        <v>3477</v>
      </c>
      <c r="Q1440">
        <v>18</v>
      </c>
      <c r="R1440" s="13">
        <v>6333</v>
      </c>
      <c r="S1440" s="13">
        <v>4433.0999999999995</v>
      </c>
    </row>
    <row r="1441" spans="1:19">
      <c r="A1441" s="9" t="s">
        <v>22</v>
      </c>
      <c r="B1441" s="9" t="s">
        <v>27</v>
      </c>
      <c r="C1441" s="9" t="s">
        <v>95</v>
      </c>
      <c r="D1441" t="s">
        <v>204</v>
      </c>
      <c r="F1441" s="12" t="s">
        <v>2941</v>
      </c>
      <c r="G1441" s="10" t="s">
        <v>1121</v>
      </c>
      <c r="H1441" s="10" t="s">
        <v>1121</v>
      </c>
      <c r="K1441" t="s">
        <v>19</v>
      </c>
      <c r="L1441" t="s">
        <v>20</v>
      </c>
      <c r="M1441" s="9">
        <v>8481909</v>
      </c>
      <c r="N1441" t="s">
        <v>3477</v>
      </c>
      <c r="O1441">
        <v>18</v>
      </c>
      <c r="P1441" t="s">
        <v>3477</v>
      </c>
      <c r="Q1441">
        <v>18</v>
      </c>
      <c r="R1441" s="13">
        <v>5066</v>
      </c>
      <c r="S1441" s="13">
        <v>3546.2</v>
      </c>
    </row>
    <row r="1442" spans="1:19">
      <c r="A1442" s="9" t="s">
        <v>22</v>
      </c>
      <c r="B1442" s="9" t="s">
        <v>27</v>
      </c>
      <c r="C1442" s="9" t="s">
        <v>48</v>
      </c>
      <c r="D1442" t="s">
        <v>204</v>
      </c>
      <c r="F1442" s="12" t="s">
        <v>2942</v>
      </c>
      <c r="G1442" s="10" t="s">
        <v>1122</v>
      </c>
      <c r="H1442" s="10" t="s">
        <v>1122</v>
      </c>
      <c r="K1442" t="s">
        <v>19</v>
      </c>
      <c r="L1442" t="s">
        <v>20</v>
      </c>
      <c r="M1442" s="9">
        <v>8481802</v>
      </c>
      <c r="N1442" t="s">
        <v>3477</v>
      </c>
      <c r="O1442">
        <v>18</v>
      </c>
      <c r="P1442" t="s">
        <v>3477</v>
      </c>
      <c r="Q1442">
        <v>18</v>
      </c>
      <c r="R1442" s="13">
        <v>9000</v>
      </c>
      <c r="S1442" s="13">
        <v>6300</v>
      </c>
    </row>
    <row r="1443" spans="1:19">
      <c r="A1443" s="9" t="s">
        <v>22</v>
      </c>
      <c r="B1443" s="9" t="s">
        <v>26</v>
      </c>
      <c r="C1443" s="9" t="s">
        <v>43</v>
      </c>
      <c r="D1443" t="s">
        <v>204</v>
      </c>
      <c r="F1443" s="12" t="s">
        <v>2943</v>
      </c>
      <c r="G1443" s="10" t="s">
        <v>1122</v>
      </c>
      <c r="H1443" s="10" t="s">
        <v>1122</v>
      </c>
      <c r="K1443" t="s">
        <v>19</v>
      </c>
      <c r="L1443" t="s">
        <v>20</v>
      </c>
      <c r="M1443" s="9">
        <v>69101</v>
      </c>
      <c r="N1443" t="s">
        <v>3477</v>
      </c>
      <c r="O1443">
        <v>18</v>
      </c>
      <c r="P1443" t="s">
        <v>3477</v>
      </c>
      <c r="Q1443">
        <v>18</v>
      </c>
      <c r="R1443" s="13">
        <v>26450</v>
      </c>
      <c r="S1443" s="13">
        <v>18515</v>
      </c>
    </row>
    <row r="1444" spans="1:19">
      <c r="A1444" s="9" t="s">
        <v>22</v>
      </c>
      <c r="B1444" s="9" t="s">
        <v>26</v>
      </c>
      <c r="C1444" s="9" t="s">
        <v>43</v>
      </c>
      <c r="D1444" t="s">
        <v>204</v>
      </c>
      <c r="F1444" s="12" t="s">
        <v>2944</v>
      </c>
      <c r="G1444" s="10" t="s">
        <v>1123</v>
      </c>
      <c r="H1444" s="10" t="s">
        <v>1123</v>
      </c>
      <c r="K1444" t="s">
        <v>19</v>
      </c>
      <c r="L1444" t="s">
        <v>20</v>
      </c>
      <c r="M1444" s="9">
        <v>69101</v>
      </c>
      <c r="N1444" t="s">
        <v>3477</v>
      </c>
      <c r="O1444">
        <v>18</v>
      </c>
      <c r="P1444" t="s">
        <v>3477</v>
      </c>
      <c r="Q1444">
        <v>18</v>
      </c>
      <c r="R1444" s="13">
        <v>26450</v>
      </c>
      <c r="S1444" s="13">
        <v>18515</v>
      </c>
    </row>
    <row r="1445" spans="1:19">
      <c r="A1445" s="9" t="s">
        <v>22</v>
      </c>
      <c r="B1445" s="9" t="s">
        <v>26</v>
      </c>
      <c r="C1445" s="9" t="s">
        <v>43</v>
      </c>
      <c r="D1445" t="s">
        <v>204</v>
      </c>
      <c r="F1445" s="12" t="s">
        <v>2945</v>
      </c>
      <c r="G1445" s="10" t="s">
        <v>1123</v>
      </c>
      <c r="H1445" s="10" t="s">
        <v>1123</v>
      </c>
      <c r="K1445" t="s">
        <v>19</v>
      </c>
      <c r="L1445" t="s">
        <v>20</v>
      </c>
      <c r="M1445" s="9">
        <v>69101</v>
      </c>
      <c r="N1445" t="s">
        <v>3477</v>
      </c>
      <c r="O1445">
        <v>18</v>
      </c>
      <c r="P1445" t="s">
        <v>3477</v>
      </c>
      <c r="Q1445">
        <v>18</v>
      </c>
      <c r="R1445" s="13">
        <v>25500</v>
      </c>
      <c r="S1445" s="13">
        <v>17850</v>
      </c>
    </row>
    <row r="1446" spans="1:19">
      <c r="A1446" s="9" t="s">
        <v>22</v>
      </c>
      <c r="B1446" s="9" t="s">
        <v>26</v>
      </c>
      <c r="C1446" s="9" t="s">
        <v>77</v>
      </c>
      <c r="D1446" t="s">
        <v>204</v>
      </c>
      <c r="F1446" s="12" t="s">
        <v>2946</v>
      </c>
      <c r="G1446" s="10" t="s">
        <v>1124</v>
      </c>
      <c r="H1446" s="10" t="s">
        <v>1124</v>
      </c>
      <c r="K1446" t="s">
        <v>19</v>
      </c>
      <c r="L1446" t="s">
        <v>20</v>
      </c>
      <c r="M1446" s="9">
        <v>69101</v>
      </c>
      <c r="N1446" t="s">
        <v>3477</v>
      </c>
      <c r="O1446">
        <v>18</v>
      </c>
      <c r="P1446" t="s">
        <v>3477</v>
      </c>
      <c r="Q1446">
        <v>18</v>
      </c>
      <c r="R1446" s="13">
        <v>29900</v>
      </c>
      <c r="S1446" s="13">
        <v>20930</v>
      </c>
    </row>
    <row r="1447" spans="1:19">
      <c r="A1447" s="9" t="s">
        <v>23</v>
      </c>
      <c r="B1447" s="9" t="s">
        <v>26</v>
      </c>
      <c r="C1447" s="9" t="s">
        <v>156</v>
      </c>
      <c r="D1447" t="s">
        <v>204</v>
      </c>
      <c r="F1447" s="12" t="s">
        <v>2947</v>
      </c>
      <c r="G1447" s="10" t="s">
        <v>1124</v>
      </c>
      <c r="H1447" s="10" t="s">
        <v>1124</v>
      </c>
      <c r="K1447" t="s">
        <v>19</v>
      </c>
      <c r="L1447" t="s">
        <v>20</v>
      </c>
      <c r="M1447" s="9">
        <v>69101</v>
      </c>
      <c r="N1447" t="s">
        <v>3477</v>
      </c>
      <c r="O1447">
        <v>18</v>
      </c>
      <c r="P1447" t="s">
        <v>3477</v>
      </c>
      <c r="Q1447">
        <v>18</v>
      </c>
      <c r="R1447" s="13">
        <v>1400000</v>
      </c>
      <c r="S1447" s="13">
        <v>840000</v>
      </c>
    </row>
    <row r="1448" spans="1:19">
      <c r="A1448" s="9" t="s">
        <v>23</v>
      </c>
      <c r="B1448" s="9" t="s">
        <v>26</v>
      </c>
      <c r="C1448" s="9" t="s">
        <v>156</v>
      </c>
      <c r="D1448" t="s">
        <v>204</v>
      </c>
      <c r="F1448" s="12" t="s">
        <v>2948</v>
      </c>
      <c r="G1448" s="10" t="s">
        <v>1125</v>
      </c>
      <c r="H1448" s="10" t="s">
        <v>1125</v>
      </c>
      <c r="K1448" t="s">
        <v>19</v>
      </c>
      <c r="L1448" t="s">
        <v>20</v>
      </c>
      <c r="M1448" s="9">
        <v>69101</v>
      </c>
      <c r="N1448" t="s">
        <v>3477</v>
      </c>
      <c r="O1448">
        <v>18</v>
      </c>
      <c r="P1448" t="s">
        <v>3477</v>
      </c>
      <c r="Q1448">
        <v>18</v>
      </c>
      <c r="R1448" s="13">
        <v>1400000</v>
      </c>
      <c r="S1448" s="13">
        <v>840000</v>
      </c>
    </row>
    <row r="1449" spans="1:19">
      <c r="A1449" s="9" t="s">
        <v>22</v>
      </c>
      <c r="B1449" s="9" t="s">
        <v>35</v>
      </c>
      <c r="C1449" s="9" t="s">
        <v>185</v>
      </c>
      <c r="D1449" t="s">
        <v>204</v>
      </c>
      <c r="F1449" s="12" t="s">
        <v>2949</v>
      </c>
      <c r="G1449" s="10" t="s">
        <v>1126</v>
      </c>
      <c r="H1449" s="10" t="s">
        <v>1126</v>
      </c>
      <c r="K1449" t="s">
        <v>19</v>
      </c>
      <c r="L1449" t="s">
        <v>20</v>
      </c>
      <c r="M1449" s="9">
        <v>7418202</v>
      </c>
      <c r="N1449" t="s">
        <v>3477</v>
      </c>
      <c r="O1449">
        <v>18</v>
      </c>
      <c r="P1449" t="s">
        <v>3477</v>
      </c>
      <c r="Q1449">
        <v>18</v>
      </c>
      <c r="R1449" s="13">
        <v>25000</v>
      </c>
      <c r="S1449" s="13">
        <v>17500</v>
      </c>
    </row>
    <row r="1450" spans="1:19">
      <c r="A1450" s="9" t="s">
        <v>22</v>
      </c>
      <c r="B1450" s="9" t="s">
        <v>35</v>
      </c>
      <c r="C1450" s="9" t="s">
        <v>185</v>
      </c>
      <c r="D1450" t="s">
        <v>204</v>
      </c>
      <c r="F1450" s="12" t="s">
        <v>2950</v>
      </c>
      <c r="G1450" s="10" t="s">
        <v>1126</v>
      </c>
      <c r="H1450" s="10" t="s">
        <v>1126</v>
      </c>
      <c r="K1450" t="s">
        <v>19</v>
      </c>
      <c r="L1450" t="s">
        <v>20</v>
      </c>
      <c r="M1450" s="9">
        <v>7418202</v>
      </c>
      <c r="N1450" t="s">
        <v>3477</v>
      </c>
      <c r="O1450">
        <v>18</v>
      </c>
      <c r="P1450" t="s">
        <v>3477</v>
      </c>
      <c r="Q1450">
        <v>18</v>
      </c>
      <c r="R1450" s="13">
        <v>34400</v>
      </c>
      <c r="S1450" s="13">
        <v>24080</v>
      </c>
    </row>
    <row r="1451" spans="1:19">
      <c r="A1451" s="9" t="s">
        <v>22</v>
      </c>
      <c r="B1451" s="9" t="s">
        <v>35</v>
      </c>
      <c r="C1451" s="9" t="s">
        <v>185</v>
      </c>
      <c r="D1451" t="s">
        <v>204</v>
      </c>
      <c r="F1451" s="12" t="s">
        <v>2951</v>
      </c>
      <c r="G1451" s="10" t="s">
        <v>1126</v>
      </c>
      <c r="H1451" s="10" t="s">
        <v>1126</v>
      </c>
      <c r="K1451" t="s">
        <v>19</v>
      </c>
      <c r="L1451" t="s">
        <v>20</v>
      </c>
      <c r="M1451" s="9">
        <v>7418202</v>
      </c>
      <c r="N1451" t="s">
        <v>3477</v>
      </c>
      <c r="O1451">
        <v>18</v>
      </c>
      <c r="P1451" t="s">
        <v>3477</v>
      </c>
      <c r="Q1451">
        <v>18</v>
      </c>
      <c r="R1451" s="13">
        <v>15150</v>
      </c>
      <c r="S1451" s="13">
        <v>10605</v>
      </c>
    </row>
    <row r="1452" spans="1:19">
      <c r="A1452" s="9" t="s">
        <v>22</v>
      </c>
      <c r="B1452" s="9" t="s">
        <v>35</v>
      </c>
      <c r="C1452" s="9" t="s">
        <v>185</v>
      </c>
      <c r="D1452" t="s">
        <v>204</v>
      </c>
      <c r="F1452" s="12" t="s">
        <v>2952</v>
      </c>
      <c r="G1452" s="10" t="s">
        <v>1127</v>
      </c>
      <c r="H1452" s="10" t="s">
        <v>1127</v>
      </c>
      <c r="K1452" t="s">
        <v>19</v>
      </c>
      <c r="L1452" t="s">
        <v>20</v>
      </c>
      <c r="M1452" s="9">
        <v>7418202</v>
      </c>
      <c r="N1452" t="s">
        <v>3477</v>
      </c>
      <c r="O1452">
        <v>18</v>
      </c>
      <c r="P1452" t="s">
        <v>3477</v>
      </c>
      <c r="Q1452">
        <v>18</v>
      </c>
      <c r="R1452" s="13">
        <v>28500</v>
      </c>
      <c r="S1452" s="13">
        <v>19950</v>
      </c>
    </row>
    <row r="1453" spans="1:19">
      <c r="A1453" s="9" t="s">
        <v>23</v>
      </c>
      <c r="B1453" s="9" t="s">
        <v>35</v>
      </c>
      <c r="C1453" s="9" t="s">
        <v>186</v>
      </c>
      <c r="D1453" t="s">
        <v>204</v>
      </c>
      <c r="F1453" s="12" t="s">
        <v>2953</v>
      </c>
      <c r="G1453" s="10" t="s">
        <v>1128</v>
      </c>
      <c r="H1453" s="10" t="s">
        <v>1128</v>
      </c>
      <c r="K1453" t="s">
        <v>19</v>
      </c>
      <c r="L1453" t="s">
        <v>20</v>
      </c>
      <c r="M1453" s="9">
        <v>700991</v>
      </c>
      <c r="N1453" t="s">
        <v>3477</v>
      </c>
      <c r="O1453">
        <v>18</v>
      </c>
      <c r="P1453" t="s">
        <v>3477</v>
      </c>
      <c r="Q1453">
        <v>18</v>
      </c>
      <c r="R1453" s="13">
        <v>44000</v>
      </c>
      <c r="S1453" s="13">
        <v>26400</v>
      </c>
    </row>
    <row r="1454" spans="1:19">
      <c r="A1454" s="9" t="s">
        <v>23</v>
      </c>
      <c r="B1454" s="9" t="s">
        <v>35</v>
      </c>
      <c r="C1454" s="9" t="s">
        <v>186</v>
      </c>
      <c r="D1454" t="s">
        <v>204</v>
      </c>
      <c r="F1454" s="12" t="s">
        <v>2954</v>
      </c>
      <c r="G1454" s="10" t="s">
        <v>1129</v>
      </c>
      <c r="H1454" s="10" t="s">
        <v>1129</v>
      </c>
      <c r="K1454" t="s">
        <v>19</v>
      </c>
      <c r="L1454" t="s">
        <v>20</v>
      </c>
      <c r="M1454" s="9">
        <v>700991</v>
      </c>
      <c r="N1454" t="s">
        <v>3477</v>
      </c>
      <c r="O1454">
        <v>18</v>
      </c>
      <c r="P1454" t="s">
        <v>3477</v>
      </c>
      <c r="Q1454">
        <v>18</v>
      </c>
      <c r="R1454" s="13">
        <v>47000</v>
      </c>
      <c r="S1454" s="13">
        <v>28200</v>
      </c>
    </row>
    <row r="1455" spans="1:19">
      <c r="A1455" s="9" t="s">
        <v>23</v>
      </c>
      <c r="B1455" s="9" t="s">
        <v>35</v>
      </c>
      <c r="C1455" s="9" t="s">
        <v>186</v>
      </c>
      <c r="D1455" t="s">
        <v>204</v>
      </c>
      <c r="F1455" s="12" t="s">
        <v>2955</v>
      </c>
      <c r="G1455" s="10" t="s">
        <v>1130</v>
      </c>
      <c r="H1455" s="10" t="s">
        <v>1130</v>
      </c>
      <c r="K1455" t="s">
        <v>19</v>
      </c>
      <c r="L1455" t="s">
        <v>20</v>
      </c>
      <c r="M1455" s="9">
        <v>700991</v>
      </c>
      <c r="N1455" t="s">
        <v>3477</v>
      </c>
      <c r="O1455">
        <v>18</v>
      </c>
      <c r="P1455" t="s">
        <v>3477</v>
      </c>
      <c r="Q1455">
        <v>18</v>
      </c>
      <c r="R1455" s="13">
        <v>50000</v>
      </c>
      <c r="S1455" s="13">
        <v>30000</v>
      </c>
    </row>
    <row r="1456" spans="1:19">
      <c r="A1456" s="9" t="s">
        <v>23</v>
      </c>
      <c r="B1456" s="9" t="s">
        <v>33</v>
      </c>
      <c r="C1456" s="9" t="s">
        <v>187</v>
      </c>
      <c r="D1456" t="s">
        <v>204</v>
      </c>
      <c r="F1456" s="12" t="s">
        <v>2956</v>
      </c>
      <c r="G1456" s="10" t="s">
        <v>1131</v>
      </c>
      <c r="H1456" s="10" t="s">
        <v>1131</v>
      </c>
      <c r="K1456" t="s">
        <v>19</v>
      </c>
      <c r="L1456" t="s">
        <v>20</v>
      </c>
      <c r="M1456" s="9">
        <v>700991</v>
      </c>
      <c r="N1456" t="s">
        <v>3477</v>
      </c>
      <c r="O1456">
        <v>18</v>
      </c>
      <c r="P1456" t="s">
        <v>3477</v>
      </c>
      <c r="Q1456">
        <v>18</v>
      </c>
      <c r="R1456" s="13">
        <v>28950</v>
      </c>
      <c r="S1456" s="13">
        <v>17370</v>
      </c>
    </row>
    <row r="1457" spans="1:19">
      <c r="A1457" s="9" t="s">
        <v>23</v>
      </c>
      <c r="B1457" s="9" t="s">
        <v>25</v>
      </c>
      <c r="C1457" s="9" t="s">
        <v>157</v>
      </c>
      <c r="D1457" t="s">
        <v>204</v>
      </c>
      <c r="F1457" s="12" t="s">
        <v>2957</v>
      </c>
      <c r="G1457" s="10" t="s">
        <v>1132</v>
      </c>
      <c r="H1457" s="10" t="s">
        <v>1132</v>
      </c>
      <c r="K1457" t="s">
        <v>19</v>
      </c>
      <c r="L1457" t="s">
        <v>20</v>
      </c>
      <c r="M1457" s="9">
        <v>34029099</v>
      </c>
      <c r="N1457" t="s">
        <v>3477</v>
      </c>
      <c r="O1457">
        <v>18</v>
      </c>
      <c r="P1457" t="s">
        <v>3477</v>
      </c>
      <c r="Q1457">
        <v>18</v>
      </c>
      <c r="R1457" s="13">
        <v>1200</v>
      </c>
      <c r="S1457" s="13">
        <v>720</v>
      </c>
    </row>
    <row r="1458" spans="1:19">
      <c r="A1458" s="9" t="s">
        <v>23</v>
      </c>
      <c r="B1458" s="9" t="s">
        <v>25</v>
      </c>
      <c r="C1458" s="9" t="s">
        <v>157</v>
      </c>
      <c r="D1458" t="s">
        <v>204</v>
      </c>
      <c r="F1458" s="12" t="s">
        <v>2958</v>
      </c>
      <c r="G1458" s="10" t="s">
        <v>1133</v>
      </c>
      <c r="H1458" s="10" t="s">
        <v>1133</v>
      </c>
      <c r="K1458" t="s">
        <v>19</v>
      </c>
      <c r="L1458" t="s">
        <v>20</v>
      </c>
      <c r="M1458" s="9">
        <v>7323939</v>
      </c>
      <c r="N1458" t="s">
        <v>3477</v>
      </c>
      <c r="O1458">
        <v>18</v>
      </c>
      <c r="P1458" t="s">
        <v>3477</v>
      </c>
      <c r="Q1458">
        <v>18</v>
      </c>
      <c r="R1458" s="13">
        <v>6000</v>
      </c>
      <c r="S1458" s="13">
        <v>3600</v>
      </c>
    </row>
    <row r="1459" spans="1:19">
      <c r="A1459" s="9" t="s">
        <v>23</v>
      </c>
      <c r="B1459" s="9" t="s">
        <v>25</v>
      </c>
      <c r="C1459" s="9" t="s">
        <v>157</v>
      </c>
      <c r="D1459" t="s">
        <v>204</v>
      </c>
      <c r="F1459" s="12" t="s">
        <v>2959</v>
      </c>
      <c r="G1459" s="10" t="s">
        <v>1134</v>
      </c>
      <c r="H1459" s="10" t="s">
        <v>1134</v>
      </c>
      <c r="K1459" t="s">
        <v>19</v>
      </c>
      <c r="L1459" t="s">
        <v>20</v>
      </c>
      <c r="M1459" s="9">
        <v>7323939</v>
      </c>
      <c r="N1459" t="s">
        <v>3477</v>
      </c>
      <c r="O1459">
        <v>18</v>
      </c>
      <c r="P1459" t="s">
        <v>3477</v>
      </c>
      <c r="Q1459">
        <v>18</v>
      </c>
      <c r="R1459" s="13">
        <v>4000</v>
      </c>
      <c r="S1459" s="13">
        <v>2400</v>
      </c>
    </row>
    <row r="1460" spans="1:19">
      <c r="A1460" s="9" t="s">
        <v>23</v>
      </c>
      <c r="B1460" s="9" t="s">
        <v>25</v>
      </c>
      <c r="C1460" s="9" t="s">
        <v>157</v>
      </c>
      <c r="D1460" t="s">
        <v>204</v>
      </c>
      <c r="F1460" s="12" t="s">
        <v>2960</v>
      </c>
      <c r="G1460" s="10" t="s">
        <v>1135</v>
      </c>
      <c r="H1460" s="10" t="s">
        <v>1135</v>
      </c>
      <c r="K1460" t="s">
        <v>19</v>
      </c>
      <c r="L1460" t="s">
        <v>20</v>
      </c>
      <c r="M1460" s="9">
        <v>7323939</v>
      </c>
      <c r="N1460" t="s">
        <v>3477</v>
      </c>
      <c r="O1460">
        <v>18</v>
      </c>
      <c r="P1460" t="s">
        <v>3477</v>
      </c>
      <c r="Q1460">
        <v>18</v>
      </c>
      <c r="R1460" s="13">
        <v>4500</v>
      </c>
      <c r="S1460" s="13">
        <v>2700</v>
      </c>
    </row>
    <row r="1461" spans="1:19">
      <c r="A1461" s="9" t="s">
        <v>23</v>
      </c>
      <c r="B1461" s="9" t="s">
        <v>25</v>
      </c>
      <c r="C1461" s="9" t="s">
        <v>157</v>
      </c>
      <c r="D1461" t="s">
        <v>204</v>
      </c>
      <c r="F1461" s="12" t="s">
        <v>2961</v>
      </c>
      <c r="G1461" s="10" t="s">
        <v>1136</v>
      </c>
      <c r="H1461" s="10" t="s">
        <v>1136</v>
      </c>
      <c r="K1461" t="s">
        <v>19</v>
      </c>
      <c r="L1461" t="s">
        <v>20</v>
      </c>
      <c r="M1461" s="9">
        <v>7323939</v>
      </c>
      <c r="N1461" t="s">
        <v>3477</v>
      </c>
      <c r="O1461">
        <v>18</v>
      </c>
      <c r="P1461" t="s">
        <v>3477</v>
      </c>
      <c r="Q1461">
        <v>18</v>
      </c>
      <c r="R1461" s="13">
        <v>5000</v>
      </c>
      <c r="S1461" s="13">
        <v>3000</v>
      </c>
    </row>
    <row r="1462" spans="1:19">
      <c r="A1462" s="9" t="s">
        <v>23</v>
      </c>
      <c r="B1462" s="9" t="s">
        <v>25</v>
      </c>
      <c r="C1462" s="9" t="s">
        <v>157</v>
      </c>
      <c r="D1462" t="s">
        <v>204</v>
      </c>
      <c r="F1462" s="12" t="s">
        <v>2962</v>
      </c>
      <c r="G1462" s="10" t="s">
        <v>1137</v>
      </c>
      <c r="H1462" s="10" t="s">
        <v>1137</v>
      </c>
      <c r="K1462" t="s">
        <v>19</v>
      </c>
      <c r="L1462" t="s">
        <v>20</v>
      </c>
      <c r="M1462" s="9">
        <v>7323939</v>
      </c>
      <c r="N1462" t="s">
        <v>3477</v>
      </c>
      <c r="O1462">
        <v>18</v>
      </c>
      <c r="P1462" t="s">
        <v>3477</v>
      </c>
      <c r="Q1462">
        <v>18</v>
      </c>
      <c r="R1462" s="13">
        <v>5500</v>
      </c>
      <c r="S1462" s="13">
        <v>3300</v>
      </c>
    </row>
    <row r="1463" spans="1:19">
      <c r="A1463" s="9" t="s">
        <v>23</v>
      </c>
      <c r="B1463" s="9" t="s">
        <v>25</v>
      </c>
      <c r="C1463" s="9" t="s">
        <v>157</v>
      </c>
      <c r="D1463" t="s">
        <v>204</v>
      </c>
      <c r="F1463" s="12" t="s">
        <v>2963</v>
      </c>
      <c r="G1463" s="10" t="s">
        <v>1138</v>
      </c>
      <c r="H1463" s="10" t="s">
        <v>1138</v>
      </c>
      <c r="K1463" t="s">
        <v>19</v>
      </c>
      <c r="L1463" t="s">
        <v>20</v>
      </c>
      <c r="M1463" s="9">
        <v>7323939</v>
      </c>
      <c r="N1463" t="s">
        <v>3477</v>
      </c>
      <c r="O1463">
        <v>18</v>
      </c>
      <c r="P1463" t="s">
        <v>3477</v>
      </c>
      <c r="Q1463">
        <v>18</v>
      </c>
      <c r="R1463" s="13">
        <v>6000</v>
      </c>
      <c r="S1463" s="13">
        <v>3600</v>
      </c>
    </row>
    <row r="1464" spans="1:19">
      <c r="A1464" s="9" t="s">
        <v>23</v>
      </c>
      <c r="B1464" s="9" t="s">
        <v>25</v>
      </c>
      <c r="C1464" s="9" t="s">
        <v>157</v>
      </c>
      <c r="D1464" t="s">
        <v>204</v>
      </c>
      <c r="F1464" s="12" t="s">
        <v>2964</v>
      </c>
      <c r="G1464" s="10" t="s">
        <v>1139</v>
      </c>
      <c r="H1464" s="10" t="s">
        <v>1139</v>
      </c>
      <c r="K1464" t="s">
        <v>19</v>
      </c>
      <c r="L1464" t="s">
        <v>20</v>
      </c>
      <c r="M1464" s="9">
        <v>7323939</v>
      </c>
      <c r="N1464" t="s">
        <v>3477</v>
      </c>
      <c r="O1464">
        <v>18</v>
      </c>
      <c r="P1464" t="s">
        <v>3477</v>
      </c>
      <c r="Q1464">
        <v>18</v>
      </c>
      <c r="R1464" s="13">
        <v>6500</v>
      </c>
      <c r="S1464" s="13">
        <v>3900</v>
      </c>
    </row>
    <row r="1465" spans="1:19">
      <c r="A1465" s="9" t="s">
        <v>23</v>
      </c>
      <c r="B1465" s="9" t="s">
        <v>25</v>
      </c>
      <c r="C1465" s="9" t="s">
        <v>157</v>
      </c>
      <c r="D1465" t="s">
        <v>204</v>
      </c>
      <c r="F1465" s="12" t="s">
        <v>2965</v>
      </c>
      <c r="G1465" s="10" t="s">
        <v>1140</v>
      </c>
      <c r="H1465" s="10" t="s">
        <v>1140</v>
      </c>
      <c r="K1465" t="s">
        <v>19</v>
      </c>
      <c r="L1465" t="s">
        <v>20</v>
      </c>
      <c r="M1465" s="9">
        <v>7323939</v>
      </c>
      <c r="N1465" t="s">
        <v>3477</v>
      </c>
      <c r="O1465">
        <v>18</v>
      </c>
      <c r="P1465" t="s">
        <v>3477</v>
      </c>
      <c r="Q1465">
        <v>18</v>
      </c>
      <c r="R1465" s="13">
        <v>7500</v>
      </c>
      <c r="S1465" s="13">
        <v>4500</v>
      </c>
    </row>
    <row r="1466" spans="1:19">
      <c r="A1466" s="9" t="s">
        <v>23</v>
      </c>
      <c r="B1466" s="9" t="s">
        <v>25</v>
      </c>
      <c r="C1466" s="9" t="s">
        <v>157</v>
      </c>
      <c r="D1466" t="s">
        <v>204</v>
      </c>
      <c r="F1466" s="12" t="s">
        <v>2966</v>
      </c>
      <c r="G1466" s="10" t="s">
        <v>1141</v>
      </c>
      <c r="H1466" s="10" t="s">
        <v>1141</v>
      </c>
      <c r="K1466" t="s">
        <v>19</v>
      </c>
      <c r="L1466" t="s">
        <v>20</v>
      </c>
      <c r="M1466" s="9">
        <v>7323939</v>
      </c>
      <c r="N1466" t="s">
        <v>3477</v>
      </c>
      <c r="O1466">
        <v>18</v>
      </c>
      <c r="P1466" t="s">
        <v>3477</v>
      </c>
      <c r="Q1466">
        <v>18</v>
      </c>
      <c r="R1466" s="13">
        <v>8500</v>
      </c>
      <c r="S1466" s="13">
        <v>5100</v>
      </c>
    </row>
    <row r="1467" spans="1:19">
      <c r="A1467" s="9" t="s">
        <v>23</v>
      </c>
      <c r="B1467" s="9" t="s">
        <v>35</v>
      </c>
      <c r="C1467" s="9" t="s">
        <v>186</v>
      </c>
      <c r="D1467" t="s">
        <v>204</v>
      </c>
      <c r="F1467" s="12" t="s">
        <v>2967</v>
      </c>
      <c r="G1467" s="10" t="s">
        <v>1142</v>
      </c>
      <c r="H1467" s="10" t="s">
        <v>1142</v>
      </c>
      <c r="K1467" t="s">
        <v>19</v>
      </c>
      <c r="L1467" t="s">
        <v>20</v>
      </c>
      <c r="M1467" s="9">
        <v>700991</v>
      </c>
      <c r="N1467" t="s">
        <v>3477</v>
      </c>
      <c r="O1467">
        <v>18</v>
      </c>
      <c r="P1467" t="s">
        <v>3477</v>
      </c>
      <c r="Q1467">
        <v>18</v>
      </c>
      <c r="R1467" s="13">
        <v>53000</v>
      </c>
      <c r="S1467" s="13">
        <v>31800</v>
      </c>
    </row>
    <row r="1468" spans="1:19">
      <c r="A1468" s="9" t="s">
        <v>23</v>
      </c>
      <c r="B1468" s="9" t="s">
        <v>27</v>
      </c>
      <c r="C1468" s="9" t="s">
        <v>100</v>
      </c>
      <c r="D1468" t="s">
        <v>204</v>
      </c>
      <c r="F1468" s="12" t="s">
        <v>2968</v>
      </c>
      <c r="G1468" s="10" t="s">
        <v>1143</v>
      </c>
      <c r="H1468" s="10" t="s">
        <v>1143</v>
      </c>
      <c r="K1468" t="s">
        <v>19</v>
      </c>
      <c r="L1468" t="s">
        <v>20</v>
      </c>
      <c r="M1468" s="9">
        <v>8481802</v>
      </c>
      <c r="N1468" t="s">
        <v>3477</v>
      </c>
      <c r="O1468">
        <v>18</v>
      </c>
      <c r="P1468" t="s">
        <v>3477</v>
      </c>
      <c r="Q1468">
        <v>18</v>
      </c>
      <c r="R1468" s="13">
        <v>95000</v>
      </c>
      <c r="S1468" s="13">
        <v>57000</v>
      </c>
    </row>
    <row r="1469" spans="1:19">
      <c r="A1469" s="9" t="s">
        <v>22</v>
      </c>
      <c r="B1469" s="9" t="s">
        <v>27</v>
      </c>
      <c r="C1469" s="9" t="s">
        <v>83</v>
      </c>
      <c r="D1469" t="s">
        <v>204</v>
      </c>
      <c r="F1469" s="12" t="s">
        <v>2969</v>
      </c>
      <c r="G1469" s="10" t="s">
        <v>1144</v>
      </c>
      <c r="H1469" s="10" t="s">
        <v>1144</v>
      </c>
      <c r="K1469" t="s">
        <v>19</v>
      </c>
      <c r="L1469" t="s">
        <v>20</v>
      </c>
      <c r="M1469" s="9">
        <v>8481802</v>
      </c>
      <c r="N1469" t="s">
        <v>3477</v>
      </c>
      <c r="O1469">
        <v>18</v>
      </c>
      <c r="P1469" t="s">
        <v>3477</v>
      </c>
      <c r="Q1469">
        <v>18</v>
      </c>
      <c r="R1469" s="13">
        <v>28000</v>
      </c>
      <c r="S1469" s="13">
        <v>19600</v>
      </c>
    </row>
    <row r="1470" spans="1:19">
      <c r="A1470" s="9" t="s">
        <v>22</v>
      </c>
      <c r="B1470" s="9" t="s">
        <v>27</v>
      </c>
      <c r="C1470" s="9" t="s">
        <v>83</v>
      </c>
      <c r="D1470" t="s">
        <v>204</v>
      </c>
      <c r="F1470" s="12" t="s">
        <v>2970</v>
      </c>
      <c r="G1470" s="10" t="s">
        <v>1145</v>
      </c>
      <c r="H1470" s="10" t="s">
        <v>1145</v>
      </c>
      <c r="K1470" t="s">
        <v>19</v>
      </c>
      <c r="L1470" t="s">
        <v>20</v>
      </c>
      <c r="M1470" s="9">
        <v>8481802</v>
      </c>
      <c r="N1470" t="s">
        <v>3477</v>
      </c>
      <c r="O1470">
        <v>18</v>
      </c>
      <c r="P1470" t="s">
        <v>3477</v>
      </c>
      <c r="Q1470">
        <v>18</v>
      </c>
      <c r="R1470" s="13">
        <v>30000</v>
      </c>
      <c r="S1470" s="13">
        <v>21000</v>
      </c>
    </row>
    <row r="1471" spans="1:19">
      <c r="A1471" s="9" t="s">
        <v>22</v>
      </c>
      <c r="B1471" s="9" t="s">
        <v>27</v>
      </c>
      <c r="C1471" s="9" t="s">
        <v>51</v>
      </c>
      <c r="D1471" t="s">
        <v>204</v>
      </c>
      <c r="F1471" s="12" t="s">
        <v>2971</v>
      </c>
      <c r="G1471" s="10" t="s">
        <v>1146</v>
      </c>
      <c r="H1471" s="10" t="s">
        <v>1146</v>
      </c>
      <c r="K1471" t="s">
        <v>19</v>
      </c>
      <c r="L1471" t="s">
        <v>20</v>
      </c>
      <c r="M1471" s="9">
        <v>8481909</v>
      </c>
      <c r="N1471" t="s">
        <v>3477</v>
      </c>
      <c r="O1471">
        <v>18</v>
      </c>
      <c r="P1471" t="s">
        <v>3477</v>
      </c>
      <c r="Q1471">
        <v>18</v>
      </c>
      <c r="R1471" s="13">
        <v>5640</v>
      </c>
      <c r="S1471" s="13">
        <v>3947.9999999999995</v>
      </c>
    </row>
    <row r="1472" spans="1:19">
      <c r="A1472" s="9" t="s">
        <v>23</v>
      </c>
      <c r="B1472" s="9" t="s">
        <v>26</v>
      </c>
      <c r="C1472" s="9" t="s">
        <v>72</v>
      </c>
      <c r="D1472" t="s">
        <v>204</v>
      </c>
      <c r="F1472" s="12" t="s">
        <v>2972</v>
      </c>
      <c r="G1472" s="10" t="s">
        <v>1147</v>
      </c>
      <c r="H1472" s="10" t="s">
        <v>1147</v>
      </c>
      <c r="K1472" t="s">
        <v>19</v>
      </c>
      <c r="L1472" t="s">
        <v>20</v>
      </c>
      <c r="M1472" s="9">
        <v>69101</v>
      </c>
      <c r="N1472" t="s">
        <v>3477</v>
      </c>
      <c r="O1472">
        <v>18</v>
      </c>
      <c r="P1472" t="s">
        <v>3477</v>
      </c>
      <c r="Q1472">
        <v>18</v>
      </c>
      <c r="R1472" s="13">
        <v>76670</v>
      </c>
      <c r="S1472" s="13">
        <v>46002</v>
      </c>
    </row>
    <row r="1473" spans="1:19">
      <c r="A1473" s="9" t="s">
        <v>22</v>
      </c>
      <c r="B1473" s="9" t="s">
        <v>26</v>
      </c>
      <c r="C1473" s="9" t="s">
        <v>72</v>
      </c>
      <c r="D1473" t="s">
        <v>204</v>
      </c>
      <c r="F1473" s="12" t="s">
        <v>2973</v>
      </c>
      <c r="G1473" s="10" t="s">
        <v>1148</v>
      </c>
      <c r="H1473" s="10" t="s">
        <v>1148</v>
      </c>
      <c r="K1473" t="s">
        <v>19</v>
      </c>
      <c r="L1473" t="s">
        <v>20</v>
      </c>
      <c r="M1473" s="9">
        <v>69101</v>
      </c>
      <c r="N1473" t="s">
        <v>3477</v>
      </c>
      <c r="O1473">
        <v>18</v>
      </c>
      <c r="P1473" t="s">
        <v>3477</v>
      </c>
      <c r="Q1473">
        <v>18</v>
      </c>
      <c r="R1473" s="13">
        <v>23000</v>
      </c>
      <c r="S1473" s="13">
        <v>16099.999999999998</v>
      </c>
    </row>
    <row r="1474" spans="1:19">
      <c r="A1474" s="9" t="s">
        <v>22</v>
      </c>
      <c r="B1474" s="9" t="s">
        <v>26</v>
      </c>
      <c r="C1474" s="9" t="s">
        <v>43</v>
      </c>
      <c r="D1474" t="s">
        <v>204</v>
      </c>
      <c r="F1474" s="12" t="s">
        <v>2974</v>
      </c>
      <c r="G1474" s="10" t="s">
        <v>1149</v>
      </c>
      <c r="H1474" s="10" t="s">
        <v>1149</v>
      </c>
      <c r="K1474" t="s">
        <v>19</v>
      </c>
      <c r="L1474" t="s">
        <v>20</v>
      </c>
      <c r="M1474" s="9">
        <v>69101</v>
      </c>
      <c r="N1474" t="s">
        <v>3477</v>
      </c>
      <c r="O1474">
        <v>18</v>
      </c>
      <c r="P1474" t="s">
        <v>3477</v>
      </c>
      <c r="Q1474">
        <v>18</v>
      </c>
      <c r="R1474" s="13">
        <v>15915</v>
      </c>
      <c r="S1474" s="13">
        <v>11140.5</v>
      </c>
    </row>
    <row r="1475" spans="1:19">
      <c r="A1475" s="9" t="s">
        <v>22</v>
      </c>
      <c r="B1475" s="9" t="s">
        <v>27</v>
      </c>
      <c r="C1475" s="9" t="s">
        <v>50</v>
      </c>
      <c r="D1475" t="s">
        <v>204</v>
      </c>
      <c r="F1475" s="12" t="s">
        <v>2975</v>
      </c>
      <c r="G1475" s="10" t="s">
        <v>1150</v>
      </c>
      <c r="H1475" s="10" t="s">
        <v>1150</v>
      </c>
      <c r="K1475" t="s">
        <v>19</v>
      </c>
      <c r="L1475" t="s">
        <v>20</v>
      </c>
      <c r="M1475" s="9">
        <v>731815</v>
      </c>
      <c r="N1475" t="s">
        <v>3477</v>
      </c>
      <c r="O1475">
        <v>18</v>
      </c>
      <c r="P1475" t="s">
        <v>3477</v>
      </c>
      <c r="Q1475">
        <v>18</v>
      </c>
      <c r="R1475" s="13">
        <v>291</v>
      </c>
      <c r="S1475" s="13">
        <v>203.7</v>
      </c>
    </row>
    <row r="1476" spans="1:19">
      <c r="A1476" s="9" t="s">
        <v>23</v>
      </c>
      <c r="B1476" s="9" t="s">
        <v>26</v>
      </c>
      <c r="C1476" s="9"/>
      <c r="D1476" t="s">
        <v>204</v>
      </c>
      <c r="F1476" s="12" t="s">
        <v>2976</v>
      </c>
      <c r="G1476" s="10" t="s">
        <v>1151</v>
      </c>
      <c r="H1476" s="10" t="s">
        <v>1151</v>
      </c>
      <c r="K1476" t="s">
        <v>19</v>
      </c>
      <c r="L1476" t="s">
        <v>20</v>
      </c>
      <c r="M1476" s="9">
        <v>69101</v>
      </c>
      <c r="N1476" t="s">
        <v>3477</v>
      </c>
      <c r="O1476">
        <v>18</v>
      </c>
      <c r="P1476" t="s">
        <v>3477</v>
      </c>
      <c r="Q1476">
        <v>18</v>
      </c>
      <c r="R1476" s="13">
        <v>366000</v>
      </c>
      <c r="S1476" s="13">
        <v>219600</v>
      </c>
    </row>
    <row r="1477" spans="1:19">
      <c r="A1477" s="9" t="s">
        <v>23</v>
      </c>
      <c r="B1477" s="9" t="s">
        <v>26</v>
      </c>
      <c r="C1477" s="9"/>
      <c r="D1477" t="s">
        <v>204</v>
      </c>
      <c r="F1477" s="12" t="s">
        <v>2977</v>
      </c>
      <c r="G1477" s="10" t="s">
        <v>1152</v>
      </c>
      <c r="H1477" s="10" t="s">
        <v>1152</v>
      </c>
      <c r="K1477" t="s">
        <v>19</v>
      </c>
      <c r="L1477" t="s">
        <v>20</v>
      </c>
      <c r="M1477" s="9">
        <v>69101</v>
      </c>
      <c r="N1477" t="s">
        <v>3477</v>
      </c>
      <c r="O1477">
        <v>18</v>
      </c>
      <c r="P1477" t="s">
        <v>3477</v>
      </c>
      <c r="Q1477">
        <v>18</v>
      </c>
      <c r="R1477" s="13">
        <v>282000</v>
      </c>
      <c r="S1477" s="13">
        <v>169200</v>
      </c>
    </row>
    <row r="1478" spans="1:19">
      <c r="A1478" s="9" t="s">
        <v>23</v>
      </c>
      <c r="B1478" s="9" t="s">
        <v>26</v>
      </c>
      <c r="C1478" s="9"/>
      <c r="D1478" t="s">
        <v>204</v>
      </c>
      <c r="F1478" s="12" t="s">
        <v>2978</v>
      </c>
      <c r="G1478" s="10" t="s">
        <v>1153</v>
      </c>
      <c r="H1478" s="10" t="s">
        <v>1153</v>
      </c>
      <c r="K1478" t="s">
        <v>19</v>
      </c>
      <c r="L1478" t="s">
        <v>20</v>
      </c>
      <c r="M1478" s="9">
        <v>69101</v>
      </c>
      <c r="N1478" t="s">
        <v>3477</v>
      </c>
      <c r="O1478">
        <v>18</v>
      </c>
      <c r="P1478" t="s">
        <v>3477</v>
      </c>
      <c r="Q1478">
        <v>18</v>
      </c>
      <c r="R1478" s="13">
        <v>450000</v>
      </c>
      <c r="S1478" s="13">
        <v>270000</v>
      </c>
    </row>
    <row r="1479" spans="1:19">
      <c r="A1479" s="9" t="s">
        <v>23</v>
      </c>
      <c r="B1479" s="9" t="s">
        <v>26</v>
      </c>
      <c r="C1479" s="9" t="s">
        <v>155</v>
      </c>
      <c r="D1479" t="s">
        <v>204</v>
      </c>
      <c r="F1479" s="12" t="s">
        <v>2979</v>
      </c>
      <c r="G1479" s="10" t="s">
        <v>1154</v>
      </c>
      <c r="H1479" s="10" t="s">
        <v>1154</v>
      </c>
      <c r="K1479" t="s">
        <v>19</v>
      </c>
      <c r="L1479" t="s">
        <v>20</v>
      </c>
      <c r="M1479" s="9">
        <v>39222</v>
      </c>
      <c r="N1479" t="s">
        <v>3477</v>
      </c>
      <c r="O1479">
        <v>18</v>
      </c>
      <c r="P1479" t="s">
        <v>3477</v>
      </c>
      <c r="Q1479">
        <v>18</v>
      </c>
      <c r="R1479" s="13">
        <v>120000</v>
      </c>
      <c r="S1479" s="13">
        <v>72000</v>
      </c>
    </row>
    <row r="1480" spans="1:19">
      <c r="A1480" s="9" t="s">
        <v>23</v>
      </c>
      <c r="B1480" s="9" t="s">
        <v>27</v>
      </c>
      <c r="C1480" s="9" t="s">
        <v>63</v>
      </c>
      <c r="D1480" t="s">
        <v>204</v>
      </c>
      <c r="F1480" s="12" t="s">
        <v>2980</v>
      </c>
      <c r="G1480" s="10" t="s">
        <v>1155</v>
      </c>
      <c r="H1480" s="10" t="s">
        <v>1155</v>
      </c>
      <c r="K1480" t="s">
        <v>19</v>
      </c>
      <c r="L1480" t="s">
        <v>20</v>
      </c>
      <c r="M1480" s="9">
        <v>8481802</v>
      </c>
      <c r="N1480" t="s">
        <v>3477</v>
      </c>
      <c r="O1480">
        <v>18</v>
      </c>
      <c r="P1480" t="s">
        <v>3477</v>
      </c>
      <c r="Q1480">
        <v>18</v>
      </c>
      <c r="R1480" s="13">
        <v>80000</v>
      </c>
      <c r="S1480" s="13">
        <v>48000</v>
      </c>
    </row>
    <row r="1481" spans="1:19">
      <c r="A1481" s="9" t="s">
        <v>22</v>
      </c>
      <c r="B1481" s="9" t="s">
        <v>27</v>
      </c>
      <c r="C1481" s="9" t="s">
        <v>50</v>
      </c>
      <c r="D1481" t="s">
        <v>204</v>
      </c>
      <c r="F1481" s="12" t="s">
        <v>2981</v>
      </c>
      <c r="G1481" s="10" t="s">
        <v>1156</v>
      </c>
      <c r="H1481" s="10" t="s">
        <v>1156</v>
      </c>
      <c r="K1481" t="s">
        <v>19</v>
      </c>
      <c r="L1481" t="s">
        <v>20</v>
      </c>
      <c r="M1481" s="9">
        <v>731815</v>
      </c>
      <c r="N1481" t="s">
        <v>3477</v>
      </c>
      <c r="O1481">
        <v>18</v>
      </c>
      <c r="P1481" t="s">
        <v>3477</v>
      </c>
      <c r="Q1481">
        <v>18</v>
      </c>
      <c r="R1481" s="13">
        <v>72</v>
      </c>
      <c r="S1481" s="13">
        <v>50.4</v>
      </c>
    </row>
    <row r="1482" spans="1:19">
      <c r="A1482" s="9" t="s">
        <v>23</v>
      </c>
      <c r="B1482" s="9" t="s">
        <v>26</v>
      </c>
      <c r="C1482" s="9" t="s">
        <v>150</v>
      </c>
      <c r="D1482" t="s">
        <v>204</v>
      </c>
      <c r="F1482" s="12" t="s">
        <v>2982</v>
      </c>
      <c r="G1482" s="10" t="s">
        <v>1157</v>
      </c>
      <c r="H1482" s="10" t="s">
        <v>1157</v>
      </c>
      <c r="K1482" t="s">
        <v>19</v>
      </c>
      <c r="L1482" t="s">
        <v>20</v>
      </c>
      <c r="M1482" s="9">
        <v>69101</v>
      </c>
      <c r="N1482" t="s">
        <v>3477</v>
      </c>
      <c r="O1482">
        <v>18</v>
      </c>
      <c r="P1482" t="s">
        <v>3477</v>
      </c>
      <c r="Q1482">
        <v>18</v>
      </c>
      <c r="R1482" s="13">
        <v>23400</v>
      </c>
      <c r="S1482" s="13">
        <v>14040</v>
      </c>
    </row>
    <row r="1483" spans="1:19">
      <c r="A1483" s="9" t="s">
        <v>23</v>
      </c>
      <c r="B1483" s="9" t="s">
        <v>26</v>
      </c>
      <c r="C1483" s="9" t="s">
        <v>76</v>
      </c>
      <c r="D1483" t="s">
        <v>204</v>
      </c>
      <c r="F1483" s="12" t="s">
        <v>2983</v>
      </c>
      <c r="G1483" s="10" t="s">
        <v>1158</v>
      </c>
      <c r="H1483" s="10" t="s">
        <v>1158</v>
      </c>
      <c r="K1483" t="s">
        <v>19</v>
      </c>
      <c r="L1483" t="s">
        <v>20</v>
      </c>
      <c r="M1483" s="9">
        <v>39222</v>
      </c>
      <c r="N1483" t="s">
        <v>3477</v>
      </c>
      <c r="O1483">
        <v>18</v>
      </c>
      <c r="P1483" t="s">
        <v>3477</v>
      </c>
      <c r="Q1483">
        <v>18</v>
      </c>
      <c r="R1483" s="13">
        <v>8000</v>
      </c>
      <c r="S1483" s="13">
        <v>4800</v>
      </c>
    </row>
    <row r="1484" spans="1:19">
      <c r="A1484" s="9" t="s">
        <v>22</v>
      </c>
      <c r="B1484" s="9" t="s">
        <v>26</v>
      </c>
      <c r="C1484" s="9" t="s">
        <v>127</v>
      </c>
      <c r="D1484" t="s">
        <v>204</v>
      </c>
      <c r="F1484" s="12" t="s">
        <v>2984</v>
      </c>
      <c r="G1484" s="10" t="s">
        <v>1159</v>
      </c>
      <c r="H1484" s="10" t="s">
        <v>1159</v>
      </c>
      <c r="K1484" t="s">
        <v>19</v>
      </c>
      <c r="L1484" t="s">
        <v>20</v>
      </c>
      <c r="M1484" s="9">
        <v>39229</v>
      </c>
      <c r="N1484" t="s">
        <v>3477</v>
      </c>
      <c r="O1484">
        <v>18</v>
      </c>
      <c r="P1484" t="s">
        <v>3477</v>
      </c>
      <c r="Q1484">
        <v>18</v>
      </c>
      <c r="R1484" s="13">
        <v>2050</v>
      </c>
      <c r="S1484" s="13">
        <v>1435</v>
      </c>
    </row>
    <row r="1485" spans="1:19">
      <c r="A1485" s="9" t="s">
        <v>24</v>
      </c>
      <c r="B1485" s="9" t="s">
        <v>26</v>
      </c>
      <c r="C1485" s="9" t="s">
        <v>103</v>
      </c>
      <c r="D1485" t="s">
        <v>204</v>
      </c>
      <c r="F1485" s="12" t="s">
        <v>2985</v>
      </c>
      <c r="G1485" s="10" t="s">
        <v>1159</v>
      </c>
      <c r="H1485" s="10" t="s">
        <v>1159</v>
      </c>
      <c r="K1485" t="s">
        <v>19</v>
      </c>
      <c r="L1485" t="s">
        <v>20</v>
      </c>
      <c r="M1485" s="9">
        <v>69101</v>
      </c>
      <c r="N1485" t="s">
        <v>3477</v>
      </c>
      <c r="O1485">
        <v>18</v>
      </c>
      <c r="P1485" t="s">
        <v>3477</v>
      </c>
      <c r="Q1485">
        <v>18</v>
      </c>
      <c r="R1485" s="13">
        <v>7500</v>
      </c>
      <c r="S1485" s="13">
        <v>5625</v>
      </c>
    </row>
    <row r="1486" spans="1:19">
      <c r="A1486" s="9" t="s">
        <v>24</v>
      </c>
      <c r="B1486" s="9" t="s">
        <v>26</v>
      </c>
      <c r="C1486" s="9" t="s">
        <v>103</v>
      </c>
      <c r="D1486" t="s">
        <v>204</v>
      </c>
      <c r="F1486" s="12" t="s">
        <v>2986</v>
      </c>
      <c r="G1486" s="10" t="s">
        <v>1160</v>
      </c>
      <c r="H1486" s="10" t="s">
        <v>1160</v>
      </c>
      <c r="K1486" t="s">
        <v>19</v>
      </c>
      <c r="L1486" t="s">
        <v>20</v>
      </c>
      <c r="M1486" s="9">
        <v>69101</v>
      </c>
      <c r="N1486" t="s">
        <v>3477</v>
      </c>
      <c r="O1486">
        <v>18</v>
      </c>
      <c r="P1486" t="s">
        <v>3477</v>
      </c>
      <c r="Q1486">
        <v>18</v>
      </c>
      <c r="R1486" s="13">
        <v>8625</v>
      </c>
      <c r="S1486" s="13">
        <v>6468.75</v>
      </c>
    </row>
    <row r="1487" spans="1:19">
      <c r="A1487" s="9" t="s">
        <v>22</v>
      </c>
      <c r="B1487" s="9" t="s">
        <v>26</v>
      </c>
      <c r="C1487" s="9" t="s">
        <v>76</v>
      </c>
      <c r="D1487" t="s">
        <v>204</v>
      </c>
      <c r="F1487" s="12" t="s">
        <v>2987</v>
      </c>
      <c r="G1487" s="10" t="s">
        <v>1161</v>
      </c>
      <c r="H1487" s="10" t="s">
        <v>1161</v>
      </c>
      <c r="K1487" t="s">
        <v>19</v>
      </c>
      <c r="L1487" t="s">
        <v>20</v>
      </c>
      <c r="M1487" s="9">
        <v>39222</v>
      </c>
      <c r="N1487" t="s">
        <v>3477</v>
      </c>
      <c r="O1487">
        <v>18</v>
      </c>
      <c r="P1487" t="s">
        <v>3477</v>
      </c>
      <c r="Q1487">
        <v>18</v>
      </c>
      <c r="R1487" s="13">
        <v>3630</v>
      </c>
      <c r="S1487" s="13">
        <v>2541</v>
      </c>
    </row>
    <row r="1488" spans="1:19">
      <c r="A1488" s="9" t="s">
        <v>22</v>
      </c>
      <c r="B1488" s="9" t="s">
        <v>26</v>
      </c>
      <c r="C1488" s="9" t="s">
        <v>85</v>
      </c>
      <c r="D1488" t="s">
        <v>204</v>
      </c>
      <c r="F1488" s="12" t="s">
        <v>2988</v>
      </c>
      <c r="G1488" s="10" t="s">
        <v>1162</v>
      </c>
      <c r="H1488" s="10" t="s">
        <v>1162</v>
      </c>
      <c r="K1488" t="s">
        <v>19</v>
      </c>
      <c r="L1488" t="s">
        <v>20</v>
      </c>
      <c r="M1488" s="9">
        <v>69101</v>
      </c>
      <c r="N1488" t="s">
        <v>3477</v>
      </c>
      <c r="O1488">
        <v>18</v>
      </c>
      <c r="P1488" t="s">
        <v>3477</v>
      </c>
      <c r="Q1488">
        <v>18</v>
      </c>
      <c r="R1488" s="13">
        <v>35590</v>
      </c>
      <c r="S1488" s="13">
        <v>24913</v>
      </c>
    </row>
    <row r="1489" spans="1:19">
      <c r="A1489" s="9" t="s">
        <v>22</v>
      </c>
      <c r="B1489" s="9" t="s">
        <v>30</v>
      </c>
      <c r="C1489" s="9" t="s">
        <v>50</v>
      </c>
      <c r="D1489" t="s">
        <v>204</v>
      </c>
      <c r="F1489" s="12" t="s">
        <v>2989</v>
      </c>
      <c r="G1489" s="10" t="s">
        <v>1162</v>
      </c>
      <c r="H1489" s="10" t="s">
        <v>1162</v>
      </c>
      <c r="K1489" t="s">
        <v>19</v>
      </c>
      <c r="L1489" t="s">
        <v>20</v>
      </c>
      <c r="M1489" s="9">
        <v>7419999</v>
      </c>
      <c r="N1489" t="s">
        <v>3477</v>
      </c>
      <c r="O1489">
        <v>18</v>
      </c>
      <c r="P1489" t="s">
        <v>3477</v>
      </c>
      <c r="Q1489">
        <v>18</v>
      </c>
      <c r="R1489" s="13">
        <v>1151</v>
      </c>
      <c r="S1489" s="13">
        <v>805.69999999999993</v>
      </c>
    </row>
    <row r="1490" spans="1:19">
      <c r="A1490" s="9" t="s">
        <v>22</v>
      </c>
      <c r="B1490" s="9" t="s">
        <v>30</v>
      </c>
      <c r="C1490" s="9" t="s">
        <v>50</v>
      </c>
      <c r="D1490" t="s">
        <v>204</v>
      </c>
      <c r="F1490" s="12" t="s">
        <v>2990</v>
      </c>
      <c r="G1490" s="10" t="s">
        <v>1163</v>
      </c>
      <c r="H1490" s="10" t="s">
        <v>1163</v>
      </c>
      <c r="K1490" t="s">
        <v>19</v>
      </c>
      <c r="L1490" t="s">
        <v>20</v>
      </c>
      <c r="M1490" s="9">
        <v>7418202</v>
      </c>
      <c r="N1490" t="s">
        <v>3477</v>
      </c>
      <c r="O1490">
        <v>18</v>
      </c>
      <c r="P1490" t="s">
        <v>3477</v>
      </c>
      <c r="Q1490">
        <v>18</v>
      </c>
      <c r="R1490" s="13">
        <v>3266</v>
      </c>
      <c r="S1490" s="13">
        <v>2286.1999999999998</v>
      </c>
    </row>
    <row r="1491" spans="1:19">
      <c r="A1491" s="9" t="s">
        <v>22</v>
      </c>
      <c r="B1491" s="9" t="s">
        <v>27</v>
      </c>
      <c r="C1491" s="9" t="s">
        <v>50</v>
      </c>
      <c r="D1491" t="s">
        <v>204</v>
      </c>
      <c r="F1491" s="12" t="s">
        <v>2991</v>
      </c>
      <c r="G1491" s="10" t="s">
        <v>249</v>
      </c>
      <c r="H1491" s="10" t="s">
        <v>249</v>
      </c>
      <c r="K1491" t="s">
        <v>19</v>
      </c>
      <c r="L1491" t="s">
        <v>20</v>
      </c>
      <c r="M1491" s="9">
        <v>8481809</v>
      </c>
      <c r="N1491" t="s">
        <v>3477</v>
      </c>
      <c r="O1491">
        <v>18</v>
      </c>
      <c r="P1491" t="s">
        <v>3477</v>
      </c>
      <c r="Q1491">
        <v>18</v>
      </c>
      <c r="R1491" s="13">
        <v>1328</v>
      </c>
      <c r="S1491" s="13">
        <v>929.59999999999991</v>
      </c>
    </row>
    <row r="1492" spans="1:19">
      <c r="A1492" s="9" t="s">
        <v>22</v>
      </c>
      <c r="B1492" s="9" t="s">
        <v>30</v>
      </c>
      <c r="C1492" s="9" t="s">
        <v>50</v>
      </c>
      <c r="D1492" t="s">
        <v>204</v>
      </c>
      <c r="F1492" s="12" t="s">
        <v>2992</v>
      </c>
      <c r="G1492" s="10" t="s">
        <v>1164</v>
      </c>
      <c r="H1492" s="10" t="s">
        <v>1164</v>
      </c>
      <c r="K1492" t="s">
        <v>19</v>
      </c>
      <c r="L1492" t="s">
        <v>20</v>
      </c>
      <c r="M1492" s="9">
        <v>8481801</v>
      </c>
      <c r="N1492" t="s">
        <v>3477</v>
      </c>
      <c r="O1492">
        <v>18</v>
      </c>
      <c r="P1492" t="s">
        <v>3477</v>
      </c>
      <c r="Q1492">
        <v>18</v>
      </c>
      <c r="R1492" s="13">
        <v>55</v>
      </c>
      <c r="S1492" s="13">
        <v>38.5</v>
      </c>
    </row>
    <row r="1493" spans="1:19">
      <c r="A1493" s="9" t="s">
        <v>22</v>
      </c>
      <c r="B1493" s="9" t="s">
        <v>27</v>
      </c>
      <c r="C1493" s="9" t="s">
        <v>50</v>
      </c>
      <c r="D1493" t="s">
        <v>204</v>
      </c>
      <c r="F1493" s="12" t="s">
        <v>2993</v>
      </c>
      <c r="G1493" s="10" t="s">
        <v>1165</v>
      </c>
      <c r="H1493" s="10" t="s">
        <v>1165</v>
      </c>
      <c r="K1493" t="s">
        <v>19</v>
      </c>
      <c r="L1493" t="s">
        <v>20</v>
      </c>
      <c r="M1493" s="9">
        <v>7907009</v>
      </c>
      <c r="N1493" t="s">
        <v>3477</v>
      </c>
      <c r="O1493">
        <v>18</v>
      </c>
      <c r="P1493" t="s">
        <v>3477</v>
      </c>
      <c r="Q1493">
        <v>18</v>
      </c>
      <c r="R1493" s="13">
        <v>829</v>
      </c>
      <c r="S1493" s="13">
        <v>580.29999999999995</v>
      </c>
    </row>
    <row r="1494" spans="1:19">
      <c r="A1494" s="9" t="s">
        <v>22</v>
      </c>
      <c r="B1494" s="9" t="s">
        <v>26</v>
      </c>
      <c r="C1494" s="9" t="s">
        <v>85</v>
      </c>
      <c r="D1494" t="s">
        <v>204</v>
      </c>
      <c r="F1494" s="12" t="s">
        <v>2994</v>
      </c>
      <c r="G1494" s="10" t="s">
        <v>1166</v>
      </c>
      <c r="H1494" s="10" t="s">
        <v>1166</v>
      </c>
      <c r="K1494" t="s">
        <v>19</v>
      </c>
      <c r="L1494" t="s">
        <v>20</v>
      </c>
      <c r="M1494" s="9">
        <v>69101</v>
      </c>
      <c r="N1494" t="s">
        <v>3477</v>
      </c>
      <c r="O1494">
        <v>18</v>
      </c>
      <c r="P1494" t="s">
        <v>3477</v>
      </c>
      <c r="Q1494">
        <v>18</v>
      </c>
      <c r="R1494" s="13">
        <v>11400</v>
      </c>
      <c r="S1494" s="13">
        <v>7979.9999999999991</v>
      </c>
    </row>
    <row r="1495" spans="1:19">
      <c r="A1495" s="9" t="s">
        <v>22</v>
      </c>
      <c r="B1495" s="9" t="s">
        <v>27</v>
      </c>
      <c r="C1495" s="9" t="s">
        <v>50</v>
      </c>
      <c r="D1495" t="s">
        <v>204</v>
      </c>
      <c r="F1495" s="12" t="s">
        <v>2995</v>
      </c>
      <c r="G1495" s="10" t="s">
        <v>1167</v>
      </c>
      <c r="H1495" s="10" t="s">
        <v>1167</v>
      </c>
      <c r="K1495" t="s">
        <v>19</v>
      </c>
      <c r="L1495" t="s">
        <v>20</v>
      </c>
      <c r="M1495" s="9">
        <v>39229</v>
      </c>
      <c r="N1495" t="s">
        <v>3477</v>
      </c>
      <c r="O1495">
        <v>18</v>
      </c>
      <c r="P1495" t="s">
        <v>3477</v>
      </c>
      <c r="Q1495">
        <v>18</v>
      </c>
      <c r="R1495" s="13">
        <v>2677</v>
      </c>
      <c r="S1495" s="13">
        <v>1873.8999999999999</v>
      </c>
    </row>
    <row r="1496" spans="1:19">
      <c r="A1496" s="9" t="s">
        <v>22</v>
      </c>
      <c r="B1496" s="9" t="s">
        <v>27</v>
      </c>
      <c r="C1496" s="9" t="s">
        <v>50</v>
      </c>
      <c r="D1496" t="s">
        <v>204</v>
      </c>
      <c r="F1496" s="12" t="s">
        <v>2996</v>
      </c>
      <c r="G1496" s="10" t="s">
        <v>1168</v>
      </c>
      <c r="H1496" s="10" t="s">
        <v>1168</v>
      </c>
      <c r="K1496" t="s">
        <v>19</v>
      </c>
      <c r="L1496" t="s">
        <v>20</v>
      </c>
      <c r="M1496" s="9">
        <v>7418</v>
      </c>
      <c r="N1496" t="s">
        <v>3477</v>
      </c>
      <c r="O1496">
        <v>18</v>
      </c>
      <c r="P1496" t="s">
        <v>3477</v>
      </c>
      <c r="Q1496">
        <v>18</v>
      </c>
      <c r="R1496" s="13">
        <v>2856</v>
      </c>
      <c r="S1496" s="13">
        <v>1999.1999999999998</v>
      </c>
    </row>
    <row r="1497" spans="1:19">
      <c r="A1497" s="9" t="s">
        <v>22</v>
      </c>
      <c r="B1497" s="9" t="s">
        <v>27</v>
      </c>
      <c r="C1497" s="9" t="s">
        <v>50</v>
      </c>
      <c r="D1497" t="s">
        <v>204</v>
      </c>
      <c r="F1497" s="12" t="s">
        <v>2997</v>
      </c>
      <c r="G1497" s="10" t="s">
        <v>190</v>
      </c>
      <c r="H1497" s="10" t="s">
        <v>190</v>
      </c>
      <c r="K1497" t="s">
        <v>19</v>
      </c>
      <c r="L1497" t="s">
        <v>20</v>
      </c>
      <c r="M1497" s="9">
        <v>8481</v>
      </c>
      <c r="N1497" t="s">
        <v>3477</v>
      </c>
      <c r="O1497">
        <v>18</v>
      </c>
      <c r="P1497" t="s">
        <v>3477</v>
      </c>
      <c r="Q1497">
        <v>18</v>
      </c>
      <c r="R1497" s="13">
        <v>2583</v>
      </c>
      <c r="S1497" s="13">
        <v>1808.1</v>
      </c>
    </row>
    <row r="1498" spans="1:19">
      <c r="A1498" s="9" t="s">
        <v>22</v>
      </c>
      <c r="B1498" s="9" t="s">
        <v>27</v>
      </c>
      <c r="C1498" s="9" t="s">
        <v>50</v>
      </c>
      <c r="D1498" t="s">
        <v>204</v>
      </c>
      <c r="F1498" s="12" t="s">
        <v>2998</v>
      </c>
      <c r="G1498" s="10" t="s">
        <v>1169</v>
      </c>
      <c r="H1498" s="10" t="s">
        <v>1169</v>
      </c>
      <c r="K1498" t="s">
        <v>19</v>
      </c>
      <c r="L1498" t="s">
        <v>20</v>
      </c>
      <c r="M1498" s="9">
        <v>8481</v>
      </c>
      <c r="N1498" t="s">
        <v>3477</v>
      </c>
      <c r="O1498">
        <v>18</v>
      </c>
      <c r="P1498" t="s">
        <v>3477</v>
      </c>
      <c r="Q1498">
        <v>18</v>
      </c>
      <c r="R1498" s="13">
        <v>3149</v>
      </c>
      <c r="S1498" s="13">
        <v>2204.2999999999997</v>
      </c>
    </row>
    <row r="1499" spans="1:19">
      <c r="A1499" s="9" t="s">
        <v>22</v>
      </c>
      <c r="B1499" s="9" t="s">
        <v>27</v>
      </c>
      <c r="C1499" s="9" t="s">
        <v>50</v>
      </c>
      <c r="D1499" t="s">
        <v>204</v>
      </c>
      <c r="F1499" s="12" t="s">
        <v>2999</v>
      </c>
      <c r="G1499" s="10" t="s">
        <v>1170</v>
      </c>
      <c r="H1499" s="10" t="s">
        <v>1170</v>
      </c>
      <c r="K1499" t="s">
        <v>19</v>
      </c>
      <c r="L1499" t="s">
        <v>20</v>
      </c>
      <c r="M1499" s="9">
        <v>3922</v>
      </c>
      <c r="N1499" t="s">
        <v>3477</v>
      </c>
      <c r="O1499">
        <v>18</v>
      </c>
      <c r="P1499" t="s">
        <v>3477</v>
      </c>
      <c r="Q1499">
        <v>18</v>
      </c>
      <c r="R1499" s="13">
        <v>406</v>
      </c>
      <c r="S1499" s="13">
        <v>284.2</v>
      </c>
    </row>
    <row r="1500" spans="1:19">
      <c r="A1500" s="9" t="s">
        <v>22</v>
      </c>
      <c r="B1500" s="9" t="s">
        <v>26</v>
      </c>
      <c r="C1500" s="9" t="s">
        <v>87</v>
      </c>
      <c r="D1500" t="s">
        <v>204</v>
      </c>
      <c r="F1500" s="12" t="s">
        <v>3000</v>
      </c>
      <c r="G1500" s="10" t="s">
        <v>1171</v>
      </c>
      <c r="H1500" s="10" t="s">
        <v>1171</v>
      </c>
      <c r="K1500" t="s">
        <v>19</v>
      </c>
      <c r="L1500" t="s">
        <v>20</v>
      </c>
      <c r="M1500" s="9">
        <v>69101</v>
      </c>
      <c r="N1500" t="s">
        <v>3477</v>
      </c>
      <c r="O1500">
        <v>18</v>
      </c>
      <c r="P1500" t="s">
        <v>3477</v>
      </c>
      <c r="Q1500">
        <v>18</v>
      </c>
      <c r="R1500" s="13">
        <v>32000</v>
      </c>
      <c r="S1500" s="13">
        <v>22400</v>
      </c>
    </row>
    <row r="1501" spans="1:19">
      <c r="A1501" s="9" t="s">
        <v>23</v>
      </c>
      <c r="B1501" s="9" t="s">
        <v>26</v>
      </c>
      <c r="C1501" s="9" t="s">
        <v>76</v>
      </c>
      <c r="D1501" t="s">
        <v>204</v>
      </c>
      <c r="F1501" s="12" t="s">
        <v>3001</v>
      </c>
      <c r="G1501" s="10" t="s">
        <v>1172</v>
      </c>
      <c r="H1501" s="10" t="s">
        <v>1172</v>
      </c>
      <c r="K1501" t="s">
        <v>19</v>
      </c>
      <c r="L1501" t="s">
        <v>20</v>
      </c>
      <c r="M1501" s="9">
        <v>39222</v>
      </c>
      <c r="N1501" t="s">
        <v>3477</v>
      </c>
      <c r="O1501">
        <v>18</v>
      </c>
      <c r="P1501" t="s">
        <v>3477</v>
      </c>
      <c r="Q1501">
        <v>18</v>
      </c>
      <c r="R1501" s="13">
        <v>15550</v>
      </c>
      <c r="S1501" s="13">
        <v>9330</v>
      </c>
    </row>
    <row r="1502" spans="1:19">
      <c r="A1502" s="9" t="s">
        <v>22</v>
      </c>
      <c r="B1502" s="9" t="s">
        <v>26</v>
      </c>
      <c r="C1502" s="9" t="s">
        <v>86</v>
      </c>
      <c r="D1502" t="s">
        <v>204</v>
      </c>
      <c r="F1502" s="12" t="s">
        <v>3002</v>
      </c>
      <c r="G1502" s="10" t="s">
        <v>1173</v>
      </c>
      <c r="H1502" s="10" t="s">
        <v>1173</v>
      </c>
      <c r="K1502" t="s">
        <v>19</v>
      </c>
      <c r="L1502" t="s">
        <v>20</v>
      </c>
      <c r="M1502" s="9">
        <v>69101</v>
      </c>
      <c r="N1502" t="s">
        <v>3477</v>
      </c>
      <c r="O1502">
        <v>18</v>
      </c>
      <c r="P1502" t="s">
        <v>3477</v>
      </c>
      <c r="Q1502">
        <v>18</v>
      </c>
      <c r="R1502" s="13">
        <v>13000</v>
      </c>
      <c r="S1502" s="13">
        <v>9100</v>
      </c>
    </row>
    <row r="1503" spans="1:19">
      <c r="A1503" s="9" t="s">
        <v>23</v>
      </c>
      <c r="B1503" s="9" t="s">
        <v>26</v>
      </c>
      <c r="C1503" s="9" t="s">
        <v>43</v>
      </c>
      <c r="D1503" t="s">
        <v>204</v>
      </c>
      <c r="F1503" s="12" t="s">
        <v>3003</v>
      </c>
      <c r="G1503" s="10" t="s">
        <v>1174</v>
      </c>
      <c r="H1503" s="10" t="s">
        <v>1174</v>
      </c>
      <c r="K1503" t="s">
        <v>19</v>
      </c>
      <c r="L1503" t="s">
        <v>20</v>
      </c>
      <c r="M1503" s="9">
        <v>69101</v>
      </c>
      <c r="N1503" t="s">
        <v>3477</v>
      </c>
      <c r="O1503">
        <v>18</v>
      </c>
      <c r="P1503" t="s">
        <v>3477</v>
      </c>
      <c r="Q1503">
        <v>18</v>
      </c>
      <c r="R1503" s="13">
        <v>35530</v>
      </c>
      <c r="S1503" s="13">
        <v>21318</v>
      </c>
    </row>
    <row r="1504" spans="1:19">
      <c r="A1504" s="9" t="s">
        <v>22</v>
      </c>
      <c r="B1504" s="9" t="s">
        <v>26</v>
      </c>
      <c r="C1504" s="9" t="s">
        <v>86</v>
      </c>
      <c r="D1504" t="s">
        <v>204</v>
      </c>
      <c r="F1504" s="12" t="s">
        <v>3004</v>
      </c>
      <c r="G1504" s="10" t="s">
        <v>1175</v>
      </c>
      <c r="H1504" s="10" t="s">
        <v>1175</v>
      </c>
      <c r="K1504" t="s">
        <v>19</v>
      </c>
      <c r="L1504" t="s">
        <v>20</v>
      </c>
      <c r="M1504" s="9">
        <v>69101</v>
      </c>
      <c r="N1504" t="s">
        <v>3477</v>
      </c>
      <c r="O1504">
        <v>18</v>
      </c>
      <c r="P1504" t="s">
        <v>3477</v>
      </c>
      <c r="Q1504">
        <v>18</v>
      </c>
      <c r="R1504" s="13">
        <v>10600</v>
      </c>
      <c r="S1504" s="13">
        <v>7419.9999999999991</v>
      </c>
    </row>
    <row r="1505" spans="1:19">
      <c r="A1505" s="9" t="s">
        <v>22</v>
      </c>
      <c r="B1505" s="9" t="s">
        <v>26</v>
      </c>
      <c r="C1505" s="9" t="s">
        <v>86</v>
      </c>
      <c r="D1505" t="s">
        <v>204</v>
      </c>
      <c r="F1505" s="12" t="s">
        <v>3005</v>
      </c>
      <c r="G1505" s="10" t="s">
        <v>1176</v>
      </c>
      <c r="H1505" s="10" t="s">
        <v>1176</v>
      </c>
      <c r="K1505" t="s">
        <v>19</v>
      </c>
      <c r="L1505" t="s">
        <v>20</v>
      </c>
      <c r="M1505" s="9">
        <v>69101</v>
      </c>
      <c r="N1505" t="s">
        <v>3477</v>
      </c>
      <c r="O1505">
        <v>18</v>
      </c>
      <c r="P1505" t="s">
        <v>3477</v>
      </c>
      <c r="Q1505">
        <v>18</v>
      </c>
      <c r="R1505" s="13">
        <v>28180</v>
      </c>
      <c r="S1505" s="13">
        <v>19726</v>
      </c>
    </row>
    <row r="1506" spans="1:19">
      <c r="A1506" s="9" t="s">
        <v>22</v>
      </c>
      <c r="B1506" s="9" t="s">
        <v>27</v>
      </c>
      <c r="C1506" s="9" t="s">
        <v>50</v>
      </c>
      <c r="D1506" t="s">
        <v>204</v>
      </c>
      <c r="F1506" s="12" t="s">
        <v>3006</v>
      </c>
      <c r="G1506" s="10" t="s">
        <v>1177</v>
      </c>
      <c r="H1506" s="10" t="s">
        <v>1177</v>
      </c>
      <c r="K1506" t="s">
        <v>19</v>
      </c>
      <c r="L1506" t="s">
        <v>20</v>
      </c>
      <c r="M1506" s="9">
        <v>8481801</v>
      </c>
      <c r="N1506" t="s">
        <v>3477</v>
      </c>
      <c r="O1506">
        <v>18</v>
      </c>
      <c r="P1506" t="s">
        <v>3477</v>
      </c>
      <c r="Q1506">
        <v>18</v>
      </c>
      <c r="R1506" s="13">
        <v>28320</v>
      </c>
      <c r="S1506" s="13">
        <v>19824</v>
      </c>
    </row>
    <row r="1507" spans="1:19">
      <c r="A1507" s="9" t="s">
        <v>22</v>
      </c>
      <c r="B1507" s="9" t="s">
        <v>27</v>
      </c>
      <c r="C1507" s="9" t="s">
        <v>64</v>
      </c>
      <c r="D1507" t="s">
        <v>204</v>
      </c>
      <c r="F1507" s="12" t="s">
        <v>3007</v>
      </c>
      <c r="G1507" s="10" t="s">
        <v>1178</v>
      </c>
      <c r="H1507" s="10" t="s">
        <v>1178</v>
      </c>
      <c r="K1507" t="s">
        <v>19</v>
      </c>
      <c r="L1507" t="s">
        <v>20</v>
      </c>
      <c r="M1507" s="9">
        <v>8481801</v>
      </c>
      <c r="N1507" t="s">
        <v>3477</v>
      </c>
      <c r="O1507">
        <v>18</v>
      </c>
      <c r="P1507" t="s">
        <v>3477</v>
      </c>
      <c r="Q1507">
        <v>18</v>
      </c>
      <c r="R1507" s="13">
        <v>8140</v>
      </c>
      <c r="S1507" s="13">
        <v>5698</v>
      </c>
    </row>
    <row r="1508" spans="1:19">
      <c r="A1508" s="9" t="s">
        <v>23</v>
      </c>
      <c r="B1508" s="9" t="s">
        <v>27</v>
      </c>
      <c r="C1508" s="9" t="s">
        <v>94</v>
      </c>
      <c r="D1508" t="s">
        <v>204</v>
      </c>
      <c r="F1508" s="12" t="s">
        <v>3008</v>
      </c>
      <c r="G1508" s="10" t="s">
        <v>1179</v>
      </c>
      <c r="H1508" s="10" t="s">
        <v>1179</v>
      </c>
      <c r="K1508" t="s">
        <v>19</v>
      </c>
      <c r="L1508" t="s">
        <v>20</v>
      </c>
      <c r="M1508" s="9">
        <v>8481802</v>
      </c>
      <c r="N1508" t="s">
        <v>3477</v>
      </c>
      <c r="O1508">
        <v>18</v>
      </c>
      <c r="P1508" t="s">
        <v>3477</v>
      </c>
      <c r="Q1508">
        <v>18</v>
      </c>
      <c r="R1508" s="13">
        <v>210000</v>
      </c>
      <c r="S1508" s="13">
        <v>126000</v>
      </c>
    </row>
    <row r="1509" spans="1:19">
      <c r="A1509" s="9" t="s">
        <v>22</v>
      </c>
      <c r="B1509" s="9" t="s">
        <v>27</v>
      </c>
      <c r="C1509" s="9" t="s">
        <v>94</v>
      </c>
      <c r="D1509" t="s">
        <v>204</v>
      </c>
      <c r="F1509" s="12" t="s">
        <v>3009</v>
      </c>
      <c r="G1509" s="10" t="s">
        <v>1179</v>
      </c>
      <c r="H1509" s="10" t="s">
        <v>1179</v>
      </c>
      <c r="K1509" t="s">
        <v>19</v>
      </c>
      <c r="L1509" t="s">
        <v>20</v>
      </c>
      <c r="M1509" s="9">
        <v>8481802</v>
      </c>
      <c r="N1509" t="s">
        <v>3477</v>
      </c>
      <c r="O1509">
        <v>18</v>
      </c>
      <c r="P1509" t="s">
        <v>3477</v>
      </c>
      <c r="Q1509">
        <v>18</v>
      </c>
      <c r="R1509" s="13">
        <v>40800</v>
      </c>
      <c r="S1509" s="13">
        <v>28560</v>
      </c>
    </row>
    <row r="1510" spans="1:19">
      <c r="A1510" s="9" t="s">
        <v>22</v>
      </c>
      <c r="B1510" s="9" t="s">
        <v>27</v>
      </c>
      <c r="C1510" s="9" t="s">
        <v>94</v>
      </c>
      <c r="D1510" t="s">
        <v>204</v>
      </c>
      <c r="F1510" s="12" t="s">
        <v>3010</v>
      </c>
      <c r="G1510" s="10" t="s">
        <v>1180</v>
      </c>
      <c r="H1510" s="10" t="s">
        <v>1180</v>
      </c>
      <c r="K1510" t="s">
        <v>19</v>
      </c>
      <c r="L1510" t="s">
        <v>20</v>
      </c>
      <c r="M1510" s="9">
        <v>8481802</v>
      </c>
      <c r="N1510" t="s">
        <v>3477</v>
      </c>
      <c r="O1510">
        <v>18</v>
      </c>
      <c r="P1510" t="s">
        <v>3477</v>
      </c>
      <c r="Q1510">
        <v>18</v>
      </c>
      <c r="R1510" s="13">
        <v>91320</v>
      </c>
      <c r="S1510" s="13">
        <v>63923.999999999993</v>
      </c>
    </row>
    <row r="1511" spans="1:19">
      <c r="A1511" s="9" t="s">
        <v>22</v>
      </c>
      <c r="B1511" s="9" t="s">
        <v>27</v>
      </c>
      <c r="C1511" s="9" t="s">
        <v>134</v>
      </c>
      <c r="D1511" t="s">
        <v>204</v>
      </c>
      <c r="F1511" s="12" t="s">
        <v>3011</v>
      </c>
      <c r="G1511" s="10" t="s">
        <v>112</v>
      </c>
      <c r="H1511" s="10" t="s">
        <v>112</v>
      </c>
      <c r="K1511" t="s">
        <v>19</v>
      </c>
      <c r="L1511" t="s">
        <v>20</v>
      </c>
      <c r="M1511" s="9">
        <v>73241</v>
      </c>
      <c r="N1511" t="s">
        <v>3477</v>
      </c>
      <c r="O1511">
        <v>18</v>
      </c>
      <c r="P1511" t="s">
        <v>3477</v>
      </c>
      <c r="Q1511">
        <v>18</v>
      </c>
      <c r="R1511" s="13">
        <v>20570</v>
      </c>
      <c r="S1511" s="13">
        <v>14398.999999999998</v>
      </c>
    </row>
    <row r="1512" spans="1:19">
      <c r="A1512" s="9" t="s">
        <v>24</v>
      </c>
      <c r="B1512" s="9" t="s">
        <v>27</v>
      </c>
      <c r="C1512" s="9" t="s">
        <v>112</v>
      </c>
      <c r="D1512" t="s">
        <v>204</v>
      </c>
      <c r="F1512" s="12" t="s">
        <v>3012</v>
      </c>
      <c r="G1512" s="10" t="s">
        <v>1181</v>
      </c>
      <c r="H1512" s="10" t="s">
        <v>1181</v>
      </c>
      <c r="K1512" t="s">
        <v>19</v>
      </c>
      <c r="L1512" t="s">
        <v>20</v>
      </c>
      <c r="M1512" s="9">
        <v>7418202</v>
      </c>
      <c r="N1512" t="s">
        <v>3477</v>
      </c>
      <c r="O1512">
        <v>18</v>
      </c>
      <c r="P1512" t="s">
        <v>3477</v>
      </c>
      <c r="Q1512">
        <v>18</v>
      </c>
      <c r="R1512" s="13">
        <v>1100</v>
      </c>
      <c r="S1512" s="13">
        <v>825</v>
      </c>
    </row>
    <row r="1513" spans="1:19">
      <c r="A1513" s="9" t="s">
        <v>24</v>
      </c>
      <c r="B1513" s="9" t="s">
        <v>27</v>
      </c>
      <c r="C1513" s="9" t="s">
        <v>112</v>
      </c>
      <c r="D1513" t="s">
        <v>204</v>
      </c>
      <c r="F1513" s="12" t="s">
        <v>3013</v>
      </c>
      <c r="G1513" s="10" t="s">
        <v>1181</v>
      </c>
      <c r="H1513" s="10" t="s">
        <v>1181</v>
      </c>
      <c r="K1513" t="s">
        <v>19</v>
      </c>
      <c r="L1513" t="s">
        <v>20</v>
      </c>
      <c r="M1513" s="9">
        <v>7418202</v>
      </c>
      <c r="N1513" t="s">
        <v>3477</v>
      </c>
      <c r="O1513">
        <v>18</v>
      </c>
      <c r="P1513" t="s">
        <v>3477</v>
      </c>
      <c r="Q1513">
        <v>18</v>
      </c>
      <c r="R1513" s="13">
        <v>900</v>
      </c>
      <c r="S1513" s="13">
        <v>675</v>
      </c>
    </row>
    <row r="1514" spans="1:19">
      <c r="A1514" s="9" t="s">
        <v>24</v>
      </c>
      <c r="B1514" s="9" t="s">
        <v>27</v>
      </c>
      <c r="C1514" s="9" t="s">
        <v>112</v>
      </c>
      <c r="D1514" t="s">
        <v>204</v>
      </c>
      <c r="F1514" s="12" t="s">
        <v>3014</v>
      </c>
      <c r="G1514" s="10" t="s">
        <v>1182</v>
      </c>
      <c r="H1514" s="10" t="s">
        <v>1182</v>
      </c>
      <c r="K1514" t="s">
        <v>19</v>
      </c>
      <c r="L1514" t="s">
        <v>20</v>
      </c>
      <c r="M1514" s="9">
        <v>7418202</v>
      </c>
      <c r="N1514" t="s">
        <v>3477</v>
      </c>
      <c r="O1514">
        <v>18</v>
      </c>
      <c r="P1514" t="s">
        <v>3477</v>
      </c>
      <c r="Q1514">
        <v>18</v>
      </c>
      <c r="R1514" s="13">
        <v>1400</v>
      </c>
      <c r="S1514" s="13">
        <v>1050</v>
      </c>
    </row>
    <row r="1515" spans="1:19">
      <c r="A1515" s="9" t="s">
        <v>22</v>
      </c>
      <c r="B1515" s="9" t="s">
        <v>27</v>
      </c>
      <c r="C1515" s="9" t="s">
        <v>100</v>
      </c>
      <c r="D1515" t="s">
        <v>204</v>
      </c>
      <c r="F1515" s="12" t="s">
        <v>3015</v>
      </c>
      <c r="G1515" s="10" t="s">
        <v>1183</v>
      </c>
      <c r="H1515" s="10" t="s">
        <v>1183</v>
      </c>
      <c r="K1515" t="s">
        <v>19</v>
      </c>
      <c r="L1515" t="s">
        <v>20</v>
      </c>
      <c r="M1515" s="9">
        <v>8481802</v>
      </c>
      <c r="N1515" t="s">
        <v>3477</v>
      </c>
      <c r="O1515">
        <v>18</v>
      </c>
      <c r="P1515" t="s">
        <v>3477</v>
      </c>
      <c r="Q1515">
        <v>18</v>
      </c>
      <c r="R1515" s="13">
        <v>87090</v>
      </c>
      <c r="S1515" s="13">
        <v>60962.999999999993</v>
      </c>
    </row>
    <row r="1516" spans="1:19">
      <c r="A1516" s="9" t="s">
        <v>22</v>
      </c>
      <c r="B1516" s="9" t="s">
        <v>27</v>
      </c>
      <c r="C1516" s="9" t="s">
        <v>53</v>
      </c>
      <c r="D1516" t="s">
        <v>204</v>
      </c>
      <c r="F1516" s="12" t="s">
        <v>3016</v>
      </c>
      <c r="G1516" s="10" t="s">
        <v>1184</v>
      </c>
      <c r="H1516" s="10" t="s">
        <v>1184</v>
      </c>
      <c r="K1516" t="s">
        <v>19</v>
      </c>
      <c r="L1516" t="s">
        <v>20</v>
      </c>
      <c r="M1516" s="9">
        <v>83025</v>
      </c>
      <c r="N1516" t="s">
        <v>3477</v>
      </c>
      <c r="O1516">
        <v>18</v>
      </c>
      <c r="P1516" t="s">
        <v>3477</v>
      </c>
      <c r="Q1516">
        <v>18</v>
      </c>
      <c r="R1516" s="13">
        <v>9510</v>
      </c>
      <c r="S1516" s="13">
        <v>6657</v>
      </c>
    </row>
    <row r="1517" spans="1:19">
      <c r="A1517" s="9" t="s">
        <v>22</v>
      </c>
      <c r="B1517" s="9" t="s">
        <v>27</v>
      </c>
      <c r="C1517" s="9" t="s">
        <v>56</v>
      </c>
      <c r="D1517" t="s">
        <v>204</v>
      </c>
      <c r="F1517" s="12" t="s">
        <v>3017</v>
      </c>
      <c r="G1517" s="10" t="s">
        <v>1185</v>
      </c>
      <c r="H1517" s="10" t="s">
        <v>1185</v>
      </c>
      <c r="K1517" t="s">
        <v>19</v>
      </c>
      <c r="L1517" t="s">
        <v>20</v>
      </c>
      <c r="M1517" s="9">
        <v>7418201</v>
      </c>
      <c r="N1517" t="s">
        <v>3477</v>
      </c>
      <c r="O1517">
        <v>18</v>
      </c>
      <c r="P1517" t="s">
        <v>3477</v>
      </c>
      <c r="Q1517">
        <v>18</v>
      </c>
      <c r="R1517" s="13">
        <v>1940</v>
      </c>
      <c r="S1517" s="13">
        <v>1358</v>
      </c>
    </row>
    <row r="1518" spans="1:19">
      <c r="A1518" s="9" t="s">
        <v>23</v>
      </c>
      <c r="B1518" s="9" t="s">
        <v>27</v>
      </c>
      <c r="C1518" s="9" t="s">
        <v>100</v>
      </c>
      <c r="D1518" t="s">
        <v>204</v>
      </c>
      <c r="F1518" s="12" t="s">
        <v>3018</v>
      </c>
      <c r="G1518" s="10" t="s">
        <v>1185</v>
      </c>
      <c r="H1518" s="10" t="s">
        <v>1185</v>
      </c>
      <c r="K1518" t="s">
        <v>19</v>
      </c>
      <c r="L1518" t="s">
        <v>20</v>
      </c>
      <c r="M1518" s="9">
        <v>8481802</v>
      </c>
      <c r="N1518" t="s">
        <v>3477</v>
      </c>
      <c r="O1518">
        <v>18</v>
      </c>
      <c r="P1518" t="s">
        <v>3477</v>
      </c>
      <c r="Q1518">
        <v>18</v>
      </c>
      <c r="R1518" s="13">
        <v>120000</v>
      </c>
      <c r="S1518" s="13">
        <v>72000</v>
      </c>
    </row>
    <row r="1519" spans="1:19">
      <c r="A1519" s="9" t="s">
        <v>23</v>
      </c>
      <c r="B1519" s="9" t="s">
        <v>27</v>
      </c>
      <c r="C1519" s="9" t="s">
        <v>100</v>
      </c>
      <c r="D1519" t="s">
        <v>204</v>
      </c>
      <c r="F1519" s="12" t="s">
        <v>3019</v>
      </c>
      <c r="G1519" s="10" t="s">
        <v>1185</v>
      </c>
      <c r="H1519" s="10" t="s">
        <v>1185</v>
      </c>
      <c r="K1519" t="s">
        <v>19</v>
      </c>
      <c r="L1519" t="s">
        <v>20</v>
      </c>
      <c r="M1519" s="9">
        <v>8481802</v>
      </c>
      <c r="N1519" t="s">
        <v>3477</v>
      </c>
      <c r="O1519">
        <v>18</v>
      </c>
      <c r="P1519" t="s">
        <v>3477</v>
      </c>
      <c r="Q1519">
        <v>18</v>
      </c>
      <c r="R1519" s="13">
        <v>75180</v>
      </c>
      <c r="S1519" s="13">
        <v>45108</v>
      </c>
    </row>
    <row r="1520" spans="1:19">
      <c r="A1520" s="9" t="s">
        <v>22</v>
      </c>
      <c r="B1520" s="9" t="s">
        <v>27</v>
      </c>
      <c r="C1520" s="9" t="s">
        <v>100</v>
      </c>
      <c r="D1520" t="s">
        <v>204</v>
      </c>
      <c r="F1520" s="12" t="s">
        <v>3020</v>
      </c>
      <c r="G1520" s="10" t="s">
        <v>1186</v>
      </c>
      <c r="H1520" s="10" t="s">
        <v>1186</v>
      </c>
      <c r="K1520" t="s">
        <v>19</v>
      </c>
      <c r="L1520" t="s">
        <v>20</v>
      </c>
      <c r="M1520" s="9">
        <v>8481802</v>
      </c>
      <c r="N1520" t="s">
        <v>3477</v>
      </c>
      <c r="O1520">
        <v>18</v>
      </c>
      <c r="P1520" t="s">
        <v>3477</v>
      </c>
      <c r="Q1520">
        <v>18</v>
      </c>
      <c r="R1520" s="13">
        <v>45400</v>
      </c>
      <c r="S1520" s="13">
        <v>31779.999999999996</v>
      </c>
    </row>
    <row r="1521" spans="1:19">
      <c r="A1521" s="9" t="s">
        <v>22</v>
      </c>
      <c r="B1521" s="9" t="s">
        <v>27</v>
      </c>
      <c r="C1521" s="9" t="s">
        <v>58</v>
      </c>
      <c r="D1521" t="s">
        <v>204</v>
      </c>
      <c r="F1521" s="12" t="s">
        <v>3021</v>
      </c>
      <c r="G1521" s="10" t="s">
        <v>1187</v>
      </c>
      <c r="H1521" s="10" t="s">
        <v>1187</v>
      </c>
      <c r="K1521" t="s">
        <v>19</v>
      </c>
      <c r="L1521" t="s">
        <v>20</v>
      </c>
      <c r="M1521" s="9">
        <v>8481802</v>
      </c>
      <c r="N1521" t="s">
        <v>3477</v>
      </c>
      <c r="O1521">
        <v>18</v>
      </c>
      <c r="P1521" t="s">
        <v>3477</v>
      </c>
      <c r="Q1521">
        <v>18</v>
      </c>
      <c r="R1521" s="13">
        <v>11040</v>
      </c>
      <c r="S1521" s="13">
        <v>7727.9999999999991</v>
      </c>
    </row>
    <row r="1522" spans="1:19">
      <c r="A1522" s="9" t="s">
        <v>22</v>
      </c>
      <c r="B1522" s="9" t="s">
        <v>27</v>
      </c>
      <c r="C1522" s="9" t="s">
        <v>84</v>
      </c>
      <c r="D1522" t="s">
        <v>204</v>
      </c>
      <c r="F1522" s="12" t="s">
        <v>3022</v>
      </c>
      <c r="G1522" s="10" t="s">
        <v>1188</v>
      </c>
      <c r="H1522" s="10" t="s">
        <v>1188</v>
      </c>
      <c r="K1522" t="s">
        <v>19</v>
      </c>
      <c r="L1522" t="s">
        <v>20</v>
      </c>
      <c r="M1522" s="9">
        <v>8481802</v>
      </c>
      <c r="N1522" t="s">
        <v>3477</v>
      </c>
      <c r="O1522">
        <v>18</v>
      </c>
      <c r="P1522" t="s">
        <v>3477</v>
      </c>
      <c r="Q1522">
        <v>18</v>
      </c>
      <c r="R1522" s="13">
        <v>29330</v>
      </c>
      <c r="S1522" s="13">
        <v>20531</v>
      </c>
    </row>
    <row r="1523" spans="1:19">
      <c r="A1523" s="9" t="s">
        <v>22</v>
      </c>
      <c r="B1523" s="9" t="s">
        <v>27</v>
      </c>
      <c r="C1523" s="9" t="s">
        <v>95</v>
      </c>
      <c r="D1523" t="s">
        <v>204</v>
      </c>
      <c r="F1523" s="12" t="s">
        <v>3023</v>
      </c>
      <c r="G1523" s="10" t="s">
        <v>1189</v>
      </c>
      <c r="H1523" s="10" t="s">
        <v>1189</v>
      </c>
      <c r="K1523" t="s">
        <v>19</v>
      </c>
      <c r="L1523" t="s">
        <v>20</v>
      </c>
      <c r="M1523" s="9">
        <v>8481802</v>
      </c>
      <c r="N1523" t="s">
        <v>3477</v>
      </c>
      <c r="O1523">
        <v>18</v>
      </c>
      <c r="P1523" t="s">
        <v>3477</v>
      </c>
      <c r="Q1523">
        <v>18</v>
      </c>
      <c r="R1523" s="13">
        <v>27190</v>
      </c>
      <c r="S1523" s="13">
        <v>19033</v>
      </c>
    </row>
    <row r="1524" spans="1:19">
      <c r="A1524" s="9" t="s">
        <v>22</v>
      </c>
      <c r="B1524" s="9" t="s">
        <v>34</v>
      </c>
      <c r="C1524" s="9" t="s">
        <v>188</v>
      </c>
      <c r="D1524" t="s">
        <v>204</v>
      </c>
      <c r="F1524" s="12" t="s">
        <v>3024</v>
      </c>
      <c r="G1524" s="10" t="s">
        <v>1190</v>
      </c>
      <c r="H1524" s="10" t="s">
        <v>1190</v>
      </c>
      <c r="K1524" t="s">
        <v>19</v>
      </c>
      <c r="L1524" t="s">
        <v>20</v>
      </c>
      <c r="M1524" s="9">
        <v>94036</v>
      </c>
      <c r="N1524" t="s">
        <v>3477</v>
      </c>
      <c r="O1524">
        <v>18</v>
      </c>
      <c r="P1524" t="s">
        <v>3477</v>
      </c>
      <c r="Q1524">
        <v>18</v>
      </c>
      <c r="R1524" s="13">
        <v>92560</v>
      </c>
      <c r="S1524" s="13">
        <v>64791.999999999993</v>
      </c>
    </row>
    <row r="1525" spans="1:19">
      <c r="A1525" s="9" t="s">
        <v>22</v>
      </c>
      <c r="B1525" s="9" t="s">
        <v>27</v>
      </c>
      <c r="C1525" s="9" t="s">
        <v>94</v>
      </c>
      <c r="D1525" t="s">
        <v>204</v>
      </c>
      <c r="F1525" s="12" t="s">
        <v>3025</v>
      </c>
      <c r="G1525" s="10" t="s">
        <v>1191</v>
      </c>
      <c r="H1525" s="10" t="s">
        <v>1191</v>
      </c>
      <c r="K1525" t="s">
        <v>19</v>
      </c>
      <c r="L1525" t="s">
        <v>20</v>
      </c>
      <c r="M1525" s="9">
        <v>8481801</v>
      </c>
      <c r="N1525" t="s">
        <v>3477</v>
      </c>
      <c r="O1525">
        <v>18</v>
      </c>
      <c r="P1525" t="s">
        <v>3477</v>
      </c>
      <c r="Q1525">
        <v>18</v>
      </c>
      <c r="R1525" s="13">
        <v>33170</v>
      </c>
      <c r="S1525" s="13">
        <v>23219</v>
      </c>
    </row>
    <row r="1526" spans="1:19">
      <c r="A1526" s="9" t="s">
        <v>23</v>
      </c>
      <c r="B1526" s="9" t="s">
        <v>26</v>
      </c>
      <c r="C1526" s="9" t="s">
        <v>80</v>
      </c>
      <c r="D1526" t="s">
        <v>204</v>
      </c>
      <c r="F1526" s="12" t="s">
        <v>3026</v>
      </c>
      <c r="G1526" s="10" t="s">
        <v>1192</v>
      </c>
      <c r="H1526" s="10" t="s">
        <v>1192</v>
      </c>
      <c r="K1526" t="s">
        <v>19</v>
      </c>
      <c r="L1526" t="s">
        <v>20</v>
      </c>
      <c r="M1526" s="9">
        <v>69101</v>
      </c>
      <c r="N1526" t="s">
        <v>3477</v>
      </c>
      <c r="O1526">
        <v>18</v>
      </c>
      <c r="P1526" t="s">
        <v>3477</v>
      </c>
      <c r="Q1526">
        <v>18</v>
      </c>
      <c r="R1526" s="13">
        <v>215000</v>
      </c>
      <c r="S1526" s="13">
        <v>129000</v>
      </c>
    </row>
    <row r="1527" spans="1:19">
      <c r="A1527" s="9" t="s">
        <v>22</v>
      </c>
      <c r="B1527" s="9" t="s">
        <v>27</v>
      </c>
      <c r="C1527" s="9" t="s">
        <v>189</v>
      </c>
      <c r="D1527" t="s">
        <v>204</v>
      </c>
      <c r="F1527" s="12" t="s">
        <v>3027</v>
      </c>
      <c r="G1527" s="10" t="s">
        <v>1193</v>
      </c>
      <c r="H1527" s="10" t="s">
        <v>1193</v>
      </c>
      <c r="K1527" t="s">
        <v>19</v>
      </c>
      <c r="L1527" t="s">
        <v>20</v>
      </c>
      <c r="M1527" s="9">
        <v>7418202</v>
      </c>
      <c r="N1527" t="s">
        <v>3477</v>
      </c>
      <c r="O1527">
        <v>18</v>
      </c>
      <c r="P1527" t="s">
        <v>3477</v>
      </c>
      <c r="Q1527">
        <v>18</v>
      </c>
      <c r="R1527" s="13">
        <v>2000</v>
      </c>
      <c r="S1527" s="13">
        <v>1400</v>
      </c>
    </row>
    <row r="1528" spans="1:19">
      <c r="A1528" s="9" t="s">
        <v>22</v>
      </c>
      <c r="B1528" s="9" t="s">
        <v>26</v>
      </c>
      <c r="C1528" s="9" t="s">
        <v>76</v>
      </c>
      <c r="D1528" t="s">
        <v>204</v>
      </c>
      <c r="F1528" s="12" t="s">
        <v>3028</v>
      </c>
      <c r="G1528" s="10" t="s">
        <v>1194</v>
      </c>
      <c r="H1528" s="10" t="s">
        <v>1194</v>
      </c>
      <c r="K1528" t="s">
        <v>19</v>
      </c>
      <c r="L1528" t="s">
        <v>20</v>
      </c>
      <c r="M1528" s="9">
        <v>39222</v>
      </c>
      <c r="N1528" t="s">
        <v>3477</v>
      </c>
      <c r="O1528">
        <v>18</v>
      </c>
      <c r="P1528" t="s">
        <v>3477</v>
      </c>
      <c r="Q1528">
        <v>18</v>
      </c>
      <c r="R1528" s="13">
        <v>3840</v>
      </c>
      <c r="S1528" s="13">
        <v>2688</v>
      </c>
    </row>
    <row r="1529" spans="1:19">
      <c r="A1529" s="9" t="s">
        <v>22</v>
      </c>
      <c r="B1529" s="9" t="s">
        <v>26</v>
      </c>
      <c r="C1529" s="9" t="s">
        <v>155</v>
      </c>
      <c r="D1529" t="s">
        <v>204</v>
      </c>
      <c r="F1529" s="12" t="s">
        <v>3029</v>
      </c>
      <c r="G1529" s="10" t="s">
        <v>1195</v>
      </c>
      <c r="H1529" s="10" t="s">
        <v>1195</v>
      </c>
      <c r="K1529" t="s">
        <v>19</v>
      </c>
      <c r="L1529" t="s">
        <v>20</v>
      </c>
      <c r="M1529" s="9">
        <v>39222</v>
      </c>
      <c r="N1529" t="s">
        <v>3477</v>
      </c>
      <c r="O1529">
        <v>18</v>
      </c>
      <c r="P1529" t="s">
        <v>3477</v>
      </c>
      <c r="Q1529">
        <v>18</v>
      </c>
      <c r="R1529" s="13">
        <v>90050</v>
      </c>
      <c r="S1529" s="13">
        <v>63034.999999999993</v>
      </c>
    </row>
    <row r="1530" spans="1:19">
      <c r="A1530" s="9" t="s">
        <v>22</v>
      </c>
      <c r="B1530" s="9" t="s">
        <v>26</v>
      </c>
      <c r="C1530" s="9" t="s">
        <v>76</v>
      </c>
      <c r="D1530" t="s">
        <v>204</v>
      </c>
      <c r="F1530" s="12" t="s">
        <v>3030</v>
      </c>
      <c r="G1530" s="10" t="s">
        <v>1196</v>
      </c>
      <c r="H1530" s="10" t="s">
        <v>1196</v>
      </c>
      <c r="K1530" t="s">
        <v>19</v>
      </c>
      <c r="L1530" t="s">
        <v>20</v>
      </c>
      <c r="M1530" s="9">
        <v>39222</v>
      </c>
      <c r="N1530" t="s">
        <v>3477</v>
      </c>
      <c r="O1530">
        <v>18</v>
      </c>
      <c r="P1530" t="s">
        <v>3477</v>
      </c>
      <c r="Q1530">
        <v>18</v>
      </c>
      <c r="R1530" s="13">
        <v>3010</v>
      </c>
      <c r="S1530" s="13">
        <v>2107</v>
      </c>
    </row>
    <row r="1531" spans="1:19">
      <c r="A1531" s="9" t="s">
        <v>22</v>
      </c>
      <c r="B1531" s="9" t="s">
        <v>26</v>
      </c>
      <c r="C1531" s="9" t="s">
        <v>76</v>
      </c>
      <c r="D1531" t="s">
        <v>204</v>
      </c>
      <c r="F1531" s="12" t="s">
        <v>3031</v>
      </c>
      <c r="G1531" s="10" t="s">
        <v>1197</v>
      </c>
      <c r="H1531" s="10" t="s">
        <v>1197</v>
      </c>
      <c r="K1531" t="s">
        <v>19</v>
      </c>
      <c r="L1531" t="s">
        <v>20</v>
      </c>
      <c r="M1531" s="9">
        <v>4421999</v>
      </c>
      <c r="N1531" t="s">
        <v>3477</v>
      </c>
      <c r="O1531">
        <v>18</v>
      </c>
      <c r="P1531" t="s">
        <v>3477</v>
      </c>
      <c r="Q1531">
        <v>18</v>
      </c>
      <c r="R1531" s="13">
        <v>57950</v>
      </c>
      <c r="S1531" s="13">
        <v>40565</v>
      </c>
    </row>
    <row r="1532" spans="1:19">
      <c r="A1532" s="9" t="s">
        <v>22</v>
      </c>
      <c r="B1532" s="9" t="s">
        <v>26</v>
      </c>
      <c r="C1532" s="9" t="s">
        <v>76</v>
      </c>
      <c r="D1532" t="s">
        <v>204</v>
      </c>
      <c r="F1532" s="12" t="s">
        <v>3032</v>
      </c>
      <c r="G1532" s="10" t="s">
        <v>1198</v>
      </c>
      <c r="H1532" s="10" t="s">
        <v>1198</v>
      </c>
      <c r="K1532" t="s">
        <v>19</v>
      </c>
      <c r="L1532" t="s">
        <v>20</v>
      </c>
      <c r="M1532" s="9">
        <v>39222</v>
      </c>
      <c r="N1532" t="s">
        <v>3477</v>
      </c>
      <c r="O1532">
        <v>18</v>
      </c>
      <c r="P1532" t="s">
        <v>3477</v>
      </c>
      <c r="Q1532">
        <v>18</v>
      </c>
      <c r="R1532" s="13">
        <v>16830</v>
      </c>
      <c r="S1532" s="13">
        <v>11781</v>
      </c>
    </row>
    <row r="1533" spans="1:19">
      <c r="A1533" s="9" t="s">
        <v>22</v>
      </c>
      <c r="B1533" s="9" t="s">
        <v>26</v>
      </c>
      <c r="C1533" s="9" t="s">
        <v>155</v>
      </c>
      <c r="D1533" t="s">
        <v>204</v>
      </c>
      <c r="F1533" s="12" t="s">
        <v>3033</v>
      </c>
      <c r="G1533" s="10" t="s">
        <v>1199</v>
      </c>
      <c r="H1533" s="10" t="s">
        <v>1199</v>
      </c>
      <c r="K1533" t="s">
        <v>19</v>
      </c>
      <c r="L1533" t="s">
        <v>20</v>
      </c>
      <c r="M1533" s="9">
        <v>39222</v>
      </c>
      <c r="N1533" t="s">
        <v>3477</v>
      </c>
      <c r="O1533">
        <v>18</v>
      </c>
      <c r="P1533" t="s">
        <v>3477</v>
      </c>
      <c r="Q1533">
        <v>18</v>
      </c>
      <c r="R1533" s="13">
        <v>40110</v>
      </c>
      <c r="S1533" s="13">
        <v>28077</v>
      </c>
    </row>
    <row r="1534" spans="1:19">
      <c r="A1534" s="9" t="s">
        <v>22</v>
      </c>
      <c r="B1534" s="9" t="s">
        <v>27</v>
      </c>
      <c r="C1534" s="9" t="s">
        <v>54</v>
      </c>
      <c r="D1534" t="s">
        <v>204</v>
      </c>
      <c r="F1534" s="12" t="s">
        <v>3034</v>
      </c>
      <c r="G1534" s="10" t="s">
        <v>1200</v>
      </c>
      <c r="H1534" s="10" t="s">
        <v>1200</v>
      </c>
      <c r="K1534" t="s">
        <v>19</v>
      </c>
      <c r="L1534" t="s">
        <v>20</v>
      </c>
      <c r="M1534" s="9">
        <v>83025</v>
      </c>
      <c r="N1534" t="s">
        <v>3477</v>
      </c>
      <c r="O1534">
        <v>18</v>
      </c>
      <c r="P1534" t="s">
        <v>3477</v>
      </c>
      <c r="Q1534">
        <v>18</v>
      </c>
      <c r="R1534" s="13">
        <v>8470</v>
      </c>
      <c r="S1534" s="13">
        <v>5929</v>
      </c>
    </row>
    <row r="1535" spans="1:19">
      <c r="A1535" s="9" t="s">
        <v>22</v>
      </c>
      <c r="B1535" s="9" t="s">
        <v>26</v>
      </c>
      <c r="C1535" s="9" t="s">
        <v>96</v>
      </c>
      <c r="D1535" t="s">
        <v>204</v>
      </c>
      <c r="F1535" s="12" t="s">
        <v>3035</v>
      </c>
      <c r="G1535" s="10" t="s">
        <v>1201</v>
      </c>
      <c r="H1535" s="10" t="s">
        <v>1201</v>
      </c>
      <c r="K1535" t="s">
        <v>19</v>
      </c>
      <c r="L1535" t="s">
        <v>20</v>
      </c>
      <c r="M1535" s="9">
        <v>69101</v>
      </c>
      <c r="N1535" t="s">
        <v>3477</v>
      </c>
      <c r="O1535">
        <v>18</v>
      </c>
      <c r="P1535" t="s">
        <v>3477</v>
      </c>
      <c r="Q1535">
        <v>18</v>
      </c>
      <c r="R1535" s="13">
        <v>26870</v>
      </c>
      <c r="S1535" s="13">
        <v>18809</v>
      </c>
    </row>
    <row r="1536" spans="1:19">
      <c r="A1536" s="9" t="s">
        <v>22</v>
      </c>
      <c r="B1536" s="9" t="s">
        <v>26</v>
      </c>
      <c r="C1536" s="9" t="s">
        <v>96</v>
      </c>
      <c r="D1536" t="s">
        <v>204</v>
      </c>
      <c r="F1536" s="12" t="s">
        <v>3036</v>
      </c>
      <c r="G1536" s="10" t="s">
        <v>1202</v>
      </c>
      <c r="H1536" s="10" t="s">
        <v>1202</v>
      </c>
      <c r="K1536" t="s">
        <v>19</v>
      </c>
      <c r="L1536" t="s">
        <v>20</v>
      </c>
      <c r="M1536" s="9">
        <v>69101</v>
      </c>
      <c r="N1536" t="s">
        <v>3477</v>
      </c>
      <c r="O1536">
        <v>18</v>
      </c>
      <c r="P1536" t="s">
        <v>3477</v>
      </c>
      <c r="Q1536">
        <v>18</v>
      </c>
      <c r="R1536" s="13">
        <v>28500</v>
      </c>
      <c r="S1536" s="13">
        <v>19950</v>
      </c>
    </row>
    <row r="1537" spans="1:19">
      <c r="A1537" s="9" t="s">
        <v>22</v>
      </c>
      <c r="B1537" s="9" t="s">
        <v>26</v>
      </c>
      <c r="C1537" s="9" t="s">
        <v>150</v>
      </c>
      <c r="D1537" t="s">
        <v>204</v>
      </c>
      <c r="F1537" s="12" t="s">
        <v>3037</v>
      </c>
      <c r="G1537" s="10" t="s">
        <v>1203</v>
      </c>
      <c r="H1537" s="10" t="s">
        <v>1203</v>
      </c>
      <c r="K1537" t="s">
        <v>19</v>
      </c>
      <c r="L1537" t="s">
        <v>20</v>
      </c>
      <c r="M1537" s="9">
        <v>69101</v>
      </c>
      <c r="N1537" t="s">
        <v>3477</v>
      </c>
      <c r="O1537">
        <v>18</v>
      </c>
      <c r="P1537" t="s">
        <v>3477</v>
      </c>
      <c r="Q1537">
        <v>18</v>
      </c>
      <c r="R1537" s="13">
        <v>15000</v>
      </c>
      <c r="S1537" s="13">
        <v>10500</v>
      </c>
    </row>
    <row r="1538" spans="1:19">
      <c r="A1538" s="9" t="s">
        <v>22</v>
      </c>
      <c r="B1538" s="9" t="s">
        <v>26</v>
      </c>
      <c r="C1538" s="9" t="s">
        <v>70</v>
      </c>
      <c r="D1538" t="s">
        <v>204</v>
      </c>
      <c r="F1538" s="12" t="s">
        <v>3038</v>
      </c>
      <c r="G1538" s="10" t="s">
        <v>1204</v>
      </c>
      <c r="H1538" s="10" t="s">
        <v>1204</v>
      </c>
      <c r="K1538" t="s">
        <v>19</v>
      </c>
      <c r="L1538" t="s">
        <v>20</v>
      </c>
      <c r="M1538" s="9">
        <v>69101</v>
      </c>
      <c r="N1538" t="s">
        <v>3477</v>
      </c>
      <c r="O1538">
        <v>18</v>
      </c>
      <c r="P1538" t="s">
        <v>3477</v>
      </c>
      <c r="Q1538">
        <v>18</v>
      </c>
      <c r="R1538" s="13">
        <v>6760</v>
      </c>
      <c r="S1538" s="13">
        <v>4732</v>
      </c>
    </row>
    <row r="1539" spans="1:19">
      <c r="A1539" s="9" t="s">
        <v>22</v>
      </c>
      <c r="B1539" s="9" t="s">
        <v>26</v>
      </c>
      <c r="C1539" s="9" t="s">
        <v>96</v>
      </c>
      <c r="D1539" t="s">
        <v>204</v>
      </c>
      <c r="F1539" s="12" t="s">
        <v>3039</v>
      </c>
      <c r="G1539" s="10" t="s">
        <v>1205</v>
      </c>
      <c r="H1539" s="10" t="s">
        <v>1205</v>
      </c>
      <c r="K1539" t="s">
        <v>19</v>
      </c>
      <c r="L1539" t="s">
        <v>20</v>
      </c>
      <c r="M1539" s="9">
        <v>69101</v>
      </c>
      <c r="N1539" t="s">
        <v>3477</v>
      </c>
      <c r="O1539">
        <v>18</v>
      </c>
      <c r="P1539" t="s">
        <v>3477</v>
      </c>
      <c r="Q1539">
        <v>18</v>
      </c>
      <c r="R1539" s="13">
        <v>26080</v>
      </c>
      <c r="S1539" s="13">
        <v>18256</v>
      </c>
    </row>
    <row r="1540" spans="1:19">
      <c r="A1540" s="9" t="s">
        <v>22</v>
      </c>
      <c r="B1540" s="9" t="s">
        <v>26</v>
      </c>
      <c r="C1540" s="9" t="s">
        <v>96</v>
      </c>
      <c r="D1540" t="s">
        <v>204</v>
      </c>
      <c r="F1540" s="12" t="s">
        <v>3040</v>
      </c>
      <c r="G1540" s="10" t="s">
        <v>1206</v>
      </c>
      <c r="H1540" s="10" t="s">
        <v>1206</v>
      </c>
      <c r="K1540" t="s">
        <v>19</v>
      </c>
      <c r="L1540" t="s">
        <v>20</v>
      </c>
      <c r="M1540" s="9">
        <v>69101</v>
      </c>
      <c r="N1540" t="s">
        <v>3477</v>
      </c>
      <c r="O1540">
        <v>18</v>
      </c>
      <c r="P1540" t="s">
        <v>3477</v>
      </c>
      <c r="Q1540">
        <v>18</v>
      </c>
      <c r="R1540" s="13">
        <v>12130</v>
      </c>
      <c r="S1540" s="13">
        <v>8491</v>
      </c>
    </row>
    <row r="1541" spans="1:19">
      <c r="A1541" s="9" t="s">
        <v>22</v>
      </c>
      <c r="B1541" s="9" t="s">
        <v>26</v>
      </c>
      <c r="C1541" s="9" t="s">
        <v>86</v>
      </c>
      <c r="D1541" t="s">
        <v>204</v>
      </c>
      <c r="F1541" s="12" t="s">
        <v>3041</v>
      </c>
      <c r="G1541" s="10" t="s">
        <v>1207</v>
      </c>
      <c r="H1541" s="10" t="s">
        <v>1207</v>
      </c>
      <c r="K1541" t="s">
        <v>19</v>
      </c>
      <c r="L1541" t="s">
        <v>20</v>
      </c>
      <c r="M1541" s="9">
        <v>69101</v>
      </c>
      <c r="N1541" t="s">
        <v>3477</v>
      </c>
      <c r="O1541">
        <v>18</v>
      </c>
      <c r="P1541" t="s">
        <v>3477</v>
      </c>
      <c r="Q1541">
        <v>18</v>
      </c>
      <c r="R1541" s="13">
        <v>8700</v>
      </c>
      <c r="S1541" s="13">
        <v>6090</v>
      </c>
    </row>
    <row r="1542" spans="1:19">
      <c r="A1542" s="9" t="s">
        <v>22</v>
      </c>
      <c r="B1542" s="9" t="s">
        <v>26</v>
      </c>
      <c r="C1542" s="9" t="s">
        <v>96</v>
      </c>
      <c r="D1542" t="s">
        <v>204</v>
      </c>
      <c r="F1542" s="12" t="s">
        <v>3042</v>
      </c>
      <c r="G1542" s="10" t="s">
        <v>1208</v>
      </c>
      <c r="H1542" s="10" t="s">
        <v>1208</v>
      </c>
      <c r="K1542" t="s">
        <v>19</v>
      </c>
      <c r="L1542" t="s">
        <v>20</v>
      </c>
      <c r="M1542" s="9">
        <v>69101</v>
      </c>
      <c r="N1542" t="s">
        <v>3477</v>
      </c>
      <c r="O1542">
        <v>18</v>
      </c>
      <c r="P1542" t="s">
        <v>3477</v>
      </c>
      <c r="Q1542">
        <v>18</v>
      </c>
      <c r="R1542" s="13">
        <v>39310</v>
      </c>
      <c r="S1542" s="13">
        <v>27517</v>
      </c>
    </row>
    <row r="1543" spans="1:19">
      <c r="A1543" s="9" t="s">
        <v>22</v>
      </c>
      <c r="B1543" s="9" t="s">
        <v>26</v>
      </c>
      <c r="C1543" s="9" t="s">
        <v>96</v>
      </c>
      <c r="D1543" t="s">
        <v>204</v>
      </c>
      <c r="F1543" s="12" t="s">
        <v>3043</v>
      </c>
      <c r="G1543" s="10" t="s">
        <v>1209</v>
      </c>
      <c r="H1543" s="10" t="s">
        <v>1209</v>
      </c>
      <c r="K1543" t="s">
        <v>19</v>
      </c>
      <c r="L1543" t="s">
        <v>20</v>
      </c>
      <c r="M1543" s="9">
        <v>69101</v>
      </c>
      <c r="N1543" t="s">
        <v>3477</v>
      </c>
      <c r="O1543">
        <v>18</v>
      </c>
      <c r="P1543" t="s">
        <v>3477</v>
      </c>
      <c r="Q1543">
        <v>18</v>
      </c>
      <c r="R1543" s="13">
        <v>32000</v>
      </c>
      <c r="S1543" s="13">
        <v>22400</v>
      </c>
    </row>
    <row r="1544" spans="1:19">
      <c r="A1544" s="9" t="s">
        <v>22</v>
      </c>
      <c r="B1544" s="9" t="s">
        <v>27</v>
      </c>
      <c r="C1544" s="9" t="s">
        <v>50</v>
      </c>
      <c r="D1544" t="s">
        <v>204</v>
      </c>
      <c r="F1544" s="12" t="s">
        <v>3044</v>
      </c>
      <c r="G1544" s="10" t="s">
        <v>1210</v>
      </c>
      <c r="H1544" s="10" t="s">
        <v>1210</v>
      </c>
      <c r="K1544" t="s">
        <v>19</v>
      </c>
      <c r="L1544" t="s">
        <v>20</v>
      </c>
      <c r="M1544" s="9">
        <v>7318</v>
      </c>
      <c r="N1544" t="s">
        <v>3477</v>
      </c>
      <c r="O1544">
        <v>18</v>
      </c>
      <c r="P1544" t="s">
        <v>3477</v>
      </c>
      <c r="Q1544">
        <v>18</v>
      </c>
      <c r="R1544" s="13">
        <v>21</v>
      </c>
      <c r="S1544" s="13">
        <v>14.7</v>
      </c>
    </row>
    <row r="1545" spans="1:19">
      <c r="A1545" s="9" t="s">
        <v>23</v>
      </c>
      <c r="B1545" s="9" t="s">
        <v>26</v>
      </c>
      <c r="C1545" s="9" t="s">
        <v>103</v>
      </c>
      <c r="D1545" t="s">
        <v>204</v>
      </c>
      <c r="F1545" s="12" t="s">
        <v>3045</v>
      </c>
      <c r="G1545" s="10" t="s">
        <v>1211</v>
      </c>
      <c r="H1545" s="10" t="s">
        <v>1211</v>
      </c>
      <c r="K1545" t="s">
        <v>19</v>
      </c>
      <c r="L1545" t="s">
        <v>20</v>
      </c>
      <c r="M1545" s="9">
        <v>69101</v>
      </c>
      <c r="N1545" t="s">
        <v>3477</v>
      </c>
      <c r="O1545">
        <v>18</v>
      </c>
      <c r="P1545" t="s">
        <v>3477</v>
      </c>
      <c r="Q1545">
        <v>18</v>
      </c>
      <c r="R1545" s="13">
        <v>33000</v>
      </c>
      <c r="S1545" s="13">
        <v>19800</v>
      </c>
    </row>
    <row r="1546" spans="1:19">
      <c r="A1546" s="9" t="s">
        <v>22</v>
      </c>
      <c r="B1546" s="9" t="s">
        <v>30</v>
      </c>
      <c r="C1546" s="9" t="s">
        <v>50</v>
      </c>
      <c r="D1546" t="s">
        <v>204</v>
      </c>
      <c r="F1546" s="12" t="s">
        <v>3046</v>
      </c>
      <c r="G1546" s="10" t="s">
        <v>1212</v>
      </c>
      <c r="H1546" s="10" t="s">
        <v>1212</v>
      </c>
      <c r="K1546" t="s">
        <v>19</v>
      </c>
      <c r="L1546" t="s">
        <v>20</v>
      </c>
      <c r="M1546" s="9">
        <v>7418202</v>
      </c>
      <c r="N1546" t="s">
        <v>3477</v>
      </c>
      <c r="O1546">
        <v>18</v>
      </c>
      <c r="P1546" t="s">
        <v>3477</v>
      </c>
      <c r="Q1546">
        <v>18</v>
      </c>
      <c r="R1546" s="13">
        <v>3004</v>
      </c>
      <c r="S1546" s="13">
        <v>2102.7999999999997</v>
      </c>
    </row>
    <row r="1547" spans="1:19">
      <c r="A1547" s="9" t="s">
        <v>22</v>
      </c>
      <c r="B1547" s="9" t="s">
        <v>27</v>
      </c>
      <c r="C1547" s="9" t="s">
        <v>50</v>
      </c>
      <c r="D1547" t="s">
        <v>204</v>
      </c>
      <c r="F1547" s="12" t="s">
        <v>3047</v>
      </c>
      <c r="G1547" s="10" t="s">
        <v>1213</v>
      </c>
      <c r="H1547" s="10" t="s">
        <v>1213</v>
      </c>
      <c r="K1547" t="s">
        <v>19</v>
      </c>
      <c r="L1547" t="s">
        <v>20</v>
      </c>
      <c r="M1547" s="9">
        <v>7418202</v>
      </c>
      <c r="N1547" t="s">
        <v>3477</v>
      </c>
      <c r="O1547">
        <v>18</v>
      </c>
      <c r="P1547" t="s">
        <v>3477</v>
      </c>
      <c r="Q1547">
        <v>18</v>
      </c>
      <c r="R1547" s="13">
        <v>10468</v>
      </c>
      <c r="S1547" s="13">
        <v>7327.5999999999995</v>
      </c>
    </row>
    <row r="1548" spans="1:19">
      <c r="A1548" s="9" t="s">
        <v>22</v>
      </c>
      <c r="B1548" s="9" t="s">
        <v>26</v>
      </c>
      <c r="C1548" s="9" t="s">
        <v>50</v>
      </c>
      <c r="D1548" t="s">
        <v>204</v>
      </c>
      <c r="F1548" s="12" t="s">
        <v>3048</v>
      </c>
      <c r="G1548" s="10" t="s">
        <v>1214</v>
      </c>
      <c r="H1548" s="10" t="s">
        <v>1214</v>
      </c>
      <c r="K1548" t="s">
        <v>19</v>
      </c>
      <c r="L1548" t="s">
        <v>20</v>
      </c>
      <c r="M1548" s="9">
        <v>4016935</v>
      </c>
      <c r="N1548" t="s">
        <v>3477</v>
      </c>
      <c r="O1548">
        <v>18</v>
      </c>
      <c r="P1548" t="s">
        <v>3477</v>
      </c>
      <c r="Q1548">
        <v>18</v>
      </c>
      <c r="R1548" s="13">
        <v>72</v>
      </c>
      <c r="S1548" s="13">
        <v>50.4</v>
      </c>
    </row>
    <row r="1549" spans="1:19">
      <c r="A1549" s="9" t="s">
        <v>23</v>
      </c>
      <c r="B1549" s="9" t="s">
        <v>25</v>
      </c>
      <c r="C1549" s="9" t="s">
        <v>134</v>
      </c>
      <c r="D1549" t="s">
        <v>204</v>
      </c>
      <c r="F1549" s="12" t="s">
        <v>3049</v>
      </c>
      <c r="G1549" s="10" t="s">
        <v>1215</v>
      </c>
      <c r="H1549" s="10" t="s">
        <v>1215</v>
      </c>
      <c r="K1549" t="s">
        <v>19</v>
      </c>
      <c r="L1549" t="s">
        <v>20</v>
      </c>
      <c r="M1549" s="9">
        <v>730721</v>
      </c>
      <c r="N1549" t="s">
        <v>3477</v>
      </c>
      <c r="O1549">
        <v>18</v>
      </c>
      <c r="P1549" t="s">
        <v>3477</v>
      </c>
      <c r="Q1549">
        <v>18</v>
      </c>
      <c r="R1549" s="13">
        <v>500</v>
      </c>
      <c r="S1549" s="13">
        <v>300</v>
      </c>
    </row>
    <row r="1550" spans="1:19">
      <c r="A1550" s="9" t="s">
        <v>22</v>
      </c>
      <c r="B1550" s="9" t="s">
        <v>26</v>
      </c>
      <c r="C1550" s="9" t="s">
        <v>113</v>
      </c>
      <c r="D1550" t="s">
        <v>204</v>
      </c>
      <c r="F1550" s="12" t="s">
        <v>3050</v>
      </c>
      <c r="G1550" s="10" t="s">
        <v>1216</v>
      </c>
      <c r="H1550" s="10" t="s">
        <v>1216</v>
      </c>
      <c r="K1550" t="s">
        <v>19</v>
      </c>
      <c r="L1550" t="s">
        <v>20</v>
      </c>
      <c r="M1550" s="9">
        <v>8302419</v>
      </c>
      <c r="N1550" t="s">
        <v>3477</v>
      </c>
      <c r="O1550">
        <v>18</v>
      </c>
      <c r="P1550" t="s">
        <v>3477</v>
      </c>
      <c r="Q1550">
        <v>18</v>
      </c>
      <c r="R1550" s="13">
        <v>9740</v>
      </c>
      <c r="S1550" s="13">
        <v>6818</v>
      </c>
    </row>
    <row r="1551" spans="1:19">
      <c r="A1551" s="9" t="s">
        <v>22</v>
      </c>
      <c r="B1551" s="9" t="s">
        <v>26</v>
      </c>
      <c r="C1551" s="9" t="s">
        <v>72</v>
      </c>
      <c r="D1551" t="s">
        <v>204</v>
      </c>
      <c r="F1551" s="12" t="s">
        <v>3051</v>
      </c>
      <c r="G1551" s="10" t="s">
        <v>1217</v>
      </c>
      <c r="H1551" s="10" t="s">
        <v>1217</v>
      </c>
      <c r="K1551" t="s">
        <v>19</v>
      </c>
      <c r="L1551" t="s">
        <v>20</v>
      </c>
      <c r="M1551" s="9">
        <v>69101</v>
      </c>
      <c r="N1551" t="s">
        <v>3477</v>
      </c>
      <c r="O1551">
        <v>18</v>
      </c>
      <c r="P1551" t="s">
        <v>3477</v>
      </c>
      <c r="Q1551">
        <v>18</v>
      </c>
      <c r="R1551" s="13">
        <v>20500</v>
      </c>
      <c r="S1551" s="13">
        <v>14349.999999999998</v>
      </c>
    </row>
    <row r="1552" spans="1:19">
      <c r="A1552" s="9" t="s">
        <v>22</v>
      </c>
      <c r="B1552" s="9" t="s">
        <v>30</v>
      </c>
      <c r="C1552" s="9" t="s">
        <v>190</v>
      </c>
      <c r="D1552" t="s">
        <v>204</v>
      </c>
      <c r="F1552" s="12" t="s">
        <v>3052</v>
      </c>
      <c r="G1552" s="10" t="s">
        <v>1218</v>
      </c>
      <c r="H1552" s="10" t="s">
        <v>1218</v>
      </c>
      <c r="K1552" t="s">
        <v>19</v>
      </c>
      <c r="L1552" t="s">
        <v>20</v>
      </c>
      <c r="M1552" s="9">
        <v>6911901</v>
      </c>
      <c r="N1552" t="s">
        <v>3477</v>
      </c>
      <c r="O1552">
        <v>18</v>
      </c>
      <c r="P1552" t="s">
        <v>3477</v>
      </c>
      <c r="Q1552">
        <v>18</v>
      </c>
      <c r="R1552" s="13">
        <v>8554</v>
      </c>
      <c r="S1552" s="13">
        <v>5987.7999999999993</v>
      </c>
    </row>
    <row r="1553" spans="1:19">
      <c r="A1553" s="9" t="s">
        <v>22</v>
      </c>
      <c r="B1553" s="9" t="s">
        <v>30</v>
      </c>
      <c r="C1553" s="9" t="s">
        <v>50</v>
      </c>
      <c r="D1553" t="s">
        <v>204</v>
      </c>
      <c r="F1553" s="12" t="s">
        <v>3053</v>
      </c>
      <c r="G1553" s="10" t="s">
        <v>1219</v>
      </c>
      <c r="H1553" s="10" t="s">
        <v>1219</v>
      </c>
      <c r="K1553" t="s">
        <v>19</v>
      </c>
      <c r="L1553" t="s">
        <v>20</v>
      </c>
      <c r="M1553" s="9">
        <v>6911909</v>
      </c>
      <c r="N1553" t="s">
        <v>3477</v>
      </c>
      <c r="O1553">
        <v>18</v>
      </c>
      <c r="P1553" t="s">
        <v>3477</v>
      </c>
      <c r="Q1553">
        <v>18</v>
      </c>
      <c r="R1553" s="13">
        <v>8649.3799999999992</v>
      </c>
      <c r="S1553" s="13">
        <v>6054.5659999999989</v>
      </c>
    </row>
    <row r="1554" spans="1:19">
      <c r="A1554" s="9" t="s">
        <v>22</v>
      </c>
      <c r="B1554" s="9" t="s">
        <v>36</v>
      </c>
      <c r="C1554" s="9" t="s">
        <v>159</v>
      </c>
      <c r="D1554" t="s">
        <v>204</v>
      </c>
      <c r="F1554" s="12" t="s">
        <v>3054</v>
      </c>
      <c r="G1554" s="10" t="s">
        <v>1220</v>
      </c>
      <c r="H1554" s="10" t="s">
        <v>1220</v>
      </c>
      <c r="K1554" t="s">
        <v>19</v>
      </c>
      <c r="L1554" t="s">
        <v>20</v>
      </c>
      <c r="M1554" s="9">
        <v>8421211</v>
      </c>
      <c r="N1554" t="s">
        <v>3477</v>
      </c>
      <c r="O1554">
        <v>18</v>
      </c>
      <c r="P1554" t="s">
        <v>3477</v>
      </c>
      <c r="Q1554">
        <v>18</v>
      </c>
      <c r="R1554" s="13">
        <v>15780</v>
      </c>
      <c r="S1554" s="13">
        <v>11046</v>
      </c>
    </row>
    <row r="1555" spans="1:19">
      <c r="A1555" s="9" t="s">
        <v>22</v>
      </c>
      <c r="B1555" s="9" t="s">
        <v>26</v>
      </c>
      <c r="C1555" s="9" t="s">
        <v>50</v>
      </c>
      <c r="D1555" t="s">
        <v>204</v>
      </c>
      <c r="F1555" s="12" t="s">
        <v>3055</v>
      </c>
      <c r="G1555" s="10" t="s">
        <v>1221</v>
      </c>
      <c r="H1555" s="10" t="s">
        <v>1221</v>
      </c>
      <c r="K1555" t="s">
        <v>19</v>
      </c>
      <c r="L1555" t="s">
        <v>20</v>
      </c>
      <c r="M1555" s="9">
        <v>731815</v>
      </c>
      <c r="N1555" t="s">
        <v>3477</v>
      </c>
      <c r="O1555">
        <v>18</v>
      </c>
      <c r="P1555" t="s">
        <v>3477</v>
      </c>
      <c r="Q1555">
        <v>18</v>
      </c>
      <c r="R1555" s="13">
        <v>217</v>
      </c>
      <c r="S1555" s="13">
        <v>151.89999999999998</v>
      </c>
    </row>
    <row r="1556" spans="1:19">
      <c r="A1556" s="9" t="s">
        <v>22</v>
      </c>
      <c r="B1556" s="9" t="s">
        <v>26</v>
      </c>
      <c r="C1556" s="9" t="s">
        <v>80</v>
      </c>
      <c r="D1556" t="s">
        <v>204</v>
      </c>
      <c r="F1556" s="12" t="s">
        <v>3056</v>
      </c>
      <c r="G1556" s="10" t="s">
        <v>1221</v>
      </c>
      <c r="H1556" s="10" t="s">
        <v>1221</v>
      </c>
      <c r="K1556" t="s">
        <v>19</v>
      </c>
      <c r="L1556" t="s">
        <v>20</v>
      </c>
      <c r="M1556" s="9">
        <v>69101</v>
      </c>
      <c r="N1556" t="s">
        <v>3477</v>
      </c>
      <c r="O1556">
        <v>18</v>
      </c>
      <c r="P1556" t="s">
        <v>3477</v>
      </c>
      <c r="Q1556">
        <v>18</v>
      </c>
      <c r="R1556" s="13">
        <v>18000</v>
      </c>
      <c r="S1556" s="13">
        <v>12600</v>
      </c>
    </row>
    <row r="1557" spans="1:19">
      <c r="A1557" s="9" t="s">
        <v>22</v>
      </c>
      <c r="B1557" s="9" t="s">
        <v>26</v>
      </c>
      <c r="C1557" s="9" t="s">
        <v>80</v>
      </c>
      <c r="D1557" t="s">
        <v>204</v>
      </c>
      <c r="F1557" s="12" t="s">
        <v>3057</v>
      </c>
      <c r="G1557" s="10" t="s">
        <v>1222</v>
      </c>
      <c r="H1557" s="10" t="s">
        <v>1222</v>
      </c>
      <c r="K1557" t="s">
        <v>19</v>
      </c>
      <c r="L1557" t="s">
        <v>20</v>
      </c>
      <c r="M1557" s="9">
        <v>69101</v>
      </c>
      <c r="N1557" t="s">
        <v>3477</v>
      </c>
      <c r="O1557">
        <v>18</v>
      </c>
      <c r="P1557" t="s">
        <v>3477</v>
      </c>
      <c r="Q1557">
        <v>18</v>
      </c>
      <c r="R1557" s="13">
        <v>20700</v>
      </c>
      <c r="S1557" s="13">
        <v>14489.999999999998</v>
      </c>
    </row>
    <row r="1558" spans="1:19">
      <c r="A1558" s="9" t="s">
        <v>23</v>
      </c>
      <c r="B1558" s="9" t="s">
        <v>26</v>
      </c>
      <c r="C1558" s="9" t="s">
        <v>80</v>
      </c>
      <c r="D1558" t="s">
        <v>204</v>
      </c>
      <c r="F1558" s="12" t="s">
        <v>3058</v>
      </c>
      <c r="G1558" s="10" t="s">
        <v>1223</v>
      </c>
      <c r="H1558" s="10" t="s">
        <v>1223</v>
      </c>
      <c r="K1558" t="s">
        <v>19</v>
      </c>
      <c r="L1558" t="s">
        <v>20</v>
      </c>
      <c r="M1558" s="9">
        <v>69101</v>
      </c>
      <c r="N1558" t="s">
        <v>3477</v>
      </c>
      <c r="O1558">
        <v>18</v>
      </c>
      <c r="P1558" t="s">
        <v>3477</v>
      </c>
      <c r="Q1558">
        <v>18</v>
      </c>
      <c r="R1558" s="13">
        <v>22098</v>
      </c>
      <c r="S1558" s="13">
        <v>13258.8</v>
      </c>
    </row>
    <row r="1559" spans="1:19">
      <c r="A1559" s="9" t="s">
        <v>23</v>
      </c>
      <c r="B1559" s="9" t="s">
        <v>26</v>
      </c>
      <c r="C1559" s="9" t="s">
        <v>80</v>
      </c>
      <c r="D1559" t="s">
        <v>204</v>
      </c>
      <c r="F1559" s="12" t="s">
        <v>3059</v>
      </c>
      <c r="G1559" s="10" t="s">
        <v>1224</v>
      </c>
      <c r="H1559" s="10" t="s">
        <v>1224</v>
      </c>
      <c r="K1559" t="s">
        <v>19</v>
      </c>
      <c r="L1559" t="s">
        <v>20</v>
      </c>
      <c r="M1559" s="9">
        <v>69101</v>
      </c>
      <c r="N1559" t="s">
        <v>3477</v>
      </c>
      <c r="O1559">
        <v>18</v>
      </c>
      <c r="P1559" t="s">
        <v>3477</v>
      </c>
      <c r="Q1559">
        <v>18</v>
      </c>
      <c r="R1559" s="13">
        <v>22098</v>
      </c>
      <c r="S1559" s="13">
        <v>13258.8</v>
      </c>
    </row>
    <row r="1560" spans="1:19">
      <c r="A1560" s="9" t="s">
        <v>22</v>
      </c>
      <c r="B1560" s="9" t="s">
        <v>26</v>
      </c>
      <c r="C1560" s="9" t="s">
        <v>80</v>
      </c>
      <c r="D1560" t="s">
        <v>204</v>
      </c>
      <c r="F1560" s="12" t="s">
        <v>3060</v>
      </c>
      <c r="G1560" s="10" t="s">
        <v>1225</v>
      </c>
      <c r="H1560" s="10" t="s">
        <v>1225</v>
      </c>
      <c r="K1560" t="s">
        <v>19</v>
      </c>
      <c r="L1560" t="s">
        <v>20</v>
      </c>
      <c r="M1560" s="9">
        <v>69101</v>
      </c>
      <c r="N1560" t="s">
        <v>3477</v>
      </c>
      <c r="O1560">
        <v>18</v>
      </c>
      <c r="P1560" t="s">
        <v>3477</v>
      </c>
      <c r="Q1560">
        <v>18</v>
      </c>
      <c r="R1560" s="13">
        <v>20700</v>
      </c>
      <c r="S1560" s="13">
        <v>14489.999999999998</v>
      </c>
    </row>
    <row r="1561" spans="1:19">
      <c r="A1561" s="9" t="s">
        <v>23</v>
      </c>
      <c r="B1561" s="9" t="s">
        <v>26</v>
      </c>
      <c r="C1561" s="9" t="s">
        <v>80</v>
      </c>
      <c r="D1561" t="s">
        <v>204</v>
      </c>
      <c r="F1561" s="12" t="s">
        <v>3061</v>
      </c>
      <c r="G1561" s="10" t="s">
        <v>1226</v>
      </c>
      <c r="H1561" s="10" t="s">
        <v>1226</v>
      </c>
      <c r="K1561" t="s">
        <v>19</v>
      </c>
      <c r="L1561" t="s">
        <v>20</v>
      </c>
      <c r="M1561" s="9">
        <v>69101</v>
      </c>
      <c r="N1561" t="s">
        <v>3477</v>
      </c>
      <c r="O1561">
        <v>18</v>
      </c>
      <c r="P1561" t="s">
        <v>3477</v>
      </c>
      <c r="Q1561">
        <v>18</v>
      </c>
      <c r="R1561" s="13">
        <v>52000</v>
      </c>
      <c r="S1561" s="13">
        <v>31200</v>
      </c>
    </row>
    <row r="1562" spans="1:19">
      <c r="A1562" s="9" t="s">
        <v>22</v>
      </c>
      <c r="B1562" s="9" t="s">
        <v>27</v>
      </c>
      <c r="C1562" s="9" t="s">
        <v>134</v>
      </c>
      <c r="D1562" t="s">
        <v>204</v>
      </c>
      <c r="F1562" s="12" t="s">
        <v>3062</v>
      </c>
      <c r="G1562" s="10" t="s">
        <v>1226</v>
      </c>
      <c r="H1562" s="10" t="s">
        <v>1226</v>
      </c>
      <c r="K1562" t="s">
        <v>19</v>
      </c>
      <c r="L1562" t="s">
        <v>20</v>
      </c>
      <c r="M1562" s="9">
        <v>73249</v>
      </c>
      <c r="N1562" t="s">
        <v>3477</v>
      </c>
      <c r="O1562">
        <v>18</v>
      </c>
      <c r="P1562" t="s">
        <v>3477</v>
      </c>
      <c r="Q1562">
        <v>18</v>
      </c>
      <c r="R1562" s="13">
        <v>45780</v>
      </c>
      <c r="S1562" s="13">
        <v>32045.999999999996</v>
      </c>
    </row>
    <row r="1563" spans="1:19">
      <c r="A1563" s="9" t="s">
        <v>22</v>
      </c>
      <c r="B1563" s="9" t="s">
        <v>38</v>
      </c>
      <c r="C1563" s="9" t="s">
        <v>128</v>
      </c>
      <c r="D1563" t="s">
        <v>204</v>
      </c>
      <c r="F1563" s="12" t="s">
        <v>3063</v>
      </c>
      <c r="G1563" s="10" t="s">
        <v>1227</v>
      </c>
      <c r="H1563" s="10" t="s">
        <v>1227</v>
      </c>
      <c r="K1563" t="s">
        <v>19</v>
      </c>
      <c r="L1563" t="s">
        <v>20</v>
      </c>
      <c r="M1563" s="9">
        <v>73249</v>
      </c>
      <c r="N1563" t="s">
        <v>3477</v>
      </c>
      <c r="O1563">
        <v>18</v>
      </c>
      <c r="P1563" t="s">
        <v>3477</v>
      </c>
      <c r="Q1563">
        <v>18</v>
      </c>
      <c r="R1563" s="13">
        <v>38230</v>
      </c>
      <c r="S1563" s="13">
        <v>26761</v>
      </c>
    </row>
    <row r="1564" spans="1:19">
      <c r="A1564" s="9" t="s">
        <v>23</v>
      </c>
      <c r="B1564" s="9" t="s">
        <v>26</v>
      </c>
      <c r="C1564" s="9" t="s">
        <v>156</v>
      </c>
      <c r="D1564" t="s">
        <v>204</v>
      </c>
      <c r="F1564" s="12" t="s">
        <v>3064</v>
      </c>
      <c r="G1564" s="10" t="s">
        <v>1228</v>
      </c>
      <c r="H1564" s="10" t="s">
        <v>1228</v>
      </c>
      <c r="K1564" t="s">
        <v>19</v>
      </c>
      <c r="L1564" t="s">
        <v>20</v>
      </c>
      <c r="M1564" s="9">
        <v>69101</v>
      </c>
      <c r="N1564" t="s">
        <v>3477</v>
      </c>
      <c r="O1564">
        <v>18</v>
      </c>
      <c r="P1564" t="s">
        <v>3477</v>
      </c>
      <c r="Q1564">
        <v>18</v>
      </c>
      <c r="R1564" s="13">
        <v>740000</v>
      </c>
      <c r="S1564" s="13">
        <v>444000</v>
      </c>
    </row>
    <row r="1565" spans="1:19">
      <c r="A1565" s="9" t="s">
        <v>22</v>
      </c>
      <c r="B1565" s="9" t="s">
        <v>26</v>
      </c>
      <c r="C1565" s="9" t="s">
        <v>127</v>
      </c>
      <c r="D1565" t="s">
        <v>204</v>
      </c>
      <c r="F1565" s="12" t="s">
        <v>3065</v>
      </c>
      <c r="G1565" s="10" t="s">
        <v>1229</v>
      </c>
      <c r="H1565" s="10" t="s">
        <v>1229</v>
      </c>
      <c r="K1565" t="s">
        <v>19</v>
      </c>
      <c r="L1565" t="s">
        <v>20</v>
      </c>
      <c r="M1565" s="9">
        <v>39229</v>
      </c>
      <c r="N1565" t="s">
        <v>3477</v>
      </c>
      <c r="O1565">
        <v>18</v>
      </c>
      <c r="P1565" t="s">
        <v>3477</v>
      </c>
      <c r="Q1565">
        <v>18</v>
      </c>
      <c r="R1565" s="13">
        <v>2400</v>
      </c>
      <c r="S1565" s="13">
        <v>1680</v>
      </c>
    </row>
    <row r="1566" spans="1:19">
      <c r="A1566" s="9" t="s">
        <v>22</v>
      </c>
      <c r="B1566" s="9" t="s">
        <v>26</v>
      </c>
      <c r="C1566" s="9" t="s">
        <v>127</v>
      </c>
      <c r="D1566" t="s">
        <v>204</v>
      </c>
      <c r="F1566" s="12" t="s">
        <v>3066</v>
      </c>
      <c r="G1566" s="10" t="s">
        <v>1230</v>
      </c>
      <c r="H1566" s="10" t="s">
        <v>1230</v>
      </c>
      <c r="K1566" t="s">
        <v>19</v>
      </c>
      <c r="L1566" t="s">
        <v>20</v>
      </c>
      <c r="M1566" s="9">
        <v>39229</v>
      </c>
      <c r="N1566" t="s">
        <v>3477</v>
      </c>
      <c r="O1566">
        <v>18</v>
      </c>
      <c r="P1566" t="s">
        <v>3477</v>
      </c>
      <c r="Q1566">
        <v>18</v>
      </c>
      <c r="R1566" s="13">
        <v>2450</v>
      </c>
      <c r="S1566" s="13">
        <v>1715</v>
      </c>
    </row>
    <row r="1567" spans="1:19">
      <c r="A1567" s="9" t="s">
        <v>22</v>
      </c>
      <c r="B1567" s="9" t="s">
        <v>40</v>
      </c>
      <c r="C1567" s="9" t="s">
        <v>44</v>
      </c>
      <c r="D1567" t="s">
        <v>204</v>
      </c>
      <c r="F1567" s="12" t="s">
        <v>3067</v>
      </c>
      <c r="G1567" s="10" t="s">
        <v>1231</v>
      </c>
      <c r="H1567" s="10" t="s">
        <v>1231</v>
      </c>
      <c r="K1567" t="s">
        <v>19</v>
      </c>
      <c r="L1567" t="s">
        <v>20</v>
      </c>
      <c r="M1567" s="9">
        <v>8424899</v>
      </c>
      <c r="N1567" t="s">
        <v>3477</v>
      </c>
      <c r="O1567">
        <v>18</v>
      </c>
      <c r="P1567" t="s">
        <v>3477</v>
      </c>
      <c r="Q1567">
        <v>18</v>
      </c>
      <c r="R1567" s="13">
        <v>22450</v>
      </c>
      <c r="S1567" s="13">
        <v>15714.999999999998</v>
      </c>
    </row>
    <row r="1568" spans="1:19">
      <c r="A1568" s="9" t="s">
        <v>22</v>
      </c>
      <c r="B1568" s="9" t="s">
        <v>27</v>
      </c>
      <c r="C1568" s="9" t="s">
        <v>44</v>
      </c>
      <c r="D1568" t="s">
        <v>204</v>
      </c>
      <c r="F1568" s="12" t="s">
        <v>3068</v>
      </c>
      <c r="G1568" s="10" t="s">
        <v>1232</v>
      </c>
      <c r="H1568" s="10" t="s">
        <v>1232</v>
      </c>
      <c r="K1568" t="s">
        <v>19</v>
      </c>
      <c r="L1568" t="s">
        <v>20</v>
      </c>
      <c r="M1568" s="9">
        <v>8424899</v>
      </c>
      <c r="N1568" t="s">
        <v>3477</v>
      </c>
      <c r="O1568">
        <v>18</v>
      </c>
      <c r="P1568" t="s">
        <v>3477</v>
      </c>
      <c r="Q1568">
        <v>18</v>
      </c>
      <c r="R1568" s="13">
        <v>27300</v>
      </c>
      <c r="S1568" s="13">
        <v>19110</v>
      </c>
    </row>
    <row r="1569" spans="1:19">
      <c r="A1569" s="9" t="s">
        <v>22</v>
      </c>
      <c r="B1569" s="9" t="s">
        <v>27</v>
      </c>
      <c r="C1569" s="9" t="s">
        <v>64</v>
      </c>
      <c r="D1569" t="s">
        <v>204</v>
      </c>
      <c r="F1569" s="12" t="s">
        <v>3069</v>
      </c>
      <c r="G1569" s="10" t="s">
        <v>1233</v>
      </c>
      <c r="H1569" s="10" t="s">
        <v>1233</v>
      </c>
      <c r="K1569" t="s">
        <v>19</v>
      </c>
      <c r="L1569" t="s">
        <v>20</v>
      </c>
      <c r="M1569" s="9">
        <v>39229</v>
      </c>
      <c r="N1569" t="s">
        <v>3477</v>
      </c>
      <c r="O1569">
        <v>18</v>
      </c>
      <c r="P1569" t="s">
        <v>3477</v>
      </c>
      <c r="Q1569">
        <v>18</v>
      </c>
      <c r="R1569" s="13">
        <v>15000</v>
      </c>
      <c r="S1569" s="13">
        <v>10500</v>
      </c>
    </row>
    <row r="1570" spans="1:19">
      <c r="A1570" s="9" t="s">
        <v>22</v>
      </c>
      <c r="B1570" s="9" t="s">
        <v>41</v>
      </c>
      <c r="C1570" s="9" t="s">
        <v>50</v>
      </c>
      <c r="D1570" t="s">
        <v>204</v>
      </c>
      <c r="F1570" s="12" t="s">
        <v>3070</v>
      </c>
      <c r="G1570" s="10" t="s">
        <v>951</v>
      </c>
      <c r="H1570" s="10" t="s">
        <v>951</v>
      </c>
      <c r="K1570" t="s">
        <v>19</v>
      </c>
      <c r="L1570" t="s">
        <v>20</v>
      </c>
      <c r="M1570" s="9">
        <v>39229</v>
      </c>
      <c r="N1570" t="s">
        <v>3477</v>
      </c>
      <c r="O1570">
        <v>18</v>
      </c>
      <c r="P1570" t="s">
        <v>3477</v>
      </c>
      <c r="Q1570">
        <v>18</v>
      </c>
      <c r="R1570" s="13">
        <v>318</v>
      </c>
      <c r="S1570" s="13">
        <v>222.6</v>
      </c>
    </row>
    <row r="1571" spans="1:19">
      <c r="A1571" s="9" t="s">
        <v>22</v>
      </c>
      <c r="B1571" s="9" t="s">
        <v>32</v>
      </c>
      <c r="C1571" s="9" t="s">
        <v>173</v>
      </c>
      <c r="D1571" t="s">
        <v>204</v>
      </c>
      <c r="F1571" s="12" t="s">
        <v>3071</v>
      </c>
      <c r="G1571" s="10" t="s">
        <v>1234</v>
      </c>
      <c r="H1571" s="10" t="s">
        <v>1234</v>
      </c>
      <c r="K1571" t="s">
        <v>19</v>
      </c>
      <c r="L1571" t="s">
        <v>20</v>
      </c>
      <c r="M1571" s="9">
        <v>8402199</v>
      </c>
      <c r="N1571" t="s">
        <v>3477</v>
      </c>
      <c r="O1571">
        <v>18</v>
      </c>
      <c r="P1571" t="s">
        <v>3477</v>
      </c>
      <c r="Q1571">
        <v>18</v>
      </c>
      <c r="R1571" s="13">
        <v>162000</v>
      </c>
      <c r="S1571" s="13">
        <v>113400</v>
      </c>
    </row>
    <row r="1572" spans="1:19">
      <c r="A1572" s="9" t="s">
        <v>22</v>
      </c>
      <c r="B1572" s="9" t="s">
        <v>35</v>
      </c>
      <c r="C1572" s="9" t="s">
        <v>191</v>
      </c>
      <c r="D1572" t="s">
        <v>204</v>
      </c>
      <c r="F1572" s="12" t="s">
        <v>3072</v>
      </c>
      <c r="G1572" s="10" t="s">
        <v>947</v>
      </c>
      <c r="H1572" s="10" t="s">
        <v>947</v>
      </c>
      <c r="K1572" t="s">
        <v>19</v>
      </c>
      <c r="L1572" t="s">
        <v>20</v>
      </c>
      <c r="M1572" s="9">
        <v>8536909</v>
      </c>
      <c r="N1572" t="s">
        <v>3477</v>
      </c>
      <c r="O1572">
        <v>18</v>
      </c>
      <c r="P1572" t="s">
        <v>3477</v>
      </c>
      <c r="Q1572">
        <v>18</v>
      </c>
      <c r="R1572" s="13">
        <v>40600</v>
      </c>
      <c r="S1572" s="13">
        <v>28420</v>
      </c>
    </row>
    <row r="1573" spans="1:19">
      <c r="A1573" s="9" t="s">
        <v>23</v>
      </c>
      <c r="B1573" s="9" t="s">
        <v>27</v>
      </c>
      <c r="C1573" s="9" t="s">
        <v>67</v>
      </c>
      <c r="D1573" t="s">
        <v>204</v>
      </c>
      <c r="F1573" s="12" t="s">
        <v>3073</v>
      </c>
      <c r="G1573" s="10" t="s">
        <v>947</v>
      </c>
      <c r="H1573" s="10" t="s">
        <v>947</v>
      </c>
      <c r="K1573" t="s">
        <v>19</v>
      </c>
      <c r="L1573" t="s">
        <v>20</v>
      </c>
      <c r="M1573" s="9">
        <v>732429</v>
      </c>
      <c r="N1573" t="s">
        <v>3477</v>
      </c>
      <c r="O1573">
        <v>18</v>
      </c>
      <c r="P1573" t="s">
        <v>3477</v>
      </c>
      <c r="Q1573">
        <v>18</v>
      </c>
      <c r="R1573" s="13">
        <v>40020</v>
      </c>
      <c r="S1573" s="13">
        <v>24012</v>
      </c>
    </row>
    <row r="1574" spans="1:19">
      <c r="A1574" s="9" t="s">
        <v>23</v>
      </c>
      <c r="B1574" s="9" t="s">
        <v>32</v>
      </c>
      <c r="C1574" s="9" t="s">
        <v>67</v>
      </c>
      <c r="D1574" t="s">
        <v>204</v>
      </c>
      <c r="F1574" s="12" t="s">
        <v>3074</v>
      </c>
      <c r="G1574" s="10" t="s">
        <v>947</v>
      </c>
      <c r="H1574" s="10" t="s">
        <v>947</v>
      </c>
      <c r="K1574" t="s">
        <v>19</v>
      </c>
      <c r="L1574" t="s">
        <v>20</v>
      </c>
      <c r="M1574" s="9">
        <v>732429</v>
      </c>
      <c r="N1574" t="s">
        <v>3477</v>
      </c>
      <c r="O1574">
        <v>18</v>
      </c>
      <c r="P1574" t="s">
        <v>3477</v>
      </c>
      <c r="Q1574">
        <v>18</v>
      </c>
      <c r="R1574" s="13">
        <v>48000</v>
      </c>
      <c r="S1574" s="13">
        <v>28800</v>
      </c>
    </row>
    <row r="1575" spans="1:19">
      <c r="A1575" s="9" t="s">
        <v>22</v>
      </c>
      <c r="B1575" s="9" t="s">
        <v>32</v>
      </c>
      <c r="C1575" s="9" t="s">
        <v>67</v>
      </c>
      <c r="D1575" t="s">
        <v>204</v>
      </c>
      <c r="F1575" s="12" t="s">
        <v>3075</v>
      </c>
      <c r="G1575" s="10" t="s">
        <v>948</v>
      </c>
      <c r="H1575" s="10" t="s">
        <v>948</v>
      </c>
      <c r="K1575" t="s">
        <v>19</v>
      </c>
      <c r="L1575" t="s">
        <v>20</v>
      </c>
      <c r="M1575" s="9">
        <v>8402909</v>
      </c>
      <c r="N1575" t="s">
        <v>3477</v>
      </c>
      <c r="O1575">
        <v>18</v>
      </c>
      <c r="P1575" t="s">
        <v>3477</v>
      </c>
      <c r="Q1575">
        <v>18</v>
      </c>
      <c r="R1575" s="13">
        <v>35000</v>
      </c>
      <c r="S1575" s="13">
        <v>24500</v>
      </c>
    </row>
    <row r="1576" spans="1:19">
      <c r="A1576" s="9" t="s">
        <v>22</v>
      </c>
      <c r="B1576" s="9" t="s">
        <v>32</v>
      </c>
      <c r="C1576" s="9" t="s">
        <v>134</v>
      </c>
      <c r="D1576" t="s">
        <v>204</v>
      </c>
      <c r="F1576" s="12" t="s">
        <v>3076</v>
      </c>
      <c r="G1576" s="10" t="s">
        <v>948</v>
      </c>
      <c r="H1576" s="10" t="s">
        <v>948</v>
      </c>
      <c r="K1576" t="s">
        <v>19</v>
      </c>
      <c r="L1576" t="s">
        <v>20</v>
      </c>
      <c r="M1576" s="9">
        <v>85371</v>
      </c>
      <c r="N1576" t="s">
        <v>3477</v>
      </c>
      <c r="O1576">
        <v>18</v>
      </c>
      <c r="P1576" t="s">
        <v>3477</v>
      </c>
      <c r="Q1576">
        <v>18</v>
      </c>
      <c r="R1576" s="13">
        <v>43000</v>
      </c>
      <c r="S1576" s="13">
        <v>30099.999999999996</v>
      </c>
    </row>
    <row r="1577" spans="1:19">
      <c r="A1577" s="9" t="s">
        <v>22</v>
      </c>
      <c r="B1577" s="9" t="s">
        <v>32</v>
      </c>
      <c r="C1577" s="9" t="s">
        <v>67</v>
      </c>
      <c r="D1577" t="s">
        <v>204</v>
      </c>
      <c r="F1577" s="12" t="s">
        <v>3077</v>
      </c>
      <c r="G1577" s="10" t="s">
        <v>1235</v>
      </c>
      <c r="H1577" s="10" t="s">
        <v>1235</v>
      </c>
      <c r="K1577" t="s">
        <v>19</v>
      </c>
      <c r="L1577" t="s">
        <v>20</v>
      </c>
      <c r="M1577" s="9">
        <v>85371</v>
      </c>
      <c r="N1577" t="s">
        <v>3477</v>
      </c>
      <c r="O1577">
        <v>18</v>
      </c>
      <c r="P1577" t="s">
        <v>3477</v>
      </c>
      <c r="Q1577">
        <v>18</v>
      </c>
      <c r="R1577" s="13">
        <v>30000</v>
      </c>
      <c r="S1577" s="13">
        <v>21000</v>
      </c>
    </row>
    <row r="1578" spans="1:19">
      <c r="A1578" s="9" t="s">
        <v>22</v>
      </c>
      <c r="B1578" s="9" t="s">
        <v>32</v>
      </c>
      <c r="C1578" s="9" t="s">
        <v>191</v>
      </c>
      <c r="D1578" t="s">
        <v>204</v>
      </c>
      <c r="F1578" s="12" t="s">
        <v>3078</v>
      </c>
      <c r="G1578" s="10" t="s">
        <v>1235</v>
      </c>
      <c r="H1578" s="10" t="s">
        <v>1235</v>
      </c>
      <c r="K1578" t="s">
        <v>19</v>
      </c>
      <c r="L1578" t="s">
        <v>20</v>
      </c>
      <c r="M1578" s="9">
        <v>8481801</v>
      </c>
      <c r="N1578" t="s">
        <v>3477</v>
      </c>
      <c r="O1578">
        <v>18</v>
      </c>
      <c r="P1578" t="s">
        <v>3477</v>
      </c>
      <c r="Q1578">
        <v>18</v>
      </c>
      <c r="R1578" s="13">
        <v>62500</v>
      </c>
      <c r="S1578" s="13">
        <v>43750</v>
      </c>
    </row>
    <row r="1579" spans="1:19">
      <c r="A1579" s="9" t="s">
        <v>22</v>
      </c>
      <c r="B1579" s="9" t="s">
        <v>32</v>
      </c>
      <c r="C1579" s="9" t="s">
        <v>191</v>
      </c>
      <c r="D1579" t="s">
        <v>204</v>
      </c>
      <c r="F1579" s="12" t="s">
        <v>3079</v>
      </c>
      <c r="G1579" s="10" t="s">
        <v>1235</v>
      </c>
      <c r="H1579" s="10" t="s">
        <v>1235</v>
      </c>
      <c r="K1579" t="s">
        <v>19</v>
      </c>
      <c r="L1579" t="s">
        <v>20</v>
      </c>
      <c r="M1579" s="9">
        <v>8481801</v>
      </c>
      <c r="N1579" t="s">
        <v>3477</v>
      </c>
      <c r="O1579">
        <v>18</v>
      </c>
      <c r="P1579" t="s">
        <v>3477</v>
      </c>
      <c r="Q1579">
        <v>18</v>
      </c>
      <c r="R1579" s="13">
        <v>70000</v>
      </c>
      <c r="S1579" s="13">
        <v>49000</v>
      </c>
    </row>
    <row r="1580" spans="1:19">
      <c r="A1580" s="9" t="s">
        <v>22</v>
      </c>
      <c r="B1580" s="9" t="s">
        <v>32</v>
      </c>
      <c r="C1580" s="9" t="s">
        <v>191</v>
      </c>
      <c r="D1580" t="s">
        <v>204</v>
      </c>
      <c r="F1580" s="12" t="s">
        <v>3080</v>
      </c>
      <c r="G1580" s="10" t="s">
        <v>1236</v>
      </c>
      <c r="H1580" s="10" t="s">
        <v>1236</v>
      </c>
      <c r="K1580" t="s">
        <v>19</v>
      </c>
      <c r="L1580" t="s">
        <v>20</v>
      </c>
      <c r="M1580" s="9">
        <v>8481801</v>
      </c>
      <c r="N1580" t="s">
        <v>3477</v>
      </c>
      <c r="O1580">
        <v>18</v>
      </c>
      <c r="P1580" t="s">
        <v>3477</v>
      </c>
      <c r="Q1580">
        <v>18</v>
      </c>
      <c r="R1580" s="13">
        <v>75000</v>
      </c>
      <c r="S1580" s="13">
        <v>52500</v>
      </c>
    </row>
    <row r="1581" spans="1:19">
      <c r="A1581" s="9" t="s">
        <v>22</v>
      </c>
      <c r="B1581" s="9" t="s">
        <v>32</v>
      </c>
      <c r="C1581" s="9" t="s">
        <v>134</v>
      </c>
      <c r="D1581" t="s">
        <v>204</v>
      </c>
      <c r="F1581" s="12" t="s">
        <v>3081</v>
      </c>
      <c r="G1581" s="10" t="s">
        <v>1237</v>
      </c>
      <c r="H1581" s="10" t="s">
        <v>1237</v>
      </c>
      <c r="K1581" t="s">
        <v>19</v>
      </c>
      <c r="L1581" t="s">
        <v>20</v>
      </c>
      <c r="M1581" s="9">
        <v>7323999</v>
      </c>
      <c r="N1581" t="s">
        <v>3477</v>
      </c>
      <c r="O1581">
        <v>18</v>
      </c>
      <c r="P1581" t="s">
        <v>3477</v>
      </c>
      <c r="Q1581">
        <v>18</v>
      </c>
      <c r="R1581" s="13">
        <v>15000</v>
      </c>
      <c r="S1581" s="13">
        <v>10500</v>
      </c>
    </row>
    <row r="1582" spans="1:19">
      <c r="A1582" s="9" t="s">
        <v>22</v>
      </c>
      <c r="B1582" s="9" t="s">
        <v>32</v>
      </c>
      <c r="C1582" s="9" t="s">
        <v>67</v>
      </c>
      <c r="D1582" t="s">
        <v>204</v>
      </c>
      <c r="F1582" s="12" t="s">
        <v>3082</v>
      </c>
      <c r="G1582" s="10" t="s">
        <v>1238</v>
      </c>
      <c r="H1582" s="10" t="s">
        <v>1238</v>
      </c>
      <c r="K1582" t="s">
        <v>19</v>
      </c>
      <c r="L1582" t="s">
        <v>20</v>
      </c>
      <c r="M1582" s="9">
        <v>8402909</v>
      </c>
      <c r="N1582" t="s">
        <v>3477</v>
      </c>
      <c r="O1582">
        <v>18</v>
      </c>
      <c r="P1582" t="s">
        <v>3477</v>
      </c>
      <c r="Q1582">
        <v>18</v>
      </c>
      <c r="R1582" s="13">
        <v>15000</v>
      </c>
      <c r="S1582" s="13">
        <v>10500</v>
      </c>
    </row>
    <row r="1583" spans="1:19">
      <c r="A1583" s="9" t="s">
        <v>22</v>
      </c>
      <c r="B1583" s="9" t="s">
        <v>26</v>
      </c>
      <c r="C1583" s="9" t="s">
        <v>103</v>
      </c>
      <c r="D1583" t="s">
        <v>204</v>
      </c>
      <c r="F1583" s="12" t="s">
        <v>3083</v>
      </c>
      <c r="G1583" s="10" t="s">
        <v>1239</v>
      </c>
      <c r="H1583" s="10" t="s">
        <v>1239</v>
      </c>
      <c r="K1583" t="s">
        <v>19</v>
      </c>
      <c r="L1583" t="s">
        <v>20</v>
      </c>
      <c r="M1583" s="9">
        <v>69101</v>
      </c>
      <c r="N1583" t="s">
        <v>3477</v>
      </c>
      <c r="O1583">
        <v>18</v>
      </c>
      <c r="P1583" t="s">
        <v>3477</v>
      </c>
      <c r="Q1583">
        <v>18</v>
      </c>
      <c r="R1583" s="13">
        <v>13000</v>
      </c>
      <c r="S1583" s="13">
        <v>9100</v>
      </c>
    </row>
    <row r="1584" spans="1:19">
      <c r="A1584" s="9" t="s">
        <v>23</v>
      </c>
      <c r="B1584" s="9" t="s">
        <v>27</v>
      </c>
      <c r="C1584" s="9" t="s">
        <v>63</v>
      </c>
      <c r="D1584" t="s">
        <v>204</v>
      </c>
      <c r="F1584" s="12" t="s">
        <v>3084</v>
      </c>
      <c r="G1584" s="10" t="s">
        <v>1240</v>
      </c>
      <c r="H1584" s="10" t="s">
        <v>1240</v>
      </c>
      <c r="K1584" t="s">
        <v>19</v>
      </c>
      <c r="L1584" t="s">
        <v>20</v>
      </c>
      <c r="M1584" s="9">
        <v>8481802</v>
      </c>
      <c r="N1584" t="s">
        <v>3477</v>
      </c>
      <c r="O1584">
        <v>18</v>
      </c>
      <c r="P1584" t="s">
        <v>3477</v>
      </c>
      <c r="Q1584">
        <v>18</v>
      </c>
      <c r="R1584" s="13">
        <v>95700</v>
      </c>
      <c r="S1584" s="13">
        <v>57420</v>
      </c>
    </row>
    <row r="1585" spans="1:19">
      <c r="A1585" s="9" t="s">
        <v>23</v>
      </c>
      <c r="B1585" s="9" t="s">
        <v>27</v>
      </c>
      <c r="C1585" s="9" t="s">
        <v>63</v>
      </c>
      <c r="D1585" t="s">
        <v>204</v>
      </c>
      <c r="F1585" s="12" t="s">
        <v>3085</v>
      </c>
      <c r="G1585" s="10" t="s">
        <v>1241</v>
      </c>
      <c r="H1585" s="10" t="s">
        <v>1241</v>
      </c>
      <c r="K1585" t="s">
        <v>19</v>
      </c>
      <c r="L1585" t="s">
        <v>20</v>
      </c>
      <c r="M1585" s="9">
        <v>8481802</v>
      </c>
      <c r="N1585" t="s">
        <v>3477</v>
      </c>
      <c r="O1585">
        <v>18</v>
      </c>
      <c r="P1585" t="s">
        <v>3477</v>
      </c>
      <c r="Q1585">
        <v>18</v>
      </c>
      <c r="R1585" s="13">
        <v>129000</v>
      </c>
      <c r="S1585" s="13">
        <v>77400</v>
      </c>
    </row>
    <row r="1586" spans="1:19">
      <c r="A1586" s="9" t="s">
        <v>24</v>
      </c>
      <c r="B1586" s="9" t="s">
        <v>26</v>
      </c>
      <c r="C1586" s="9" t="s">
        <v>192</v>
      </c>
      <c r="D1586" t="s">
        <v>204</v>
      </c>
      <c r="F1586" s="12" t="s">
        <v>3086</v>
      </c>
      <c r="G1586" s="10" t="s">
        <v>1242</v>
      </c>
      <c r="H1586" s="10" t="s">
        <v>1242</v>
      </c>
      <c r="K1586" t="s">
        <v>19</v>
      </c>
      <c r="L1586" t="s">
        <v>20</v>
      </c>
      <c r="M1586" s="9">
        <v>69101</v>
      </c>
      <c r="N1586" t="s">
        <v>3477</v>
      </c>
      <c r="O1586">
        <v>18</v>
      </c>
      <c r="P1586" t="s">
        <v>3477</v>
      </c>
      <c r="Q1586">
        <v>18</v>
      </c>
      <c r="R1586" s="13">
        <v>1500</v>
      </c>
      <c r="S1586" s="13">
        <v>1125</v>
      </c>
    </row>
    <row r="1587" spans="1:19">
      <c r="A1587" s="9" t="s">
        <v>23</v>
      </c>
      <c r="B1587" s="9" t="s">
        <v>27</v>
      </c>
      <c r="C1587" s="9" t="s">
        <v>193</v>
      </c>
      <c r="D1587" t="s">
        <v>204</v>
      </c>
      <c r="F1587" s="12" t="s">
        <v>3087</v>
      </c>
      <c r="G1587" s="10" t="s">
        <v>1242</v>
      </c>
      <c r="H1587" s="10" t="s">
        <v>1242</v>
      </c>
      <c r="K1587" t="s">
        <v>19</v>
      </c>
      <c r="L1587" t="s">
        <v>20</v>
      </c>
      <c r="M1587" s="9">
        <v>85371</v>
      </c>
      <c r="N1587" t="s">
        <v>3477</v>
      </c>
      <c r="O1587">
        <v>18</v>
      </c>
      <c r="P1587" t="s">
        <v>3477</v>
      </c>
      <c r="Q1587">
        <v>18</v>
      </c>
      <c r="R1587" s="13">
        <v>6250</v>
      </c>
      <c r="S1587" s="13">
        <v>3750</v>
      </c>
    </row>
    <row r="1588" spans="1:19">
      <c r="A1588" s="9" t="s">
        <v>23</v>
      </c>
      <c r="B1588" s="9" t="s">
        <v>27</v>
      </c>
      <c r="C1588" s="9" t="s">
        <v>193</v>
      </c>
      <c r="D1588" t="s">
        <v>204</v>
      </c>
      <c r="F1588" s="12" t="s">
        <v>3088</v>
      </c>
      <c r="G1588" s="10" t="s">
        <v>1242</v>
      </c>
      <c r="H1588" s="10" t="s">
        <v>1242</v>
      </c>
      <c r="K1588" t="s">
        <v>19</v>
      </c>
      <c r="L1588" t="s">
        <v>20</v>
      </c>
      <c r="M1588" s="9">
        <v>85371</v>
      </c>
      <c r="N1588" t="s">
        <v>3477</v>
      </c>
      <c r="O1588">
        <v>18</v>
      </c>
      <c r="P1588" t="s">
        <v>3477</v>
      </c>
      <c r="Q1588">
        <v>18</v>
      </c>
      <c r="R1588" s="13">
        <v>5780</v>
      </c>
      <c r="S1588" s="13">
        <v>3468</v>
      </c>
    </row>
    <row r="1589" spans="1:19">
      <c r="A1589" s="9" t="s">
        <v>23</v>
      </c>
      <c r="B1589" s="9" t="s">
        <v>27</v>
      </c>
      <c r="C1589" s="9" t="s">
        <v>193</v>
      </c>
      <c r="D1589" t="s">
        <v>204</v>
      </c>
      <c r="F1589" s="12" t="s">
        <v>3089</v>
      </c>
      <c r="G1589" s="10" t="s">
        <v>1243</v>
      </c>
      <c r="H1589" s="10" t="s">
        <v>1243</v>
      </c>
      <c r="K1589" t="s">
        <v>19</v>
      </c>
      <c r="L1589" t="s">
        <v>20</v>
      </c>
      <c r="M1589" s="9">
        <v>85371</v>
      </c>
      <c r="N1589" t="s">
        <v>3477</v>
      </c>
      <c r="O1589">
        <v>18</v>
      </c>
      <c r="P1589" t="s">
        <v>3477</v>
      </c>
      <c r="Q1589">
        <v>18</v>
      </c>
      <c r="R1589" s="13">
        <v>7280</v>
      </c>
      <c r="S1589" s="13">
        <v>4368</v>
      </c>
    </row>
    <row r="1590" spans="1:19">
      <c r="A1590" s="9" t="s">
        <v>24</v>
      </c>
      <c r="B1590" s="9" t="s">
        <v>33</v>
      </c>
      <c r="C1590" s="9" t="s">
        <v>147</v>
      </c>
      <c r="D1590" t="s">
        <v>204</v>
      </c>
      <c r="F1590" s="12" t="s">
        <v>3090</v>
      </c>
      <c r="G1590" s="10" t="s">
        <v>1244</v>
      </c>
      <c r="H1590" s="10" t="s">
        <v>1244</v>
      </c>
      <c r="K1590" t="s">
        <v>19</v>
      </c>
      <c r="L1590" t="s">
        <v>20</v>
      </c>
      <c r="M1590" s="9">
        <v>940389</v>
      </c>
      <c r="N1590" t="s">
        <v>3477</v>
      </c>
      <c r="O1590">
        <v>18</v>
      </c>
      <c r="P1590" t="s">
        <v>3477</v>
      </c>
      <c r="Q1590">
        <v>18</v>
      </c>
      <c r="R1590" s="13">
        <v>15300</v>
      </c>
      <c r="S1590" s="13">
        <v>11475</v>
      </c>
    </row>
    <row r="1591" spans="1:19">
      <c r="A1591" s="9" t="s">
        <v>24</v>
      </c>
      <c r="B1591" s="9" t="s">
        <v>33</v>
      </c>
      <c r="C1591" s="9" t="s">
        <v>147</v>
      </c>
      <c r="D1591" t="s">
        <v>204</v>
      </c>
      <c r="F1591" s="12" t="s">
        <v>3091</v>
      </c>
      <c r="G1591" s="10" t="s">
        <v>1245</v>
      </c>
      <c r="H1591" s="10" t="s">
        <v>1245</v>
      </c>
      <c r="K1591" t="s">
        <v>19</v>
      </c>
      <c r="L1591" t="s">
        <v>20</v>
      </c>
      <c r="M1591" s="9">
        <v>940389</v>
      </c>
      <c r="N1591" t="s">
        <v>3477</v>
      </c>
      <c r="O1591">
        <v>18</v>
      </c>
      <c r="P1591" t="s">
        <v>3477</v>
      </c>
      <c r="Q1591">
        <v>18</v>
      </c>
      <c r="R1591" s="13">
        <v>15500</v>
      </c>
      <c r="S1591" s="13">
        <v>11625</v>
      </c>
    </row>
    <row r="1592" spans="1:19">
      <c r="A1592" s="9" t="s">
        <v>23</v>
      </c>
      <c r="B1592" s="9" t="s">
        <v>33</v>
      </c>
      <c r="C1592" s="9" t="s">
        <v>147</v>
      </c>
      <c r="D1592" t="s">
        <v>204</v>
      </c>
      <c r="F1592" s="12" t="s">
        <v>3092</v>
      </c>
      <c r="G1592" s="10" t="s">
        <v>1246</v>
      </c>
      <c r="H1592" s="10" t="s">
        <v>1246</v>
      </c>
      <c r="K1592" t="s">
        <v>19</v>
      </c>
      <c r="L1592" t="s">
        <v>20</v>
      </c>
      <c r="M1592" s="9">
        <v>940389</v>
      </c>
      <c r="N1592" t="s">
        <v>3477</v>
      </c>
      <c r="O1592">
        <v>18</v>
      </c>
      <c r="P1592" t="s">
        <v>3477</v>
      </c>
      <c r="Q1592">
        <v>18</v>
      </c>
      <c r="R1592" s="13">
        <v>17000</v>
      </c>
      <c r="S1592" s="13">
        <v>10200</v>
      </c>
    </row>
    <row r="1593" spans="1:19">
      <c r="A1593" s="9" t="s">
        <v>22</v>
      </c>
      <c r="B1593" s="9" t="s">
        <v>27</v>
      </c>
      <c r="C1593" s="9" t="s">
        <v>194</v>
      </c>
      <c r="D1593" t="s">
        <v>204</v>
      </c>
      <c r="F1593" s="12" t="s">
        <v>3093</v>
      </c>
      <c r="G1593" s="10" t="s">
        <v>53</v>
      </c>
      <c r="H1593" s="10" t="s">
        <v>53</v>
      </c>
      <c r="K1593" t="s">
        <v>19</v>
      </c>
      <c r="L1593" t="s">
        <v>20</v>
      </c>
      <c r="M1593" s="9">
        <v>8481802</v>
      </c>
      <c r="N1593" t="s">
        <v>3477</v>
      </c>
      <c r="O1593">
        <v>18</v>
      </c>
      <c r="P1593" t="s">
        <v>3477</v>
      </c>
      <c r="Q1593">
        <v>18</v>
      </c>
      <c r="R1593" s="13">
        <v>16000</v>
      </c>
      <c r="S1593" s="13">
        <v>11200</v>
      </c>
    </row>
    <row r="1594" spans="1:19">
      <c r="A1594" s="9" t="s">
        <v>24</v>
      </c>
      <c r="B1594" s="9" t="s">
        <v>27</v>
      </c>
      <c r="C1594" s="9" t="s">
        <v>53</v>
      </c>
      <c r="D1594" t="s">
        <v>204</v>
      </c>
      <c r="F1594" s="12" t="s">
        <v>3094</v>
      </c>
      <c r="G1594" s="10" t="s">
        <v>53</v>
      </c>
      <c r="H1594" s="10" t="s">
        <v>53</v>
      </c>
      <c r="K1594" t="s">
        <v>19</v>
      </c>
      <c r="L1594" t="s">
        <v>20</v>
      </c>
      <c r="M1594" s="9">
        <v>83025</v>
      </c>
      <c r="N1594" t="s">
        <v>3477</v>
      </c>
      <c r="O1594">
        <v>18</v>
      </c>
      <c r="P1594" t="s">
        <v>3477</v>
      </c>
      <c r="Q1594">
        <v>18</v>
      </c>
      <c r="R1594" s="13">
        <v>2450</v>
      </c>
      <c r="S1594" s="13">
        <v>1837.5</v>
      </c>
    </row>
    <row r="1595" spans="1:19">
      <c r="A1595" s="9" t="s">
        <v>24</v>
      </c>
      <c r="B1595" s="9" t="s">
        <v>27</v>
      </c>
      <c r="C1595" s="9" t="s">
        <v>53</v>
      </c>
      <c r="D1595" t="s">
        <v>204</v>
      </c>
      <c r="F1595" s="12" t="s">
        <v>3095</v>
      </c>
      <c r="G1595" s="10" t="s">
        <v>54</v>
      </c>
      <c r="H1595" s="10" t="s">
        <v>54</v>
      </c>
      <c r="K1595" t="s">
        <v>19</v>
      </c>
      <c r="L1595" t="s">
        <v>20</v>
      </c>
      <c r="M1595" s="9">
        <v>83025</v>
      </c>
      <c r="N1595" t="s">
        <v>3477</v>
      </c>
      <c r="O1595">
        <v>18</v>
      </c>
      <c r="P1595" t="s">
        <v>3477</v>
      </c>
      <c r="Q1595">
        <v>18</v>
      </c>
      <c r="R1595" s="13">
        <v>1960</v>
      </c>
      <c r="S1595" s="13">
        <v>1470</v>
      </c>
    </row>
    <row r="1596" spans="1:19">
      <c r="A1596" s="9" t="s">
        <v>24</v>
      </c>
      <c r="B1596" s="9" t="s">
        <v>27</v>
      </c>
      <c r="C1596" s="9" t="s">
        <v>54</v>
      </c>
      <c r="D1596" t="s">
        <v>204</v>
      </c>
      <c r="F1596" s="12" t="s">
        <v>3096</v>
      </c>
      <c r="G1596" s="10" t="s">
        <v>56</v>
      </c>
      <c r="H1596" s="10" t="s">
        <v>56</v>
      </c>
      <c r="K1596" t="s">
        <v>19</v>
      </c>
      <c r="L1596" t="s">
        <v>20</v>
      </c>
      <c r="M1596" s="9">
        <v>83025</v>
      </c>
      <c r="N1596" t="s">
        <v>3477</v>
      </c>
      <c r="O1596">
        <v>18</v>
      </c>
      <c r="P1596" t="s">
        <v>3477</v>
      </c>
      <c r="Q1596">
        <v>18</v>
      </c>
      <c r="R1596" s="13">
        <v>2190</v>
      </c>
      <c r="S1596" s="13">
        <v>1642.5</v>
      </c>
    </row>
    <row r="1597" spans="1:19">
      <c r="A1597" s="9" t="s">
        <v>24</v>
      </c>
      <c r="B1597" s="9" t="s">
        <v>27</v>
      </c>
      <c r="C1597" s="9" t="s">
        <v>56</v>
      </c>
      <c r="D1597" t="s">
        <v>204</v>
      </c>
      <c r="F1597" s="12" t="s">
        <v>3097</v>
      </c>
      <c r="G1597" s="10" t="s">
        <v>1247</v>
      </c>
      <c r="H1597" s="10" t="s">
        <v>1247</v>
      </c>
      <c r="K1597" t="s">
        <v>19</v>
      </c>
      <c r="L1597" t="s">
        <v>20</v>
      </c>
      <c r="M1597" s="9">
        <v>7418201</v>
      </c>
      <c r="N1597" t="s">
        <v>3477</v>
      </c>
      <c r="O1597">
        <v>18</v>
      </c>
      <c r="P1597" t="s">
        <v>3477</v>
      </c>
      <c r="Q1597">
        <v>18</v>
      </c>
      <c r="R1597" s="13">
        <v>2060</v>
      </c>
      <c r="S1597" s="13">
        <v>1545</v>
      </c>
    </row>
    <row r="1598" spans="1:19">
      <c r="A1598" s="9" t="s">
        <v>24</v>
      </c>
      <c r="B1598" s="9" t="s">
        <v>27</v>
      </c>
      <c r="C1598" s="9" t="s">
        <v>56</v>
      </c>
      <c r="D1598" t="s">
        <v>204</v>
      </c>
      <c r="F1598" s="12" t="s">
        <v>3098</v>
      </c>
      <c r="G1598" s="10" t="s">
        <v>1248</v>
      </c>
      <c r="H1598" s="10" t="s">
        <v>1248</v>
      </c>
      <c r="K1598" t="s">
        <v>19</v>
      </c>
      <c r="L1598" t="s">
        <v>20</v>
      </c>
      <c r="M1598" s="9">
        <v>7907001</v>
      </c>
      <c r="N1598" t="s">
        <v>3477</v>
      </c>
      <c r="O1598">
        <v>18</v>
      </c>
      <c r="P1598" t="s">
        <v>3477</v>
      </c>
      <c r="Q1598">
        <v>18</v>
      </c>
      <c r="R1598" s="13">
        <v>1650</v>
      </c>
      <c r="S1598" s="13">
        <v>1237.5</v>
      </c>
    </row>
    <row r="1599" spans="1:19">
      <c r="A1599" s="9" t="s">
        <v>24</v>
      </c>
      <c r="B1599" s="9" t="s">
        <v>27</v>
      </c>
      <c r="C1599" s="9" t="s">
        <v>56</v>
      </c>
      <c r="D1599" t="s">
        <v>204</v>
      </c>
      <c r="F1599" s="12" t="s">
        <v>3099</v>
      </c>
      <c r="G1599" s="10" t="s">
        <v>1249</v>
      </c>
      <c r="H1599" s="10" t="s">
        <v>1249</v>
      </c>
      <c r="K1599" t="s">
        <v>19</v>
      </c>
      <c r="L1599" t="s">
        <v>20</v>
      </c>
      <c r="M1599" s="9">
        <v>7907001</v>
      </c>
      <c r="N1599" t="s">
        <v>3477</v>
      </c>
      <c r="O1599">
        <v>18</v>
      </c>
      <c r="P1599" t="s">
        <v>3477</v>
      </c>
      <c r="Q1599">
        <v>18</v>
      </c>
      <c r="R1599" s="13">
        <v>1910</v>
      </c>
      <c r="S1599" s="13">
        <v>1432.5</v>
      </c>
    </row>
    <row r="1600" spans="1:19">
      <c r="A1600" s="9" t="s">
        <v>24</v>
      </c>
      <c r="B1600" s="9" t="s">
        <v>27</v>
      </c>
      <c r="C1600" s="9" t="s">
        <v>57</v>
      </c>
      <c r="D1600" t="s">
        <v>204</v>
      </c>
      <c r="F1600" s="12" t="s">
        <v>3100</v>
      </c>
      <c r="G1600" s="10" t="s">
        <v>1250</v>
      </c>
      <c r="H1600" s="10" t="s">
        <v>1250</v>
      </c>
      <c r="K1600" t="s">
        <v>19</v>
      </c>
      <c r="L1600" t="s">
        <v>20</v>
      </c>
      <c r="M1600" s="9">
        <v>73249</v>
      </c>
      <c r="N1600" t="s">
        <v>3477</v>
      </c>
      <c r="O1600">
        <v>18</v>
      </c>
      <c r="P1600" t="s">
        <v>3477</v>
      </c>
      <c r="Q1600">
        <v>18</v>
      </c>
      <c r="R1600" s="13">
        <v>1290</v>
      </c>
      <c r="S1600" s="13">
        <v>967.5</v>
      </c>
    </row>
    <row r="1601" spans="1:19">
      <c r="A1601" s="9" t="s">
        <v>24</v>
      </c>
      <c r="B1601" s="9" t="s">
        <v>27</v>
      </c>
      <c r="C1601" s="9" t="s">
        <v>55</v>
      </c>
      <c r="D1601" t="s">
        <v>204</v>
      </c>
      <c r="F1601" s="12" t="s">
        <v>3101</v>
      </c>
      <c r="G1601" s="10" t="s">
        <v>1250</v>
      </c>
      <c r="H1601" s="10" t="s">
        <v>1250</v>
      </c>
      <c r="K1601" t="s">
        <v>19</v>
      </c>
      <c r="L1601" t="s">
        <v>20</v>
      </c>
      <c r="M1601" s="9">
        <v>83025</v>
      </c>
      <c r="N1601" t="s">
        <v>3477</v>
      </c>
      <c r="O1601">
        <v>18</v>
      </c>
      <c r="P1601" t="s">
        <v>3477</v>
      </c>
      <c r="Q1601">
        <v>18</v>
      </c>
      <c r="R1601" s="13">
        <v>1160</v>
      </c>
      <c r="S1601" s="13">
        <v>870</v>
      </c>
    </row>
    <row r="1602" spans="1:19">
      <c r="A1602" s="9" t="s">
        <v>24</v>
      </c>
      <c r="B1602" s="9" t="s">
        <v>27</v>
      </c>
      <c r="C1602" s="9" t="s">
        <v>55</v>
      </c>
      <c r="D1602" t="s">
        <v>204</v>
      </c>
      <c r="F1602" s="12" t="s">
        <v>3102</v>
      </c>
      <c r="G1602" s="10" t="s">
        <v>195</v>
      </c>
      <c r="H1602" s="10" t="s">
        <v>195</v>
      </c>
      <c r="K1602" t="s">
        <v>19</v>
      </c>
      <c r="L1602" t="s">
        <v>20</v>
      </c>
      <c r="M1602" s="9">
        <v>83025</v>
      </c>
      <c r="N1602" t="s">
        <v>3477</v>
      </c>
      <c r="O1602">
        <v>18</v>
      </c>
      <c r="P1602" t="s">
        <v>3477</v>
      </c>
      <c r="Q1602">
        <v>18</v>
      </c>
      <c r="R1602" s="13">
        <v>930</v>
      </c>
      <c r="S1602" s="13">
        <v>697.5</v>
      </c>
    </row>
    <row r="1603" spans="1:19">
      <c r="A1603" s="9" t="s">
        <v>24</v>
      </c>
      <c r="B1603" s="9" t="s">
        <v>27</v>
      </c>
      <c r="C1603" s="9" t="s">
        <v>195</v>
      </c>
      <c r="D1603" t="s">
        <v>204</v>
      </c>
      <c r="F1603" s="12" t="s">
        <v>3103</v>
      </c>
      <c r="G1603" s="10" t="s">
        <v>195</v>
      </c>
      <c r="H1603" s="10" t="s">
        <v>195</v>
      </c>
      <c r="K1603" t="s">
        <v>19</v>
      </c>
      <c r="L1603" t="s">
        <v>20</v>
      </c>
      <c r="M1603" s="9">
        <v>940389</v>
      </c>
      <c r="N1603" t="s">
        <v>3477</v>
      </c>
      <c r="O1603">
        <v>18</v>
      </c>
      <c r="P1603" t="s">
        <v>3477</v>
      </c>
      <c r="Q1603">
        <v>18</v>
      </c>
      <c r="R1603" s="13">
        <v>3150</v>
      </c>
      <c r="S1603" s="13">
        <v>2362.5</v>
      </c>
    </row>
    <row r="1604" spans="1:19">
      <c r="A1604" s="9" t="s">
        <v>24</v>
      </c>
      <c r="B1604" s="9" t="s">
        <v>27</v>
      </c>
      <c r="C1604" s="9" t="s">
        <v>195</v>
      </c>
      <c r="D1604" t="s">
        <v>204</v>
      </c>
      <c r="F1604" s="12" t="s">
        <v>3104</v>
      </c>
      <c r="G1604" s="10" t="s">
        <v>141</v>
      </c>
      <c r="H1604" s="10" t="s">
        <v>141</v>
      </c>
      <c r="K1604" t="s">
        <v>19</v>
      </c>
      <c r="L1604" t="s">
        <v>20</v>
      </c>
      <c r="M1604" s="9">
        <v>940389</v>
      </c>
      <c r="N1604" t="s">
        <v>3477</v>
      </c>
      <c r="O1604">
        <v>18</v>
      </c>
      <c r="P1604" t="s">
        <v>3477</v>
      </c>
      <c r="Q1604">
        <v>18</v>
      </c>
      <c r="R1604" s="13">
        <v>2520</v>
      </c>
      <c r="S1604" s="13">
        <v>1890</v>
      </c>
    </row>
    <row r="1605" spans="1:19">
      <c r="A1605" s="9" t="s">
        <v>24</v>
      </c>
      <c r="B1605" s="9" t="s">
        <v>27</v>
      </c>
      <c r="C1605" s="9" t="s">
        <v>141</v>
      </c>
      <c r="D1605" t="s">
        <v>204</v>
      </c>
      <c r="F1605" s="12" t="s">
        <v>3105</v>
      </c>
      <c r="G1605" s="10" t="s">
        <v>1251</v>
      </c>
      <c r="H1605" s="10" t="s">
        <v>1251</v>
      </c>
      <c r="K1605" t="s">
        <v>19</v>
      </c>
      <c r="L1605" t="s">
        <v>20</v>
      </c>
      <c r="M1605" s="9">
        <v>701399</v>
      </c>
      <c r="N1605" t="s">
        <v>3477</v>
      </c>
      <c r="O1605">
        <v>18</v>
      </c>
      <c r="P1605" t="s">
        <v>3477</v>
      </c>
      <c r="Q1605">
        <v>18</v>
      </c>
      <c r="R1605" s="13">
        <v>1680</v>
      </c>
      <c r="S1605" s="13">
        <v>1260</v>
      </c>
    </row>
    <row r="1606" spans="1:19">
      <c r="A1606" s="9" t="s">
        <v>22</v>
      </c>
      <c r="B1606" s="9" t="s">
        <v>27</v>
      </c>
      <c r="C1606" s="9" t="s">
        <v>55</v>
      </c>
      <c r="D1606" t="s">
        <v>204</v>
      </c>
      <c r="F1606" s="12" t="s">
        <v>3106</v>
      </c>
      <c r="G1606" s="10" t="s">
        <v>1252</v>
      </c>
      <c r="H1606" s="10" t="s">
        <v>1252</v>
      </c>
      <c r="K1606" t="s">
        <v>19</v>
      </c>
      <c r="L1606" t="s">
        <v>20</v>
      </c>
      <c r="M1606" s="9">
        <v>83025</v>
      </c>
      <c r="N1606" t="s">
        <v>3477</v>
      </c>
      <c r="O1606">
        <v>18</v>
      </c>
      <c r="P1606" t="s">
        <v>3477</v>
      </c>
      <c r="Q1606">
        <v>18</v>
      </c>
      <c r="R1606" s="13">
        <v>1865</v>
      </c>
      <c r="S1606" s="13">
        <v>1305.5</v>
      </c>
    </row>
    <row r="1607" spans="1:19">
      <c r="A1607" s="9" t="s">
        <v>24</v>
      </c>
      <c r="B1607" s="9" t="s">
        <v>27</v>
      </c>
      <c r="C1607" s="9" t="s">
        <v>63</v>
      </c>
      <c r="D1607" t="s">
        <v>204</v>
      </c>
      <c r="F1607" s="12" t="s">
        <v>3107</v>
      </c>
      <c r="G1607" s="10" t="s">
        <v>1253</v>
      </c>
      <c r="H1607" s="10" t="s">
        <v>1253</v>
      </c>
      <c r="K1607" t="s">
        <v>19</v>
      </c>
      <c r="L1607" t="s">
        <v>20</v>
      </c>
      <c r="M1607" s="9">
        <v>8481802</v>
      </c>
      <c r="N1607" t="s">
        <v>3477</v>
      </c>
      <c r="O1607">
        <v>18</v>
      </c>
      <c r="P1607" t="s">
        <v>3477</v>
      </c>
      <c r="Q1607">
        <v>18</v>
      </c>
      <c r="R1607" s="13">
        <v>5750</v>
      </c>
      <c r="S1607" s="13">
        <v>4312.5</v>
      </c>
    </row>
    <row r="1608" spans="1:19">
      <c r="A1608" s="9" t="s">
        <v>24</v>
      </c>
      <c r="B1608" s="9" t="s">
        <v>27</v>
      </c>
      <c r="C1608" s="9" t="s">
        <v>63</v>
      </c>
      <c r="D1608" t="s">
        <v>204</v>
      </c>
      <c r="F1608" s="12" t="s">
        <v>3108</v>
      </c>
      <c r="G1608" s="10" t="s">
        <v>1254</v>
      </c>
      <c r="H1608" s="10" t="s">
        <v>1254</v>
      </c>
      <c r="K1608" t="s">
        <v>19</v>
      </c>
      <c r="L1608" t="s">
        <v>20</v>
      </c>
      <c r="M1608" s="9">
        <v>8481802</v>
      </c>
      <c r="N1608" t="s">
        <v>3477</v>
      </c>
      <c r="O1608">
        <v>18</v>
      </c>
      <c r="P1608" t="s">
        <v>3477</v>
      </c>
      <c r="Q1608">
        <v>18</v>
      </c>
      <c r="R1608" s="13">
        <v>4600</v>
      </c>
      <c r="S1608" s="13">
        <v>3450</v>
      </c>
    </row>
    <row r="1609" spans="1:19">
      <c r="A1609" s="9" t="s">
        <v>22</v>
      </c>
      <c r="B1609" s="9" t="s">
        <v>27</v>
      </c>
      <c r="C1609" s="9" t="s">
        <v>114</v>
      </c>
      <c r="D1609" t="s">
        <v>204</v>
      </c>
      <c r="F1609" s="12" t="s">
        <v>3109</v>
      </c>
      <c r="G1609" s="10" t="s">
        <v>1254</v>
      </c>
      <c r="H1609" s="10" t="s">
        <v>1254</v>
      </c>
      <c r="K1609" t="s">
        <v>19</v>
      </c>
      <c r="L1609" t="s">
        <v>20</v>
      </c>
      <c r="M1609" s="9">
        <v>8481909</v>
      </c>
      <c r="N1609" t="s">
        <v>3477</v>
      </c>
      <c r="O1609">
        <v>18</v>
      </c>
      <c r="P1609" t="s">
        <v>3477</v>
      </c>
      <c r="Q1609">
        <v>18</v>
      </c>
      <c r="R1609" s="13">
        <v>12570</v>
      </c>
      <c r="S1609" s="13">
        <v>8799</v>
      </c>
    </row>
    <row r="1610" spans="1:19">
      <c r="A1610" s="9" t="s">
        <v>22</v>
      </c>
      <c r="B1610" s="9" t="s">
        <v>27</v>
      </c>
      <c r="C1610" s="9" t="s">
        <v>114</v>
      </c>
      <c r="D1610" t="s">
        <v>204</v>
      </c>
      <c r="F1610" s="12" t="s">
        <v>3110</v>
      </c>
      <c r="G1610" s="10" t="s">
        <v>1255</v>
      </c>
      <c r="H1610" s="10" t="s">
        <v>1255</v>
      </c>
      <c r="K1610" t="s">
        <v>19</v>
      </c>
      <c r="L1610" t="s">
        <v>20</v>
      </c>
      <c r="M1610" s="9">
        <v>8481909</v>
      </c>
      <c r="N1610" t="s">
        <v>3477</v>
      </c>
      <c r="O1610">
        <v>18</v>
      </c>
      <c r="P1610" t="s">
        <v>3477</v>
      </c>
      <c r="Q1610">
        <v>18</v>
      </c>
      <c r="R1610" s="13">
        <v>10060</v>
      </c>
      <c r="S1610" s="13">
        <v>7042</v>
      </c>
    </row>
    <row r="1611" spans="1:19">
      <c r="A1611" s="9" t="s">
        <v>22</v>
      </c>
      <c r="B1611" s="9" t="s">
        <v>27</v>
      </c>
      <c r="C1611" s="9" t="s">
        <v>114</v>
      </c>
      <c r="D1611" t="s">
        <v>204</v>
      </c>
      <c r="F1611" s="12" t="s">
        <v>3111</v>
      </c>
      <c r="G1611" s="10" t="s">
        <v>1256</v>
      </c>
      <c r="H1611" s="10" t="s">
        <v>1256</v>
      </c>
      <c r="K1611" t="s">
        <v>19</v>
      </c>
      <c r="L1611" t="s">
        <v>20</v>
      </c>
      <c r="M1611" s="9">
        <v>8481909</v>
      </c>
      <c r="N1611" t="s">
        <v>3477</v>
      </c>
      <c r="O1611">
        <v>18</v>
      </c>
      <c r="P1611" t="s">
        <v>3477</v>
      </c>
      <c r="Q1611">
        <v>18</v>
      </c>
      <c r="R1611" s="13">
        <v>5320</v>
      </c>
      <c r="S1611" s="13">
        <v>3723.9999999999995</v>
      </c>
    </row>
    <row r="1612" spans="1:19">
      <c r="A1612" s="9" t="s">
        <v>22</v>
      </c>
      <c r="B1612" s="9" t="s">
        <v>27</v>
      </c>
      <c r="C1612" s="9" t="s">
        <v>114</v>
      </c>
      <c r="D1612" t="s">
        <v>204</v>
      </c>
      <c r="F1612" s="12" t="s">
        <v>3112</v>
      </c>
      <c r="G1612" s="10" t="s">
        <v>1257</v>
      </c>
      <c r="H1612" s="10" t="s">
        <v>1257</v>
      </c>
      <c r="K1612" t="s">
        <v>19</v>
      </c>
      <c r="L1612" t="s">
        <v>20</v>
      </c>
      <c r="M1612" s="9">
        <v>8481909</v>
      </c>
      <c r="N1612" t="s">
        <v>3477</v>
      </c>
      <c r="O1612">
        <v>18</v>
      </c>
      <c r="P1612" t="s">
        <v>3477</v>
      </c>
      <c r="Q1612">
        <v>18</v>
      </c>
      <c r="R1612" s="13">
        <v>11650</v>
      </c>
      <c r="S1612" s="13">
        <v>8154.9999999999991</v>
      </c>
    </row>
    <row r="1613" spans="1:19">
      <c r="A1613" s="9" t="s">
        <v>22</v>
      </c>
      <c r="B1613" s="9" t="s">
        <v>27</v>
      </c>
      <c r="C1613" s="9" t="s">
        <v>114</v>
      </c>
      <c r="D1613" t="s">
        <v>204</v>
      </c>
      <c r="F1613" s="12" t="s">
        <v>3113</v>
      </c>
      <c r="G1613" s="10" t="s">
        <v>1257</v>
      </c>
      <c r="H1613" s="10" t="s">
        <v>1257</v>
      </c>
      <c r="K1613" t="s">
        <v>19</v>
      </c>
      <c r="L1613" t="s">
        <v>20</v>
      </c>
      <c r="M1613" s="9">
        <v>8481802</v>
      </c>
      <c r="N1613" t="s">
        <v>3477</v>
      </c>
      <c r="O1613">
        <v>18</v>
      </c>
      <c r="P1613" t="s">
        <v>3477</v>
      </c>
      <c r="Q1613">
        <v>18</v>
      </c>
      <c r="R1613" s="13">
        <v>16910</v>
      </c>
      <c r="S1613" s="13">
        <v>11837</v>
      </c>
    </row>
    <row r="1614" spans="1:19">
      <c r="A1614" s="9" t="s">
        <v>22</v>
      </c>
      <c r="B1614" s="9" t="s">
        <v>27</v>
      </c>
      <c r="C1614" s="9" t="s">
        <v>114</v>
      </c>
      <c r="D1614" t="s">
        <v>204</v>
      </c>
      <c r="F1614" s="12" t="s">
        <v>3114</v>
      </c>
      <c r="G1614" s="10" t="s">
        <v>1258</v>
      </c>
      <c r="H1614" s="10" t="s">
        <v>1258</v>
      </c>
      <c r="K1614" t="s">
        <v>19</v>
      </c>
      <c r="L1614" t="s">
        <v>20</v>
      </c>
      <c r="M1614" s="9">
        <v>8481802</v>
      </c>
      <c r="N1614" t="s">
        <v>3477</v>
      </c>
      <c r="O1614">
        <v>18</v>
      </c>
      <c r="P1614" t="s">
        <v>3477</v>
      </c>
      <c r="Q1614">
        <v>18</v>
      </c>
      <c r="R1614" s="13">
        <v>18940</v>
      </c>
      <c r="S1614" s="13">
        <v>13258</v>
      </c>
    </row>
    <row r="1615" spans="1:19">
      <c r="A1615" s="9" t="s">
        <v>22</v>
      </c>
      <c r="B1615" s="9" t="s">
        <v>27</v>
      </c>
      <c r="C1615" s="9" t="s">
        <v>114</v>
      </c>
      <c r="D1615" t="s">
        <v>204</v>
      </c>
      <c r="F1615" s="12" t="s">
        <v>3115</v>
      </c>
      <c r="G1615" s="10" t="s">
        <v>1258</v>
      </c>
      <c r="H1615" s="10" t="s">
        <v>1258</v>
      </c>
      <c r="K1615" t="s">
        <v>19</v>
      </c>
      <c r="L1615" t="s">
        <v>20</v>
      </c>
      <c r="M1615" s="9">
        <v>8481802</v>
      </c>
      <c r="N1615" t="s">
        <v>3477</v>
      </c>
      <c r="O1615">
        <v>18</v>
      </c>
      <c r="P1615" t="s">
        <v>3477</v>
      </c>
      <c r="Q1615">
        <v>18</v>
      </c>
      <c r="R1615" s="13">
        <v>16910</v>
      </c>
      <c r="S1615" s="13">
        <v>11837</v>
      </c>
    </row>
    <row r="1616" spans="1:19">
      <c r="A1616" s="9" t="s">
        <v>22</v>
      </c>
      <c r="B1616" s="9" t="s">
        <v>27</v>
      </c>
      <c r="C1616" s="9" t="s">
        <v>114</v>
      </c>
      <c r="D1616" t="s">
        <v>204</v>
      </c>
      <c r="F1616" s="12" t="s">
        <v>3116</v>
      </c>
      <c r="G1616" s="10" t="s">
        <v>1259</v>
      </c>
      <c r="H1616" s="10" t="s">
        <v>1259</v>
      </c>
      <c r="K1616" t="s">
        <v>19</v>
      </c>
      <c r="L1616" t="s">
        <v>20</v>
      </c>
      <c r="M1616" s="9">
        <v>8481802</v>
      </c>
      <c r="N1616" t="s">
        <v>3477</v>
      </c>
      <c r="O1616">
        <v>18</v>
      </c>
      <c r="P1616" t="s">
        <v>3477</v>
      </c>
      <c r="Q1616">
        <v>18</v>
      </c>
      <c r="R1616" s="13">
        <v>13530</v>
      </c>
      <c r="S1616" s="13">
        <v>9471</v>
      </c>
    </row>
    <row r="1617" spans="1:19">
      <c r="A1617" s="9" t="s">
        <v>22</v>
      </c>
      <c r="B1617" s="9" t="s">
        <v>27</v>
      </c>
      <c r="C1617" s="9" t="s">
        <v>50</v>
      </c>
      <c r="D1617" t="s">
        <v>204</v>
      </c>
      <c r="F1617" s="12" t="s">
        <v>3117</v>
      </c>
      <c r="G1617" s="10" t="s">
        <v>1260</v>
      </c>
      <c r="H1617" s="10" t="s">
        <v>1260</v>
      </c>
      <c r="K1617" t="s">
        <v>19</v>
      </c>
      <c r="L1617" t="s">
        <v>20</v>
      </c>
      <c r="M1617" s="9">
        <v>8481809</v>
      </c>
      <c r="N1617" t="s">
        <v>3477</v>
      </c>
      <c r="O1617">
        <v>18</v>
      </c>
      <c r="P1617" t="s">
        <v>3477</v>
      </c>
      <c r="Q1617">
        <v>18</v>
      </c>
      <c r="R1617" s="13">
        <v>25</v>
      </c>
      <c r="S1617" s="13">
        <v>17.5</v>
      </c>
    </row>
    <row r="1618" spans="1:19">
      <c r="A1618" s="9" t="s">
        <v>22</v>
      </c>
      <c r="B1618" s="9" t="s">
        <v>26</v>
      </c>
      <c r="C1618" s="9" t="s">
        <v>85</v>
      </c>
      <c r="D1618" t="s">
        <v>204</v>
      </c>
      <c r="F1618" s="12" t="s">
        <v>3118</v>
      </c>
      <c r="G1618" s="10" t="s">
        <v>1261</v>
      </c>
      <c r="H1618" s="10" t="s">
        <v>1261</v>
      </c>
      <c r="K1618" t="s">
        <v>19</v>
      </c>
      <c r="L1618" t="s">
        <v>20</v>
      </c>
      <c r="M1618" s="9">
        <v>69101</v>
      </c>
      <c r="N1618" t="s">
        <v>3477</v>
      </c>
      <c r="O1618">
        <v>18</v>
      </c>
      <c r="P1618" t="s">
        <v>3477</v>
      </c>
      <c r="Q1618">
        <v>18</v>
      </c>
      <c r="R1618" s="13">
        <v>24000</v>
      </c>
      <c r="S1618" s="13">
        <v>16800</v>
      </c>
    </row>
    <row r="1619" spans="1:19">
      <c r="A1619" s="9" t="s">
        <v>22</v>
      </c>
      <c r="B1619" s="9" t="s">
        <v>27</v>
      </c>
      <c r="C1619" s="9" t="s">
        <v>50</v>
      </c>
      <c r="D1619" t="s">
        <v>204</v>
      </c>
      <c r="F1619" s="12" t="s">
        <v>3119</v>
      </c>
      <c r="G1619" s="10" t="s">
        <v>1261</v>
      </c>
      <c r="H1619" s="10" t="s">
        <v>1261</v>
      </c>
      <c r="K1619" t="s">
        <v>19</v>
      </c>
      <c r="L1619" t="s">
        <v>20</v>
      </c>
      <c r="M1619" s="9">
        <v>8481809</v>
      </c>
      <c r="N1619" t="s">
        <v>3477</v>
      </c>
      <c r="O1619">
        <v>18</v>
      </c>
      <c r="P1619" t="s">
        <v>3477</v>
      </c>
      <c r="Q1619">
        <v>18</v>
      </c>
      <c r="R1619" s="13">
        <v>2005</v>
      </c>
      <c r="S1619" s="13">
        <v>1403.5</v>
      </c>
    </row>
    <row r="1620" spans="1:19">
      <c r="A1620" s="9" t="s">
        <v>22</v>
      </c>
      <c r="B1620" s="9" t="s">
        <v>27</v>
      </c>
      <c r="C1620" s="9" t="s">
        <v>50</v>
      </c>
      <c r="D1620" t="s">
        <v>204</v>
      </c>
      <c r="F1620" s="12" t="s">
        <v>3120</v>
      </c>
      <c r="G1620" s="10" t="s">
        <v>1262</v>
      </c>
      <c r="H1620" s="10" t="s">
        <v>1262</v>
      </c>
      <c r="K1620" t="s">
        <v>19</v>
      </c>
      <c r="L1620" t="s">
        <v>20</v>
      </c>
      <c r="M1620" s="9">
        <v>8481809</v>
      </c>
      <c r="N1620" t="s">
        <v>3477</v>
      </c>
      <c r="O1620">
        <v>18</v>
      </c>
      <c r="P1620" t="s">
        <v>3477</v>
      </c>
      <c r="Q1620">
        <v>18</v>
      </c>
      <c r="R1620" s="13">
        <v>602</v>
      </c>
      <c r="S1620" s="13">
        <v>421.4</v>
      </c>
    </row>
    <row r="1621" spans="1:19">
      <c r="A1621" s="9" t="s">
        <v>22</v>
      </c>
      <c r="B1621" s="9" t="s">
        <v>27</v>
      </c>
      <c r="C1621" s="9" t="s">
        <v>50</v>
      </c>
      <c r="D1621" t="s">
        <v>204</v>
      </c>
      <c r="F1621" s="12" t="s">
        <v>3121</v>
      </c>
      <c r="G1621" s="10" t="s">
        <v>250</v>
      </c>
      <c r="H1621" s="10" t="s">
        <v>250</v>
      </c>
      <c r="K1621" t="s">
        <v>19</v>
      </c>
      <c r="L1621" t="s">
        <v>20</v>
      </c>
      <c r="M1621" s="9">
        <v>8481809</v>
      </c>
      <c r="N1621" t="s">
        <v>3477</v>
      </c>
      <c r="O1621">
        <v>18</v>
      </c>
      <c r="P1621" t="s">
        <v>3477</v>
      </c>
      <c r="Q1621">
        <v>18</v>
      </c>
      <c r="R1621" s="13">
        <v>9582</v>
      </c>
      <c r="S1621" s="13">
        <v>6707.4</v>
      </c>
    </row>
    <row r="1622" spans="1:19">
      <c r="A1622" s="9" t="s">
        <v>22</v>
      </c>
      <c r="B1622" s="9" t="s">
        <v>27</v>
      </c>
      <c r="C1622" s="9" t="s">
        <v>50</v>
      </c>
      <c r="D1622" t="s">
        <v>204</v>
      </c>
      <c r="F1622" s="12" t="s">
        <v>3122</v>
      </c>
      <c r="G1622" s="10" t="s">
        <v>1263</v>
      </c>
      <c r="H1622" s="10" t="s">
        <v>1263</v>
      </c>
      <c r="K1622" t="s">
        <v>19</v>
      </c>
      <c r="L1622" t="s">
        <v>20</v>
      </c>
      <c r="M1622" s="9">
        <v>39229</v>
      </c>
      <c r="N1622" t="s">
        <v>3477</v>
      </c>
      <c r="O1622">
        <v>18</v>
      </c>
      <c r="P1622" t="s">
        <v>3477</v>
      </c>
      <c r="Q1622">
        <v>18</v>
      </c>
      <c r="R1622" s="13">
        <v>1950</v>
      </c>
      <c r="S1622" s="13">
        <v>1365</v>
      </c>
    </row>
    <row r="1623" spans="1:19">
      <c r="A1623" s="9" t="s">
        <v>22</v>
      </c>
      <c r="B1623" s="9" t="s">
        <v>27</v>
      </c>
      <c r="C1623" s="9" t="s">
        <v>50</v>
      </c>
      <c r="D1623" t="s">
        <v>204</v>
      </c>
      <c r="F1623" s="12" t="s">
        <v>3123</v>
      </c>
      <c r="G1623" s="10" t="s">
        <v>1264</v>
      </c>
      <c r="H1623" s="10" t="s">
        <v>1264</v>
      </c>
      <c r="K1623" t="s">
        <v>19</v>
      </c>
      <c r="L1623" t="s">
        <v>20</v>
      </c>
      <c r="M1623" s="9">
        <v>8481809</v>
      </c>
      <c r="N1623" t="s">
        <v>3477</v>
      </c>
      <c r="O1623">
        <v>18</v>
      </c>
      <c r="P1623" t="s">
        <v>3477</v>
      </c>
      <c r="Q1623">
        <v>18</v>
      </c>
      <c r="R1623" s="13">
        <v>1405</v>
      </c>
      <c r="S1623" s="13">
        <v>983.49999999999989</v>
      </c>
    </row>
    <row r="1624" spans="1:19">
      <c r="A1624" s="9" t="s">
        <v>22</v>
      </c>
      <c r="B1624" s="9" t="s">
        <v>26</v>
      </c>
      <c r="C1624" s="9" t="s">
        <v>96</v>
      </c>
      <c r="D1624" t="s">
        <v>204</v>
      </c>
      <c r="F1624" s="12" t="s">
        <v>3124</v>
      </c>
      <c r="G1624" s="10" t="s">
        <v>1265</v>
      </c>
      <c r="H1624" s="10" t="s">
        <v>1265</v>
      </c>
      <c r="K1624" t="s">
        <v>19</v>
      </c>
      <c r="L1624" t="s">
        <v>20</v>
      </c>
      <c r="M1624" s="9">
        <v>69101</v>
      </c>
      <c r="N1624" t="s">
        <v>3477</v>
      </c>
      <c r="O1624">
        <v>18</v>
      </c>
      <c r="P1624" t="s">
        <v>3477</v>
      </c>
      <c r="Q1624">
        <v>18</v>
      </c>
      <c r="R1624" s="13">
        <v>35000</v>
      </c>
      <c r="S1624" s="13">
        <v>24500</v>
      </c>
    </row>
    <row r="1625" spans="1:19">
      <c r="A1625" s="9" t="s">
        <v>22</v>
      </c>
      <c r="B1625" s="9" t="s">
        <v>30</v>
      </c>
      <c r="C1625" s="9" t="s">
        <v>161</v>
      </c>
      <c r="D1625" t="s">
        <v>204</v>
      </c>
      <c r="F1625" s="12" t="s">
        <v>3125</v>
      </c>
      <c r="G1625" s="10" t="s">
        <v>1266</v>
      </c>
      <c r="H1625" s="10" t="s">
        <v>1266</v>
      </c>
      <c r="K1625" t="s">
        <v>19</v>
      </c>
      <c r="L1625" t="s">
        <v>20</v>
      </c>
      <c r="M1625" s="9">
        <v>8481802</v>
      </c>
      <c r="N1625" t="s">
        <v>3477</v>
      </c>
      <c r="O1625">
        <v>18</v>
      </c>
      <c r="P1625" t="s">
        <v>3477</v>
      </c>
      <c r="Q1625">
        <v>18</v>
      </c>
      <c r="R1625" s="13">
        <v>87</v>
      </c>
      <c r="S1625" s="13">
        <v>60.9</v>
      </c>
    </row>
    <row r="1626" spans="1:19">
      <c r="A1626" s="9" t="s">
        <v>22</v>
      </c>
      <c r="B1626" s="9" t="s">
        <v>26</v>
      </c>
      <c r="C1626" s="9" t="s">
        <v>50</v>
      </c>
      <c r="D1626" t="s">
        <v>204</v>
      </c>
      <c r="F1626" s="12" t="s">
        <v>3126</v>
      </c>
      <c r="G1626" s="10" t="s">
        <v>1267</v>
      </c>
      <c r="H1626" s="10" t="s">
        <v>1267</v>
      </c>
      <c r="K1626" t="s">
        <v>19</v>
      </c>
      <c r="L1626" t="s">
        <v>20</v>
      </c>
      <c r="M1626" s="9">
        <v>84149019</v>
      </c>
      <c r="N1626" t="s">
        <v>3477</v>
      </c>
      <c r="O1626">
        <v>18</v>
      </c>
      <c r="P1626" t="s">
        <v>3477</v>
      </c>
      <c r="Q1626">
        <v>18</v>
      </c>
      <c r="R1626" s="13">
        <v>489</v>
      </c>
      <c r="S1626" s="13">
        <v>342.29999999999995</v>
      </c>
    </row>
    <row r="1627" spans="1:19">
      <c r="A1627" s="9" t="s">
        <v>22</v>
      </c>
      <c r="B1627" s="9" t="s">
        <v>27</v>
      </c>
      <c r="C1627" s="9" t="s">
        <v>50</v>
      </c>
      <c r="D1627" t="s">
        <v>204</v>
      </c>
      <c r="F1627" s="12" t="s">
        <v>3127</v>
      </c>
      <c r="G1627" s="10" t="s">
        <v>1268</v>
      </c>
      <c r="H1627" s="10" t="s">
        <v>1268</v>
      </c>
      <c r="K1627" t="s">
        <v>19</v>
      </c>
      <c r="L1627" t="s">
        <v>20</v>
      </c>
      <c r="M1627" s="9">
        <v>39229</v>
      </c>
      <c r="N1627" t="s">
        <v>3477</v>
      </c>
      <c r="O1627">
        <v>18</v>
      </c>
      <c r="P1627" t="s">
        <v>3477</v>
      </c>
      <c r="Q1627">
        <v>18</v>
      </c>
      <c r="R1627" s="13">
        <v>669</v>
      </c>
      <c r="S1627" s="13">
        <v>468.29999999999995</v>
      </c>
    </row>
    <row r="1628" spans="1:19">
      <c r="A1628" s="9" t="s">
        <v>23</v>
      </c>
      <c r="B1628" s="9" t="s">
        <v>27</v>
      </c>
      <c r="C1628" s="9" t="s">
        <v>194</v>
      </c>
      <c r="D1628" t="s">
        <v>204</v>
      </c>
      <c r="F1628" s="12" t="s">
        <v>3128</v>
      </c>
      <c r="G1628" s="10" t="s">
        <v>1269</v>
      </c>
      <c r="H1628" s="10" t="s">
        <v>1269</v>
      </c>
      <c r="K1628" t="s">
        <v>19</v>
      </c>
      <c r="L1628" t="s">
        <v>20</v>
      </c>
      <c r="M1628" s="9">
        <v>8481802</v>
      </c>
      <c r="N1628" t="s">
        <v>3477</v>
      </c>
      <c r="O1628">
        <v>18</v>
      </c>
      <c r="P1628" t="s">
        <v>3477</v>
      </c>
      <c r="Q1628">
        <v>18</v>
      </c>
      <c r="R1628" s="13">
        <v>65720</v>
      </c>
      <c r="S1628" s="13">
        <v>39432</v>
      </c>
    </row>
    <row r="1629" spans="1:19">
      <c r="A1629" s="9" t="s">
        <v>22</v>
      </c>
      <c r="B1629" s="9" t="s">
        <v>26</v>
      </c>
      <c r="C1629" s="9" t="s">
        <v>103</v>
      </c>
      <c r="D1629" t="s">
        <v>204</v>
      </c>
      <c r="F1629" s="12" t="s">
        <v>3129</v>
      </c>
      <c r="G1629" s="10" t="s">
        <v>1270</v>
      </c>
      <c r="H1629" s="10" t="s">
        <v>1270</v>
      </c>
      <c r="K1629" t="s">
        <v>19</v>
      </c>
      <c r="L1629" t="s">
        <v>20</v>
      </c>
      <c r="M1629" s="9">
        <v>69101</v>
      </c>
      <c r="N1629" t="s">
        <v>3477</v>
      </c>
      <c r="O1629">
        <v>18</v>
      </c>
      <c r="P1629" t="s">
        <v>3477</v>
      </c>
      <c r="Q1629">
        <v>18</v>
      </c>
      <c r="R1629" s="13">
        <v>10000</v>
      </c>
      <c r="S1629" s="13">
        <v>7000</v>
      </c>
    </row>
    <row r="1630" spans="1:19">
      <c r="A1630" s="9" t="s">
        <v>22</v>
      </c>
      <c r="B1630" s="9" t="s">
        <v>26</v>
      </c>
      <c r="C1630" s="9" t="s">
        <v>103</v>
      </c>
      <c r="D1630" t="s">
        <v>204</v>
      </c>
      <c r="F1630" s="12" t="s">
        <v>3130</v>
      </c>
      <c r="G1630" s="10" t="s">
        <v>1271</v>
      </c>
      <c r="H1630" s="10" t="s">
        <v>1271</v>
      </c>
      <c r="K1630" t="s">
        <v>19</v>
      </c>
      <c r="L1630" t="s">
        <v>20</v>
      </c>
      <c r="M1630" s="9">
        <v>69101</v>
      </c>
      <c r="N1630" t="s">
        <v>3477</v>
      </c>
      <c r="O1630">
        <v>18</v>
      </c>
      <c r="P1630" t="s">
        <v>3477</v>
      </c>
      <c r="Q1630">
        <v>18</v>
      </c>
      <c r="R1630" s="13">
        <v>12650</v>
      </c>
      <c r="S1630" s="13">
        <v>8855</v>
      </c>
    </row>
    <row r="1631" spans="1:19">
      <c r="A1631" s="9" t="s">
        <v>22</v>
      </c>
      <c r="B1631" s="9" t="s">
        <v>26</v>
      </c>
      <c r="C1631" s="9" t="s">
        <v>76</v>
      </c>
      <c r="D1631" t="s">
        <v>204</v>
      </c>
      <c r="F1631" s="12" t="s">
        <v>3131</v>
      </c>
      <c r="G1631" s="10" t="s">
        <v>1272</v>
      </c>
      <c r="H1631" s="10" t="s">
        <v>1272</v>
      </c>
      <c r="K1631" t="s">
        <v>19</v>
      </c>
      <c r="L1631" t="s">
        <v>20</v>
      </c>
      <c r="M1631" s="9">
        <v>39222</v>
      </c>
      <c r="N1631" t="s">
        <v>3477</v>
      </c>
      <c r="O1631">
        <v>18</v>
      </c>
      <c r="P1631" t="s">
        <v>3477</v>
      </c>
      <c r="Q1631">
        <v>18</v>
      </c>
      <c r="R1631" s="13">
        <v>12500</v>
      </c>
      <c r="S1631" s="13">
        <v>8750</v>
      </c>
    </row>
    <row r="1632" spans="1:19">
      <c r="A1632" s="9" t="s">
        <v>22</v>
      </c>
      <c r="B1632" s="9" t="s">
        <v>26</v>
      </c>
      <c r="C1632" s="9" t="s">
        <v>76</v>
      </c>
      <c r="D1632" t="s">
        <v>204</v>
      </c>
      <c r="F1632" s="12" t="s">
        <v>3132</v>
      </c>
      <c r="G1632" s="10" t="s">
        <v>1273</v>
      </c>
      <c r="H1632" s="10" t="s">
        <v>1273</v>
      </c>
      <c r="K1632" t="s">
        <v>19</v>
      </c>
      <c r="L1632" t="s">
        <v>20</v>
      </c>
      <c r="M1632" s="9">
        <v>39222</v>
      </c>
      <c r="N1632" t="s">
        <v>3477</v>
      </c>
      <c r="O1632">
        <v>18</v>
      </c>
      <c r="P1632" t="s">
        <v>3477</v>
      </c>
      <c r="Q1632">
        <v>18</v>
      </c>
      <c r="R1632" s="13">
        <v>12075</v>
      </c>
      <c r="S1632" s="13">
        <v>8452.5</v>
      </c>
    </row>
    <row r="1633" spans="1:19">
      <c r="A1633" s="9" t="s">
        <v>22</v>
      </c>
      <c r="B1633" s="9" t="s">
        <v>26</v>
      </c>
      <c r="C1633" s="9" t="s">
        <v>43</v>
      </c>
      <c r="D1633" t="s">
        <v>204</v>
      </c>
      <c r="F1633" s="12" t="s">
        <v>3133</v>
      </c>
      <c r="G1633" s="10" t="s">
        <v>1273</v>
      </c>
      <c r="H1633" s="10" t="s">
        <v>1273</v>
      </c>
      <c r="K1633" t="s">
        <v>19</v>
      </c>
      <c r="L1633" t="s">
        <v>20</v>
      </c>
      <c r="M1633" s="9">
        <v>69101</v>
      </c>
      <c r="N1633" t="s">
        <v>3477</v>
      </c>
      <c r="O1633">
        <v>18</v>
      </c>
      <c r="P1633" t="s">
        <v>3477</v>
      </c>
      <c r="Q1633">
        <v>18</v>
      </c>
      <c r="R1633" s="13">
        <v>22500</v>
      </c>
      <c r="S1633" s="13">
        <v>15749.999999999998</v>
      </c>
    </row>
    <row r="1634" spans="1:19">
      <c r="A1634" s="9" t="s">
        <v>22</v>
      </c>
      <c r="B1634" s="9" t="s">
        <v>26</v>
      </c>
      <c r="C1634" s="9" t="s">
        <v>43</v>
      </c>
      <c r="D1634" t="s">
        <v>204</v>
      </c>
      <c r="F1634" s="12" t="s">
        <v>3134</v>
      </c>
      <c r="G1634" s="10" t="s">
        <v>1274</v>
      </c>
      <c r="H1634" s="10" t="s">
        <v>1274</v>
      </c>
      <c r="K1634" t="s">
        <v>19</v>
      </c>
      <c r="L1634" t="s">
        <v>20</v>
      </c>
      <c r="M1634" s="9">
        <v>69101</v>
      </c>
      <c r="N1634" t="s">
        <v>3477</v>
      </c>
      <c r="O1634">
        <v>18</v>
      </c>
      <c r="P1634" t="s">
        <v>3477</v>
      </c>
      <c r="Q1634">
        <v>18</v>
      </c>
      <c r="R1634" s="13">
        <v>24725</v>
      </c>
      <c r="S1634" s="13">
        <v>17307.5</v>
      </c>
    </row>
    <row r="1635" spans="1:19">
      <c r="A1635" s="9" t="s">
        <v>22</v>
      </c>
      <c r="B1635" s="9" t="s">
        <v>26</v>
      </c>
      <c r="C1635" s="9" t="s">
        <v>43</v>
      </c>
      <c r="D1635" t="s">
        <v>204</v>
      </c>
      <c r="F1635" s="12" t="s">
        <v>3135</v>
      </c>
      <c r="G1635" s="10" t="s">
        <v>1275</v>
      </c>
      <c r="H1635" s="10" t="s">
        <v>1275</v>
      </c>
      <c r="K1635" t="s">
        <v>19</v>
      </c>
      <c r="L1635" t="s">
        <v>20</v>
      </c>
      <c r="M1635" s="9">
        <v>69101</v>
      </c>
      <c r="N1635" t="s">
        <v>3477</v>
      </c>
      <c r="O1635">
        <v>18</v>
      </c>
      <c r="P1635" t="s">
        <v>3477</v>
      </c>
      <c r="Q1635">
        <v>18</v>
      </c>
      <c r="R1635" s="13">
        <v>22500</v>
      </c>
      <c r="S1635" s="13">
        <v>15749.999999999998</v>
      </c>
    </row>
    <row r="1636" spans="1:19">
      <c r="A1636" s="9" t="s">
        <v>22</v>
      </c>
      <c r="B1636" s="9" t="s">
        <v>41</v>
      </c>
      <c r="C1636" s="9" t="s">
        <v>50</v>
      </c>
      <c r="D1636" t="s">
        <v>204</v>
      </c>
      <c r="F1636" s="12" t="s">
        <v>3136</v>
      </c>
      <c r="G1636" s="10" t="s">
        <v>1276</v>
      </c>
      <c r="H1636" s="10" t="s">
        <v>1276</v>
      </c>
      <c r="K1636" t="s">
        <v>19</v>
      </c>
      <c r="L1636" t="s">
        <v>20</v>
      </c>
      <c r="M1636" s="9">
        <v>7020009</v>
      </c>
      <c r="N1636" t="s">
        <v>3477</v>
      </c>
      <c r="O1636">
        <v>18</v>
      </c>
      <c r="P1636" t="s">
        <v>3477</v>
      </c>
      <c r="Q1636">
        <v>18</v>
      </c>
      <c r="R1636" s="13">
        <v>11207</v>
      </c>
      <c r="S1636" s="13">
        <v>7844.9</v>
      </c>
    </row>
    <row r="1637" spans="1:19">
      <c r="A1637" s="9" t="s">
        <v>22</v>
      </c>
      <c r="B1637" s="9" t="s">
        <v>26</v>
      </c>
      <c r="C1637" s="9" t="s">
        <v>98</v>
      </c>
      <c r="D1637" t="s">
        <v>204</v>
      </c>
      <c r="F1637" s="12" t="s">
        <v>3137</v>
      </c>
      <c r="G1637" s="10" t="s">
        <v>1277</v>
      </c>
      <c r="H1637" s="10" t="s">
        <v>1277</v>
      </c>
      <c r="K1637" t="s">
        <v>19</v>
      </c>
      <c r="L1637" t="s">
        <v>20</v>
      </c>
      <c r="M1637" s="9">
        <v>69101</v>
      </c>
      <c r="N1637" t="s">
        <v>3477</v>
      </c>
      <c r="O1637">
        <v>18</v>
      </c>
      <c r="P1637" t="s">
        <v>3477</v>
      </c>
      <c r="Q1637">
        <v>18</v>
      </c>
      <c r="R1637" s="13">
        <v>31660</v>
      </c>
      <c r="S1637" s="13">
        <v>22162</v>
      </c>
    </row>
    <row r="1638" spans="1:19">
      <c r="A1638" s="9" t="s">
        <v>23</v>
      </c>
      <c r="B1638" s="9" t="s">
        <v>26</v>
      </c>
      <c r="C1638" s="9" t="s">
        <v>127</v>
      </c>
      <c r="D1638" t="s">
        <v>204</v>
      </c>
      <c r="F1638" s="12" t="s">
        <v>3138</v>
      </c>
      <c r="G1638" s="10" t="s">
        <v>1278</v>
      </c>
      <c r="H1638" s="10" t="s">
        <v>1278</v>
      </c>
      <c r="K1638" t="s">
        <v>19</v>
      </c>
      <c r="L1638" t="s">
        <v>20</v>
      </c>
      <c r="M1638" s="9">
        <v>69101</v>
      </c>
      <c r="N1638" t="s">
        <v>3477</v>
      </c>
      <c r="O1638">
        <v>18</v>
      </c>
      <c r="P1638" t="s">
        <v>3477</v>
      </c>
      <c r="Q1638">
        <v>18</v>
      </c>
      <c r="R1638" s="13">
        <v>11550</v>
      </c>
      <c r="S1638" s="13">
        <v>6930</v>
      </c>
    </row>
    <row r="1639" spans="1:19">
      <c r="A1639" s="9" t="s">
        <v>22</v>
      </c>
      <c r="B1639" s="9" t="s">
        <v>26</v>
      </c>
      <c r="C1639" s="9" t="s">
        <v>103</v>
      </c>
      <c r="D1639" t="s">
        <v>204</v>
      </c>
      <c r="F1639" s="12" t="s">
        <v>3139</v>
      </c>
      <c r="G1639" s="10" t="s">
        <v>1278</v>
      </c>
      <c r="H1639" s="10" t="s">
        <v>1278</v>
      </c>
      <c r="K1639" t="s">
        <v>19</v>
      </c>
      <c r="L1639" t="s">
        <v>20</v>
      </c>
      <c r="M1639" s="9">
        <v>69101</v>
      </c>
      <c r="N1639" t="s">
        <v>3477</v>
      </c>
      <c r="O1639">
        <v>18</v>
      </c>
      <c r="P1639" t="s">
        <v>3477</v>
      </c>
      <c r="Q1639">
        <v>18</v>
      </c>
      <c r="R1639" s="13">
        <v>19500</v>
      </c>
      <c r="S1639" s="13">
        <v>13650</v>
      </c>
    </row>
    <row r="1640" spans="1:19">
      <c r="A1640" s="9" t="s">
        <v>22</v>
      </c>
      <c r="B1640" s="9" t="s">
        <v>26</v>
      </c>
      <c r="C1640" s="9" t="s">
        <v>103</v>
      </c>
      <c r="D1640" t="s">
        <v>204</v>
      </c>
      <c r="F1640" s="12" t="s">
        <v>3140</v>
      </c>
      <c r="G1640" s="10" t="s">
        <v>1279</v>
      </c>
      <c r="H1640" s="10" t="s">
        <v>1279</v>
      </c>
      <c r="K1640" t="s">
        <v>19</v>
      </c>
      <c r="L1640" t="s">
        <v>20</v>
      </c>
      <c r="M1640" s="9">
        <v>69101</v>
      </c>
      <c r="N1640" t="s">
        <v>3477</v>
      </c>
      <c r="O1640">
        <v>18</v>
      </c>
      <c r="P1640" t="s">
        <v>3477</v>
      </c>
      <c r="Q1640">
        <v>18</v>
      </c>
      <c r="R1640" s="13">
        <v>25330</v>
      </c>
      <c r="S1640" s="13">
        <v>17731</v>
      </c>
    </row>
    <row r="1641" spans="1:19">
      <c r="A1641" s="9" t="s">
        <v>22</v>
      </c>
      <c r="B1641" s="9" t="s">
        <v>27</v>
      </c>
      <c r="C1641" s="9" t="s">
        <v>194</v>
      </c>
      <c r="D1641" t="s">
        <v>204</v>
      </c>
      <c r="F1641" s="12" t="s">
        <v>3141</v>
      </c>
      <c r="G1641" s="10" t="s">
        <v>44</v>
      </c>
      <c r="H1641" s="10" t="s">
        <v>44</v>
      </c>
      <c r="K1641" t="s">
        <v>19</v>
      </c>
      <c r="L1641" t="s">
        <v>20</v>
      </c>
      <c r="M1641" s="9">
        <v>8481801</v>
      </c>
      <c r="N1641" t="s">
        <v>3477</v>
      </c>
      <c r="O1641">
        <v>18</v>
      </c>
      <c r="P1641" t="s">
        <v>3477</v>
      </c>
      <c r="Q1641">
        <v>18</v>
      </c>
      <c r="R1641" s="13">
        <v>105130</v>
      </c>
      <c r="S1641" s="13">
        <v>73591</v>
      </c>
    </row>
    <row r="1642" spans="1:19">
      <c r="A1642" s="9" t="s">
        <v>22</v>
      </c>
      <c r="B1642" s="9" t="s">
        <v>27</v>
      </c>
      <c r="C1642" s="9" t="s">
        <v>44</v>
      </c>
      <c r="D1642" t="s">
        <v>204</v>
      </c>
      <c r="F1642" s="12" t="s">
        <v>3142</v>
      </c>
      <c r="G1642" s="10" t="s">
        <v>1280</v>
      </c>
      <c r="H1642" s="10" t="s">
        <v>1280</v>
      </c>
      <c r="K1642" t="s">
        <v>19</v>
      </c>
      <c r="L1642" t="s">
        <v>20</v>
      </c>
      <c r="M1642" s="9">
        <v>8424899</v>
      </c>
      <c r="N1642" t="s">
        <v>3477</v>
      </c>
      <c r="O1642">
        <v>18</v>
      </c>
      <c r="P1642" t="s">
        <v>3477</v>
      </c>
      <c r="Q1642">
        <v>18</v>
      </c>
      <c r="R1642" s="13">
        <v>1350</v>
      </c>
      <c r="S1642" s="13">
        <v>944.99999999999989</v>
      </c>
    </row>
    <row r="1643" spans="1:19">
      <c r="A1643" s="9" t="s">
        <v>22</v>
      </c>
      <c r="B1643" s="9" t="s">
        <v>41</v>
      </c>
      <c r="C1643" s="9" t="s">
        <v>50</v>
      </c>
      <c r="D1643" t="s">
        <v>204</v>
      </c>
      <c r="F1643" s="12" t="s">
        <v>3143</v>
      </c>
      <c r="G1643" s="10" t="s">
        <v>1281</v>
      </c>
      <c r="H1643" s="10" t="s">
        <v>1281</v>
      </c>
      <c r="K1643" t="s">
        <v>19</v>
      </c>
      <c r="L1643" t="s">
        <v>20</v>
      </c>
      <c r="M1643" s="9">
        <v>39229</v>
      </c>
      <c r="N1643" t="s">
        <v>3477</v>
      </c>
      <c r="O1643">
        <v>18</v>
      </c>
      <c r="P1643" t="s">
        <v>3477</v>
      </c>
      <c r="Q1643">
        <v>18</v>
      </c>
      <c r="R1643" s="13">
        <v>3711</v>
      </c>
      <c r="S1643" s="13">
        <v>2597.6999999999998</v>
      </c>
    </row>
    <row r="1644" spans="1:19">
      <c r="A1644" s="9" t="s">
        <v>22</v>
      </c>
      <c r="B1644" s="9" t="s">
        <v>41</v>
      </c>
      <c r="C1644" s="9" t="s">
        <v>50</v>
      </c>
      <c r="D1644" t="s">
        <v>204</v>
      </c>
      <c r="F1644" s="12" t="s">
        <v>3144</v>
      </c>
      <c r="G1644" s="10" t="s">
        <v>1282</v>
      </c>
      <c r="H1644" s="10" t="s">
        <v>1282</v>
      </c>
      <c r="K1644" t="s">
        <v>19</v>
      </c>
      <c r="L1644" t="s">
        <v>20</v>
      </c>
      <c r="M1644" s="9">
        <v>731815</v>
      </c>
      <c r="N1644" t="s">
        <v>3477</v>
      </c>
      <c r="O1644">
        <v>18</v>
      </c>
      <c r="P1644" t="s">
        <v>3477</v>
      </c>
      <c r="Q1644">
        <v>18</v>
      </c>
      <c r="R1644" s="13">
        <v>247</v>
      </c>
      <c r="S1644" s="13">
        <v>172.89999999999998</v>
      </c>
    </row>
    <row r="1645" spans="1:19">
      <c r="A1645" s="9" t="s">
        <v>22</v>
      </c>
      <c r="B1645" s="9" t="s">
        <v>41</v>
      </c>
      <c r="C1645" s="9" t="s">
        <v>50</v>
      </c>
      <c r="D1645" t="s">
        <v>204</v>
      </c>
      <c r="F1645" s="12" t="s">
        <v>3145</v>
      </c>
      <c r="G1645" s="10" t="s">
        <v>1283</v>
      </c>
      <c r="H1645" s="10" t="s">
        <v>1283</v>
      </c>
      <c r="K1645" t="s">
        <v>19</v>
      </c>
      <c r="L1645" t="s">
        <v>20</v>
      </c>
      <c r="M1645" s="9">
        <v>39222</v>
      </c>
      <c r="N1645" t="s">
        <v>3477</v>
      </c>
      <c r="O1645">
        <v>18</v>
      </c>
      <c r="P1645" t="s">
        <v>3477</v>
      </c>
      <c r="Q1645">
        <v>18</v>
      </c>
      <c r="R1645" s="13">
        <v>4889</v>
      </c>
      <c r="S1645" s="13">
        <v>3422.2999999999997</v>
      </c>
    </row>
    <row r="1646" spans="1:19">
      <c r="A1646" s="9" t="s">
        <v>22</v>
      </c>
      <c r="B1646" s="9" t="s">
        <v>29</v>
      </c>
      <c r="C1646" s="9" t="s">
        <v>73</v>
      </c>
      <c r="D1646" t="s">
        <v>204</v>
      </c>
      <c r="F1646" s="12" t="s">
        <v>3146</v>
      </c>
      <c r="G1646" s="10" t="s">
        <v>1284</v>
      </c>
      <c r="H1646" s="10" t="s">
        <v>1284</v>
      </c>
      <c r="K1646" t="s">
        <v>19</v>
      </c>
      <c r="L1646" t="s">
        <v>20</v>
      </c>
      <c r="M1646" s="9">
        <v>39269099</v>
      </c>
      <c r="N1646" t="s">
        <v>3477</v>
      </c>
      <c r="O1646">
        <v>18</v>
      </c>
      <c r="P1646" t="s">
        <v>3477</v>
      </c>
      <c r="Q1646">
        <v>18</v>
      </c>
      <c r="R1646" s="13">
        <v>455</v>
      </c>
      <c r="S1646" s="13">
        <v>318.5</v>
      </c>
    </row>
    <row r="1647" spans="1:19">
      <c r="A1647" s="9" t="s">
        <v>22</v>
      </c>
      <c r="B1647" s="9" t="s">
        <v>41</v>
      </c>
      <c r="C1647" s="9" t="s">
        <v>50</v>
      </c>
      <c r="D1647" t="s">
        <v>204</v>
      </c>
      <c r="F1647" s="12" t="s">
        <v>3147</v>
      </c>
      <c r="G1647" s="10" t="s">
        <v>1285</v>
      </c>
      <c r="H1647" s="10" t="s">
        <v>1285</v>
      </c>
      <c r="K1647" t="s">
        <v>19</v>
      </c>
      <c r="L1647" t="s">
        <v>20</v>
      </c>
      <c r="M1647" s="9">
        <v>39222</v>
      </c>
      <c r="N1647" t="s">
        <v>3477</v>
      </c>
      <c r="O1647">
        <v>18</v>
      </c>
      <c r="P1647" t="s">
        <v>3477</v>
      </c>
      <c r="Q1647">
        <v>18</v>
      </c>
      <c r="R1647" s="13">
        <v>120</v>
      </c>
      <c r="S1647" s="13">
        <v>84</v>
      </c>
    </row>
    <row r="1648" spans="1:19">
      <c r="A1648" s="9" t="s">
        <v>22</v>
      </c>
      <c r="B1648" s="9" t="s">
        <v>41</v>
      </c>
      <c r="C1648" s="9" t="s">
        <v>50</v>
      </c>
      <c r="D1648" t="s">
        <v>204</v>
      </c>
      <c r="F1648" s="12" t="s">
        <v>3148</v>
      </c>
      <c r="G1648" s="10" t="s">
        <v>1286</v>
      </c>
      <c r="H1648" s="10" t="s">
        <v>1286</v>
      </c>
      <c r="K1648" t="s">
        <v>19</v>
      </c>
      <c r="L1648" t="s">
        <v>20</v>
      </c>
      <c r="M1648" s="9">
        <v>731815</v>
      </c>
      <c r="N1648" t="s">
        <v>3477</v>
      </c>
      <c r="O1648">
        <v>18</v>
      </c>
      <c r="P1648" t="s">
        <v>3477</v>
      </c>
      <c r="Q1648">
        <v>18</v>
      </c>
      <c r="R1648" s="13">
        <v>567</v>
      </c>
      <c r="S1648" s="13">
        <v>396.9</v>
      </c>
    </row>
    <row r="1649" spans="1:19">
      <c r="A1649" s="9" t="s">
        <v>22</v>
      </c>
      <c r="B1649" s="9" t="s">
        <v>41</v>
      </c>
      <c r="C1649" s="9" t="s">
        <v>50</v>
      </c>
      <c r="D1649" t="s">
        <v>204</v>
      </c>
      <c r="F1649" s="12" t="s">
        <v>3149</v>
      </c>
      <c r="G1649" s="10" t="s">
        <v>1287</v>
      </c>
      <c r="H1649" s="10" t="s">
        <v>1287</v>
      </c>
      <c r="K1649" t="s">
        <v>19</v>
      </c>
      <c r="L1649" t="s">
        <v>20</v>
      </c>
      <c r="M1649" s="9">
        <v>39229</v>
      </c>
      <c r="N1649" t="s">
        <v>3477</v>
      </c>
      <c r="O1649">
        <v>18</v>
      </c>
      <c r="P1649" t="s">
        <v>3477</v>
      </c>
      <c r="Q1649">
        <v>18</v>
      </c>
      <c r="R1649" s="13">
        <v>531</v>
      </c>
      <c r="S1649" s="13">
        <v>371.7</v>
      </c>
    </row>
    <row r="1650" spans="1:19">
      <c r="A1650" s="9" t="s">
        <v>23</v>
      </c>
      <c r="B1650" s="9" t="s">
        <v>27</v>
      </c>
      <c r="C1650" s="9" t="s">
        <v>63</v>
      </c>
      <c r="D1650" t="s">
        <v>204</v>
      </c>
      <c r="F1650" s="12" t="s">
        <v>3150</v>
      </c>
      <c r="G1650" s="10" t="s">
        <v>1288</v>
      </c>
      <c r="H1650" s="10" t="s">
        <v>1288</v>
      </c>
      <c r="K1650" t="s">
        <v>19</v>
      </c>
      <c r="L1650" t="s">
        <v>20</v>
      </c>
      <c r="M1650" s="9">
        <v>8481802</v>
      </c>
      <c r="N1650" t="s">
        <v>3477</v>
      </c>
      <c r="O1650">
        <v>18</v>
      </c>
      <c r="P1650" t="s">
        <v>3477</v>
      </c>
      <c r="Q1650">
        <v>18</v>
      </c>
      <c r="R1650" s="13">
        <v>332000</v>
      </c>
      <c r="S1650" s="13">
        <v>199200</v>
      </c>
    </row>
    <row r="1651" spans="1:19">
      <c r="A1651" s="9" t="s">
        <v>23</v>
      </c>
      <c r="B1651" s="9" t="s">
        <v>26</v>
      </c>
      <c r="C1651" s="9" t="s">
        <v>103</v>
      </c>
      <c r="D1651" t="s">
        <v>204</v>
      </c>
      <c r="F1651" s="12" t="s">
        <v>3151</v>
      </c>
      <c r="G1651" s="10" t="s">
        <v>1288</v>
      </c>
      <c r="H1651" s="10" t="s">
        <v>1288</v>
      </c>
      <c r="K1651" t="s">
        <v>19</v>
      </c>
      <c r="L1651" t="s">
        <v>20</v>
      </c>
      <c r="M1651" s="9">
        <v>69101</v>
      </c>
      <c r="N1651" t="s">
        <v>3477</v>
      </c>
      <c r="O1651">
        <v>18</v>
      </c>
      <c r="P1651" t="s">
        <v>3477</v>
      </c>
      <c r="Q1651">
        <v>18</v>
      </c>
      <c r="R1651" s="13">
        <v>65000</v>
      </c>
      <c r="S1651" s="13">
        <v>39000</v>
      </c>
    </row>
    <row r="1652" spans="1:19">
      <c r="A1652" s="9" t="s">
        <v>23</v>
      </c>
      <c r="B1652" s="9" t="s">
        <v>26</v>
      </c>
      <c r="C1652" s="9" t="s">
        <v>43</v>
      </c>
      <c r="D1652" t="s">
        <v>204</v>
      </c>
      <c r="F1652" s="12" t="s">
        <v>3152</v>
      </c>
      <c r="G1652" s="10" t="s">
        <v>1289</v>
      </c>
      <c r="H1652" s="10" t="s">
        <v>1289</v>
      </c>
      <c r="K1652" t="s">
        <v>19</v>
      </c>
      <c r="L1652" t="s">
        <v>20</v>
      </c>
      <c r="M1652" s="9">
        <v>69101</v>
      </c>
      <c r="N1652" t="s">
        <v>3477</v>
      </c>
      <c r="O1652">
        <v>18</v>
      </c>
      <c r="P1652" t="s">
        <v>3477</v>
      </c>
      <c r="Q1652">
        <v>18</v>
      </c>
      <c r="R1652" s="13">
        <v>45000</v>
      </c>
      <c r="S1652" s="13">
        <v>27000</v>
      </c>
    </row>
    <row r="1653" spans="1:19">
      <c r="A1653" s="9" t="s">
        <v>23</v>
      </c>
      <c r="B1653" s="9" t="s">
        <v>29</v>
      </c>
      <c r="C1653" s="9" t="s">
        <v>50</v>
      </c>
      <c r="D1653" t="s">
        <v>204</v>
      </c>
      <c r="F1653" s="12" t="s">
        <v>3153</v>
      </c>
      <c r="G1653" s="10" t="s">
        <v>1290</v>
      </c>
      <c r="H1653" s="10" t="s">
        <v>1290</v>
      </c>
      <c r="K1653" t="s">
        <v>19</v>
      </c>
      <c r="L1653" t="s">
        <v>20</v>
      </c>
      <c r="M1653" s="9">
        <v>7418202</v>
      </c>
      <c r="N1653" t="s">
        <v>3477</v>
      </c>
      <c r="O1653">
        <v>18</v>
      </c>
      <c r="P1653" t="s">
        <v>3477</v>
      </c>
      <c r="Q1653">
        <v>18</v>
      </c>
      <c r="R1653" s="13">
        <v>79700</v>
      </c>
      <c r="S1653" s="13">
        <v>47820</v>
      </c>
    </row>
    <row r="1654" spans="1:19">
      <c r="A1654" s="9" t="s">
        <v>22</v>
      </c>
      <c r="B1654" s="9" t="s">
        <v>27</v>
      </c>
      <c r="C1654" s="9" t="s">
        <v>196</v>
      </c>
      <c r="D1654" t="s">
        <v>204</v>
      </c>
      <c r="F1654" s="12" t="s">
        <v>3154</v>
      </c>
      <c r="G1654" s="10" t="s">
        <v>1290</v>
      </c>
      <c r="H1654" s="10" t="s">
        <v>1290</v>
      </c>
      <c r="K1654" t="s">
        <v>19</v>
      </c>
      <c r="L1654" t="s">
        <v>20</v>
      </c>
      <c r="M1654" s="9">
        <v>7418202</v>
      </c>
      <c r="N1654" t="s">
        <v>3477</v>
      </c>
      <c r="O1654">
        <v>18</v>
      </c>
      <c r="P1654" t="s">
        <v>3477</v>
      </c>
      <c r="Q1654">
        <v>18</v>
      </c>
      <c r="R1654" s="13">
        <v>4880</v>
      </c>
      <c r="S1654" s="13">
        <v>3416</v>
      </c>
    </row>
    <row r="1655" spans="1:19">
      <c r="A1655" s="9" t="s">
        <v>22</v>
      </c>
      <c r="B1655" s="9" t="s">
        <v>27</v>
      </c>
      <c r="C1655" s="9" t="s">
        <v>196</v>
      </c>
      <c r="D1655" t="s">
        <v>204</v>
      </c>
      <c r="F1655" s="12" t="s">
        <v>3155</v>
      </c>
      <c r="G1655" s="10" t="s">
        <v>1290</v>
      </c>
      <c r="H1655" s="10" t="s">
        <v>1290</v>
      </c>
      <c r="K1655" t="s">
        <v>19</v>
      </c>
      <c r="L1655" t="s">
        <v>20</v>
      </c>
      <c r="M1655" s="9">
        <v>7418202</v>
      </c>
      <c r="N1655" t="s">
        <v>3477</v>
      </c>
      <c r="O1655">
        <v>18</v>
      </c>
      <c r="P1655" t="s">
        <v>3477</v>
      </c>
      <c r="Q1655">
        <v>18</v>
      </c>
      <c r="R1655" s="13">
        <v>5460</v>
      </c>
      <c r="S1655" s="13">
        <v>3821.9999999999995</v>
      </c>
    </row>
    <row r="1656" spans="1:19">
      <c r="A1656" s="9" t="s">
        <v>22</v>
      </c>
      <c r="B1656" s="9" t="s">
        <v>27</v>
      </c>
      <c r="C1656" s="9" t="s">
        <v>196</v>
      </c>
      <c r="D1656" t="s">
        <v>204</v>
      </c>
      <c r="F1656" s="12" t="s">
        <v>3156</v>
      </c>
      <c r="G1656" s="10" t="s">
        <v>1290</v>
      </c>
      <c r="H1656" s="10" t="s">
        <v>1290</v>
      </c>
      <c r="K1656" t="s">
        <v>19</v>
      </c>
      <c r="L1656" t="s">
        <v>20</v>
      </c>
      <c r="M1656" s="9">
        <v>7418202</v>
      </c>
      <c r="N1656" t="s">
        <v>3477</v>
      </c>
      <c r="O1656">
        <v>18</v>
      </c>
      <c r="P1656" t="s">
        <v>3477</v>
      </c>
      <c r="Q1656">
        <v>18</v>
      </c>
      <c r="R1656" s="13">
        <v>5460</v>
      </c>
      <c r="S1656" s="13">
        <v>3821.9999999999995</v>
      </c>
    </row>
    <row r="1657" spans="1:19">
      <c r="A1657" s="9" t="s">
        <v>22</v>
      </c>
      <c r="B1657" s="9" t="s">
        <v>27</v>
      </c>
      <c r="C1657" s="9" t="s">
        <v>196</v>
      </c>
      <c r="D1657" t="s">
        <v>204</v>
      </c>
      <c r="F1657" s="12" t="s">
        <v>3157</v>
      </c>
      <c r="G1657" s="10" t="s">
        <v>1290</v>
      </c>
      <c r="H1657" s="10" t="s">
        <v>1290</v>
      </c>
      <c r="K1657" t="s">
        <v>19</v>
      </c>
      <c r="L1657" t="s">
        <v>20</v>
      </c>
      <c r="M1657" s="9">
        <v>7418202</v>
      </c>
      <c r="N1657" t="s">
        <v>3477</v>
      </c>
      <c r="O1657">
        <v>18</v>
      </c>
      <c r="P1657" t="s">
        <v>3477</v>
      </c>
      <c r="Q1657">
        <v>18</v>
      </c>
      <c r="R1657" s="13">
        <v>5850</v>
      </c>
      <c r="S1657" s="13">
        <v>4094.9999999999995</v>
      </c>
    </row>
    <row r="1658" spans="1:19">
      <c r="A1658" s="9" t="s">
        <v>22</v>
      </c>
      <c r="B1658" s="9" t="s">
        <v>27</v>
      </c>
      <c r="C1658" s="9" t="s">
        <v>196</v>
      </c>
      <c r="D1658" t="s">
        <v>204</v>
      </c>
      <c r="F1658" s="12" t="s">
        <v>3158</v>
      </c>
      <c r="G1658" s="10" t="s">
        <v>1290</v>
      </c>
      <c r="H1658" s="10" t="s">
        <v>1290</v>
      </c>
      <c r="K1658" t="s">
        <v>19</v>
      </c>
      <c r="L1658" t="s">
        <v>20</v>
      </c>
      <c r="M1658" s="9">
        <v>7418202</v>
      </c>
      <c r="N1658" t="s">
        <v>3477</v>
      </c>
      <c r="O1658">
        <v>18</v>
      </c>
      <c r="P1658" t="s">
        <v>3477</v>
      </c>
      <c r="Q1658">
        <v>18</v>
      </c>
      <c r="R1658" s="13">
        <v>3900</v>
      </c>
      <c r="S1658" s="13">
        <v>2730</v>
      </c>
    </row>
    <row r="1659" spans="1:19">
      <c r="A1659" s="9" t="s">
        <v>22</v>
      </c>
      <c r="B1659" s="9" t="s">
        <v>27</v>
      </c>
      <c r="C1659" s="9" t="s">
        <v>196</v>
      </c>
      <c r="D1659" t="s">
        <v>204</v>
      </c>
      <c r="F1659" s="12" t="s">
        <v>3159</v>
      </c>
      <c r="G1659" s="10" t="s">
        <v>1291</v>
      </c>
      <c r="H1659" s="10" t="s">
        <v>1291</v>
      </c>
      <c r="K1659" t="s">
        <v>19</v>
      </c>
      <c r="L1659" t="s">
        <v>20</v>
      </c>
      <c r="M1659" s="9">
        <v>7418202</v>
      </c>
      <c r="N1659" t="s">
        <v>3477</v>
      </c>
      <c r="O1659">
        <v>18</v>
      </c>
      <c r="P1659" t="s">
        <v>3477</v>
      </c>
      <c r="Q1659">
        <v>18</v>
      </c>
      <c r="R1659" s="13">
        <v>5460</v>
      </c>
      <c r="S1659" s="13">
        <v>3821.9999999999995</v>
      </c>
    </row>
    <row r="1660" spans="1:19">
      <c r="A1660" s="9" t="s">
        <v>23</v>
      </c>
      <c r="B1660" s="9" t="s">
        <v>27</v>
      </c>
      <c r="C1660" s="9" t="s">
        <v>112</v>
      </c>
      <c r="D1660" t="s">
        <v>204</v>
      </c>
      <c r="F1660" s="12" t="s">
        <v>3160</v>
      </c>
      <c r="G1660" s="10" t="s">
        <v>288</v>
      </c>
      <c r="H1660" s="10" t="s">
        <v>288</v>
      </c>
      <c r="K1660" t="s">
        <v>19</v>
      </c>
      <c r="L1660" t="s">
        <v>20</v>
      </c>
      <c r="M1660" s="9">
        <v>7418202</v>
      </c>
      <c r="N1660" t="s">
        <v>3477</v>
      </c>
      <c r="O1660">
        <v>18</v>
      </c>
      <c r="P1660" t="s">
        <v>3477</v>
      </c>
      <c r="Q1660">
        <v>18</v>
      </c>
      <c r="R1660" s="13">
        <v>13200</v>
      </c>
      <c r="S1660" s="13">
        <v>7920</v>
      </c>
    </row>
    <row r="1661" spans="1:19">
      <c r="A1661" s="9" t="s">
        <v>22</v>
      </c>
      <c r="B1661" s="9" t="s">
        <v>29</v>
      </c>
      <c r="C1661" s="9" t="s">
        <v>89</v>
      </c>
      <c r="D1661" t="s">
        <v>204</v>
      </c>
      <c r="F1661" s="12" t="s">
        <v>3161</v>
      </c>
      <c r="G1661" s="10" t="s">
        <v>1292</v>
      </c>
      <c r="H1661" s="10" t="s">
        <v>1292</v>
      </c>
      <c r="K1661" t="s">
        <v>19</v>
      </c>
      <c r="L1661" t="s">
        <v>20</v>
      </c>
      <c r="M1661" s="9">
        <v>7418202</v>
      </c>
      <c r="N1661" t="s">
        <v>3477</v>
      </c>
      <c r="O1661">
        <v>18</v>
      </c>
      <c r="P1661" t="s">
        <v>3477</v>
      </c>
      <c r="Q1661">
        <v>18</v>
      </c>
      <c r="R1661" s="13">
        <v>34080</v>
      </c>
      <c r="S1661" s="13">
        <v>23856</v>
      </c>
    </row>
    <row r="1662" spans="1:19">
      <c r="A1662" s="9" t="s">
        <v>22</v>
      </c>
      <c r="B1662" s="9" t="s">
        <v>29</v>
      </c>
      <c r="C1662" s="9" t="s">
        <v>50</v>
      </c>
      <c r="D1662" t="s">
        <v>204</v>
      </c>
      <c r="F1662" s="12" t="s">
        <v>3162</v>
      </c>
      <c r="G1662" s="10" t="s">
        <v>1293</v>
      </c>
      <c r="H1662" s="10" t="s">
        <v>1293</v>
      </c>
      <c r="K1662" t="s">
        <v>19</v>
      </c>
      <c r="L1662" t="s">
        <v>20</v>
      </c>
      <c r="M1662" s="9">
        <v>7418202</v>
      </c>
      <c r="N1662" t="s">
        <v>3477</v>
      </c>
      <c r="O1662">
        <v>18</v>
      </c>
      <c r="P1662" t="s">
        <v>3477</v>
      </c>
      <c r="Q1662">
        <v>18</v>
      </c>
      <c r="R1662" s="13">
        <v>31300</v>
      </c>
      <c r="S1662" s="13">
        <v>21910</v>
      </c>
    </row>
    <row r="1663" spans="1:19">
      <c r="A1663" s="9" t="s">
        <v>22</v>
      </c>
      <c r="B1663" s="9" t="s">
        <v>29</v>
      </c>
      <c r="C1663" s="9" t="s">
        <v>50</v>
      </c>
      <c r="D1663" t="s">
        <v>204</v>
      </c>
      <c r="F1663" s="12" t="s">
        <v>3163</v>
      </c>
      <c r="G1663" s="10" t="s">
        <v>1292</v>
      </c>
      <c r="H1663" s="10" t="s">
        <v>1292</v>
      </c>
      <c r="K1663" t="s">
        <v>19</v>
      </c>
      <c r="L1663" t="s">
        <v>20</v>
      </c>
      <c r="M1663" s="9">
        <v>7418202</v>
      </c>
      <c r="N1663" t="s">
        <v>3477</v>
      </c>
      <c r="O1663">
        <v>18</v>
      </c>
      <c r="P1663" t="s">
        <v>3477</v>
      </c>
      <c r="Q1663">
        <v>18</v>
      </c>
      <c r="R1663" s="13">
        <v>24380</v>
      </c>
      <c r="S1663" s="13">
        <v>17066</v>
      </c>
    </row>
    <row r="1664" spans="1:19">
      <c r="A1664" s="9" t="s">
        <v>23</v>
      </c>
      <c r="B1664" s="9" t="s">
        <v>29</v>
      </c>
      <c r="C1664" s="9" t="s">
        <v>73</v>
      </c>
      <c r="D1664" t="s">
        <v>204</v>
      </c>
      <c r="F1664" s="12" t="s">
        <v>3164</v>
      </c>
      <c r="G1664" s="10" t="s">
        <v>1294</v>
      </c>
      <c r="H1664" s="10" t="s">
        <v>1294</v>
      </c>
      <c r="K1664" t="s">
        <v>19</v>
      </c>
      <c r="L1664" t="s">
        <v>20</v>
      </c>
      <c r="M1664" s="9">
        <v>7418202</v>
      </c>
      <c r="N1664" t="s">
        <v>3477</v>
      </c>
      <c r="O1664">
        <v>18</v>
      </c>
      <c r="P1664" t="s">
        <v>3477</v>
      </c>
      <c r="Q1664">
        <v>18</v>
      </c>
      <c r="R1664" s="13">
        <v>114400</v>
      </c>
      <c r="S1664" s="13">
        <v>68640</v>
      </c>
    </row>
    <row r="1665" spans="1:19">
      <c r="A1665" s="9" t="s">
        <v>23</v>
      </c>
      <c r="B1665" s="9" t="s">
        <v>27</v>
      </c>
      <c r="C1665" s="9" t="s">
        <v>194</v>
      </c>
      <c r="D1665" t="s">
        <v>204</v>
      </c>
      <c r="F1665" s="12" t="s">
        <v>3165</v>
      </c>
      <c r="G1665" s="10" t="s">
        <v>1295</v>
      </c>
      <c r="H1665" s="10" t="s">
        <v>1295</v>
      </c>
      <c r="K1665" t="s">
        <v>19</v>
      </c>
      <c r="L1665" t="s">
        <v>20</v>
      </c>
      <c r="M1665" s="9">
        <v>8481802</v>
      </c>
      <c r="N1665" t="s">
        <v>3477</v>
      </c>
      <c r="O1665">
        <v>18</v>
      </c>
      <c r="P1665" t="s">
        <v>3477</v>
      </c>
      <c r="Q1665">
        <v>18</v>
      </c>
      <c r="R1665" s="13">
        <v>79811</v>
      </c>
      <c r="S1665" s="13">
        <v>47886.6</v>
      </c>
    </row>
    <row r="1666" spans="1:19">
      <c r="A1666" s="9" t="s">
        <v>22</v>
      </c>
      <c r="B1666" s="9" t="s">
        <v>27</v>
      </c>
      <c r="C1666" s="9" t="s">
        <v>48</v>
      </c>
      <c r="D1666" t="s">
        <v>204</v>
      </c>
      <c r="F1666" s="12" t="s">
        <v>3166</v>
      </c>
      <c r="G1666" s="10" t="s">
        <v>1295</v>
      </c>
      <c r="H1666" s="10" t="s">
        <v>1295</v>
      </c>
      <c r="K1666" t="s">
        <v>19</v>
      </c>
      <c r="L1666" t="s">
        <v>20</v>
      </c>
      <c r="M1666" s="9">
        <v>8481802</v>
      </c>
      <c r="N1666" t="s">
        <v>3477</v>
      </c>
      <c r="O1666">
        <v>18</v>
      </c>
      <c r="P1666" t="s">
        <v>3477</v>
      </c>
      <c r="Q1666">
        <v>18</v>
      </c>
      <c r="R1666" s="13">
        <v>14750</v>
      </c>
      <c r="S1666" s="13">
        <v>10325</v>
      </c>
    </row>
    <row r="1667" spans="1:19">
      <c r="A1667" s="9" t="s">
        <v>22</v>
      </c>
      <c r="B1667" s="9" t="s">
        <v>27</v>
      </c>
      <c r="C1667" s="9" t="s">
        <v>48</v>
      </c>
      <c r="D1667" t="s">
        <v>204</v>
      </c>
      <c r="F1667" s="12" t="s">
        <v>3167</v>
      </c>
      <c r="G1667" s="10" t="s">
        <v>1295</v>
      </c>
      <c r="H1667" s="10" t="s">
        <v>1295</v>
      </c>
      <c r="K1667" t="s">
        <v>19</v>
      </c>
      <c r="L1667" t="s">
        <v>20</v>
      </c>
      <c r="M1667" s="9">
        <v>8481802</v>
      </c>
      <c r="N1667" t="s">
        <v>3477</v>
      </c>
      <c r="O1667">
        <v>18</v>
      </c>
      <c r="P1667" t="s">
        <v>3477</v>
      </c>
      <c r="Q1667">
        <v>18</v>
      </c>
      <c r="R1667" s="13">
        <v>11750</v>
      </c>
      <c r="S1667" s="13">
        <v>8225</v>
      </c>
    </row>
    <row r="1668" spans="1:19">
      <c r="A1668" s="9" t="s">
        <v>22</v>
      </c>
      <c r="B1668" s="9" t="s">
        <v>27</v>
      </c>
      <c r="C1668" s="9" t="s">
        <v>48</v>
      </c>
      <c r="D1668" t="s">
        <v>204</v>
      </c>
      <c r="F1668" s="12" t="s">
        <v>3168</v>
      </c>
      <c r="G1668" s="10" t="s">
        <v>1295</v>
      </c>
      <c r="H1668" s="10" t="s">
        <v>1295</v>
      </c>
      <c r="K1668" t="s">
        <v>19</v>
      </c>
      <c r="L1668" t="s">
        <v>20</v>
      </c>
      <c r="M1668" s="9">
        <v>8481802</v>
      </c>
      <c r="N1668" t="s">
        <v>3477</v>
      </c>
      <c r="O1668">
        <v>18</v>
      </c>
      <c r="P1668" t="s">
        <v>3477</v>
      </c>
      <c r="Q1668">
        <v>18</v>
      </c>
      <c r="R1668" s="13">
        <v>19500</v>
      </c>
      <c r="S1668" s="13">
        <v>13650</v>
      </c>
    </row>
    <row r="1669" spans="1:19">
      <c r="A1669" s="9" t="s">
        <v>22</v>
      </c>
      <c r="B1669" s="9" t="s">
        <v>27</v>
      </c>
      <c r="C1669" s="9" t="s">
        <v>48</v>
      </c>
      <c r="D1669" t="s">
        <v>204</v>
      </c>
      <c r="F1669" s="12" t="s">
        <v>3169</v>
      </c>
      <c r="G1669" s="10" t="s">
        <v>1295</v>
      </c>
      <c r="H1669" s="10" t="s">
        <v>1295</v>
      </c>
      <c r="K1669" t="s">
        <v>19</v>
      </c>
      <c r="L1669" t="s">
        <v>20</v>
      </c>
      <c r="M1669" s="9">
        <v>8481802</v>
      </c>
      <c r="N1669" t="s">
        <v>3477</v>
      </c>
      <c r="O1669">
        <v>18</v>
      </c>
      <c r="P1669" t="s">
        <v>3477</v>
      </c>
      <c r="Q1669">
        <v>18</v>
      </c>
      <c r="R1669" s="13">
        <v>19500</v>
      </c>
      <c r="S1669" s="13">
        <v>13650</v>
      </c>
    </row>
    <row r="1670" spans="1:19">
      <c r="A1670" s="9" t="s">
        <v>22</v>
      </c>
      <c r="B1670" s="9" t="s">
        <v>27</v>
      </c>
      <c r="C1670" s="9" t="s">
        <v>48</v>
      </c>
      <c r="D1670" t="s">
        <v>204</v>
      </c>
      <c r="F1670" s="12" t="s">
        <v>3170</v>
      </c>
      <c r="G1670" s="10" t="s">
        <v>1295</v>
      </c>
      <c r="H1670" s="10" t="s">
        <v>1295</v>
      </c>
      <c r="K1670" t="s">
        <v>19</v>
      </c>
      <c r="L1670" t="s">
        <v>20</v>
      </c>
      <c r="M1670" s="9">
        <v>8481802</v>
      </c>
      <c r="N1670" t="s">
        <v>3477</v>
      </c>
      <c r="O1670">
        <v>18</v>
      </c>
      <c r="P1670" t="s">
        <v>3477</v>
      </c>
      <c r="Q1670">
        <v>18</v>
      </c>
      <c r="R1670" s="13">
        <v>13000</v>
      </c>
      <c r="S1670" s="13">
        <v>9100</v>
      </c>
    </row>
    <row r="1671" spans="1:19">
      <c r="A1671" s="9" t="s">
        <v>22</v>
      </c>
      <c r="B1671" s="9" t="s">
        <v>27</v>
      </c>
      <c r="C1671" s="9" t="s">
        <v>48</v>
      </c>
      <c r="D1671" t="s">
        <v>204</v>
      </c>
      <c r="F1671" s="12" t="s">
        <v>3171</v>
      </c>
      <c r="G1671" s="10" t="s">
        <v>1296</v>
      </c>
      <c r="H1671" s="10" t="s">
        <v>1296</v>
      </c>
      <c r="K1671" t="s">
        <v>19</v>
      </c>
      <c r="L1671" t="s">
        <v>20</v>
      </c>
      <c r="M1671" s="9">
        <v>8481802</v>
      </c>
      <c r="N1671" t="s">
        <v>3477</v>
      </c>
      <c r="O1671">
        <v>18</v>
      </c>
      <c r="P1671" t="s">
        <v>3477</v>
      </c>
      <c r="Q1671">
        <v>18</v>
      </c>
      <c r="R1671" s="13">
        <v>18200</v>
      </c>
      <c r="S1671" s="13">
        <v>12740</v>
      </c>
    </row>
    <row r="1672" spans="1:19">
      <c r="A1672" s="9" t="s">
        <v>22</v>
      </c>
      <c r="B1672" s="9" t="s">
        <v>27</v>
      </c>
      <c r="C1672" s="9" t="s">
        <v>48</v>
      </c>
      <c r="D1672" t="s">
        <v>204</v>
      </c>
      <c r="F1672" s="12" t="s">
        <v>3172</v>
      </c>
      <c r="G1672" s="10" t="s">
        <v>1297</v>
      </c>
      <c r="H1672" s="10" t="s">
        <v>1297</v>
      </c>
      <c r="K1672" t="s">
        <v>19</v>
      </c>
      <c r="L1672" t="s">
        <v>20</v>
      </c>
      <c r="M1672" s="9">
        <v>8481802</v>
      </c>
      <c r="N1672" t="s">
        <v>3477</v>
      </c>
      <c r="O1672">
        <v>18</v>
      </c>
      <c r="P1672" t="s">
        <v>3477</v>
      </c>
      <c r="Q1672">
        <v>18</v>
      </c>
      <c r="R1672" s="13">
        <v>12130</v>
      </c>
      <c r="S1672" s="13">
        <v>8491</v>
      </c>
    </row>
    <row r="1673" spans="1:19">
      <c r="A1673" s="9" t="s">
        <v>22</v>
      </c>
      <c r="B1673" s="9" t="s">
        <v>27</v>
      </c>
      <c r="C1673" s="9" t="s">
        <v>48</v>
      </c>
      <c r="D1673" t="s">
        <v>204</v>
      </c>
      <c r="F1673" s="12" t="s">
        <v>3173</v>
      </c>
      <c r="G1673" s="10" t="s">
        <v>1298</v>
      </c>
      <c r="H1673" s="10" t="s">
        <v>1298</v>
      </c>
      <c r="K1673" t="s">
        <v>19</v>
      </c>
      <c r="L1673" t="s">
        <v>20</v>
      </c>
      <c r="M1673" s="9">
        <v>8481802</v>
      </c>
      <c r="N1673" t="s">
        <v>3477</v>
      </c>
      <c r="O1673">
        <v>18</v>
      </c>
      <c r="P1673" t="s">
        <v>3477</v>
      </c>
      <c r="Q1673">
        <v>18</v>
      </c>
      <c r="R1673" s="13">
        <v>12500</v>
      </c>
      <c r="S1673" s="13">
        <v>8750</v>
      </c>
    </row>
    <row r="1674" spans="1:19">
      <c r="A1674" s="9" t="s">
        <v>22</v>
      </c>
      <c r="B1674" s="9" t="s">
        <v>27</v>
      </c>
      <c r="C1674" s="9" t="s">
        <v>118</v>
      </c>
      <c r="D1674" t="s">
        <v>204</v>
      </c>
      <c r="F1674" s="12" t="s">
        <v>3174</v>
      </c>
      <c r="G1674" s="10" t="s">
        <v>1299</v>
      </c>
      <c r="H1674" s="10" t="s">
        <v>1299</v>
      </c>
      <c r="K1674" t="s">
        <v>19</v>
      </c>
      <c r="L1674" t="s">
        <v>20</v>
      </c>
      <c r="M1674" s="9">
        <v>8481802</v>
      </c>
      <c r="N1674" t="s">
        <v>3477</v>
      </c>
      <c r="O1674">
        <v>18</v>
      </c>
      <c r="P1674" t="s">
        <v>3477</v>
      </c>
      <c r="Q1674">
        <v>18</v>
      </c>
      <c r="R1674" s="13">
        <v>6350</v>
      </c>
      <c r="S1674" s="13">
        <v>4445</v>
      </c>
    </row>
    <row r="1675" spans="1:19">
      <c r="A1675" s="9" t="s">
        <v>22</v>
      </c>
      <c r="B1675" s="9" t="s">
        <v>27</v>
      </c>
      <c r="C1675" s="9" t="s">
        <v>95</v>
      </c>
      <c r="D1675" t="s">
        <v>204</v>
      </c>
      <c r="F1675" s="12" t="s">
        <v>3175</v>
      </c>
      <c r="G1675" s="10" t="s">
        <v>1299</v>
      </c>
      <c r="H1675" s="10" t="s">
        <v>1299</v>
      </c>
      <c r="K1675" t="s">
        <v>19</v>
      </c>
      <c r="L1675" t="s">
        <v>20</v>
      </c>
      <c r="M1675" s="9">
        <v>8481909</v>
      </c>
      <c r="N1675" t="s">
        <v>3477</v>
      </c>
      <c r="O1675">
        <v>18</v>
      </c>
      <c r="P1675" t="s">
        <v>3477</v>
      </c>
      <c r="Q1675">
        <v>18</v>
      </c>
      <c r="R1675" s="13">
        <v>7450</v>
      </c>
      <c r="S1675" s="13">
        <v>5215</v>
      </c>
    </row>
    <row r="1676" spans="1:19">
      <c r="A1676" s="9" t="s">
        <v>22</v>
      </c>
      <c r="B1676" s="9" t="s">
        <v>27</v>
      </c>
      <c r="C1676" s="9" t="s">
        <v>95</v>
      </c>
      <c r="D1676" t="s">
        <v>204</v>
      </c>
      <c r="F1676" s="12" t="s">
        <v>3176</v>
      </c>
      <c r="G1676" s="10" t="s">
        <v>1300</v>
      </c>
      <c r="H1676" s="10" t="s">
        <v>1300</v>
      </c>
      <c r="K1676" t="s">
        <v>19</v>
      </c>
      <c r="L1676" t="s">
        <v>20</v>
      </c>
      <c r="M1676" s="9">
        <v>8481909</v>
      </c>
      <c r="N1676" t="s">
        <v>3477</v>
      </c>
      <c r="O1676">
        <v>18</v>
      </c>
      <c r="P1676" t="s">
        <v>3477</v>
      </c>
      <c r="Q1676">
        <v>18</v>
      </c>
      <c r="R1676" s="13">
        <v>7750</v>
      </c>
      <c r="S1676" s="13">
        <v>5425</v>
      </c>
    </row>
    <row r="1677" spans="1:19">
      <c r="A1677" s="9" t="s">
        <v>22</v>
      </c>
      <c r="B1677" s="9" t="s">
        <v>27</v>
      </c>
      <c r="C1677" s="9" t="s">
        <v>133</v>
      </c>
      <c r="D1677" t="s">
        <v>204</v>
      </c>
      <c r="F1677" s="12" t="s">
        <v>3177</v>
      </c>
      <c r="G1677" s="10" t="s">
        <v>1300</v>
      </c>
      <c r="H1677" s="10" t="s">
        <v>1300</v>
      </c>
      <c r="K1677" t="s">
        <v>19</v>
      </c>
      <c r="L1677" t="s">
        <v>20</v>
      </c>
      <c r="M1677" s="9">
        <v>8481909</v>
      </c>
      <c r="N1677" t="s">
        <v>3477</v>
      </c>
      <c r="O1677">
        <v>18</v>
      </c>
      <c r="P1677" t="s">
        <v>3477</v>
      </c>
      <c r="Q1677">
        <v>18</v>
      </c>
      <c r="R1677" s="13">
        <v>7450</v>
      </c>
      <c r="S1677" s="13">
        <v>5215</v>
      </c>
    </row>
    <row r="1678" spans="1:19">
      <c r="A1678" s="9" t="s">
        <v>22</v>
      </c>
      <c r="B1678" s="9" t="s">
        <v>27</v>
      </c>
      <c r="C1678" s="9" t="s">
        <v>95</v>
      </c>
      <c r="D1678" t="s">
        <v>204</v>
      </c>
      <c r="F1678" s="12" t="s">
        <v>3178</v>
      </c>
      <c r="G1678" s="10" t="s">
        <v>1300</v>
      </c>
      <c r="H1678" s="10" t="s">
        <v>1300</v>
      </c>
      <c r="K1678" t="s">
        <v>19</v>
      </c>
      <c r="L1678" t="s">
        <v>20</v>
      </c>
      <c r="M1678" s="9">
        <v>8481909</v>
      </c>
      <c r="N1678" t="s">
        <v>3477</v>
      </c>
      <c r="O1678">
        <v>18</v>
      </c>
      <c r="P1678" t="s">
        <v>3477</v>
      </c>
      <c r="Q1678">
        <v>18</v>
      </c>
      <c r="R1678" s="13">
        <v>14130</v>
      </c>
      <c r="S1678" s="13">
        <v>9891</v>
      </c>
    </row>
    <row r="1679" spans="1:19">
      <c r="A1679" s="9" t="s">
        <v>22</v>
      </c>
      <c r="B1679" s="9" t="s">
        <v>27</v>
      </c>
      <c r="C1679" s="9" t="s">
        <v>95</v>
      </c>
      <c r="D1679" t="s">
        <v>204</v>
      </c>
      <c r="F1679" s="12" t="s">
        <v>3179</v>
      </c>
      <c r="G1679" s="10" t="s">
        <v>1300</v>
      </c>
      <c r="H1679" s="10" t="s">
        <v>1300</v>
      </c>
      <c r="K1679" t="s">
        <v>19</v>
      </c>
      <c r="L1679" t="s">
        <v>20</v>
      </c>
      <c r="M1679" s="9">
        <v>8481909</v>
      </c>
      <c r="N1679" t="s">
        <v>3477</v>
      </c>
      <c r="O1679">
        <v>18</v>
      </c>
      <c r="P1679" t="s">
        <v>3477</v>
      </c>
      <c r="Q1679">
        <v>18</v>
      </c>
      <c r="R1679" s="13">
        <v>14130</v>
      </c>
      <c r="S1679" s="13">
        <v>9891</v>
      </c>
    </row>
    <row r="1680" spans="1:19">
      <c r="A1680" s="9" t="s">
        <v>22</v>
      </c>
      <c r="B1680" s="9" t="s">
        <v>27</v>
      </c>
      <c r="C1680" s="9" t="s">
        <v>95</v>
      </c>
      <c r="D1680" t="s">
        <v>204</v>
      </c>
      <c r="F1680" s="12" t="s">
        <v>3180</v>
      </c>
      <c r="G1680" s="10" t="s">
        <v>1301</v>
      </c>
      <c r="H1680" s="10" t="s">
        <v>1301</v>
      </c>
      <c r="K1680" t="s">
        <v>19</v>
      </c>
      <c r="L1680" t="s">
        <v>20</v>
      </c>
      <c r="M1680" s="9">
        <v>8481909</v>
      </c>
      <c r="N1680" t="s">
        <v>3477</v>
      </c>
      <c r="O1680">
        <v>18</v>
      </c>
      <c r="P1680" t="s">
        <v>3477</v>
      </c>
      <c r="Q1680">
        <v>18</v>
      </c>
      <c r="R1680" s="13">
        <v>12850</v>
      </c>
      <c r="S1680" s="13">
        <v>8995</v>
      </c>
    </row>
    <row r="1681" spans="1:19">
      <c r="A1681" s="9" t="s">
        <v>22</v>
      </c>
      <c r="B1681" s="9" t="s">
        <v>27</v>
      </c>
      <c r="C1681" s="9" t="s">
        <v>95</v>
      </c>
      <c r="D1681" t="s">
        <v>204</v>
      </c>
      <c r="F1681" s="12" t="s">
        <v>3181</v>
      </c>
      <c r="G1681" s="10" t="s">
        <v>1302</v>
      </c>
      <c r="H1681" s="10" t="s">
        <v>1302</v>
      </c>
      <c r="K1681" t="s">
        <v>19</v>
      </c>
      <c r="L1681" t="s">
        <v>20</v>
      </c>
      <c r="M1681" s="9">
        <v>8481909</v>
      </c>
      <c r="N1681" t="s">
        <v>3477</v>
      </c>
      <c r="O1681">
        <v>18</v>
      </c>
      <c r="P1681" t="s">
        <v>3477</v>
      </c>
      <c r="Q1681">
        <v>18</v>
      </c>
      <c r="R1681" s="13">
        <v>5520</v>
      </c>
      <c r="S1681" s="13">
        <v>3863.9999999999995</v>
      </c>
    </row>
    <row r="1682" spans="1:19">
      <c r="A1682" s="9" t="s">
        <v>22</v>
      </c>
      <c r="B1682" s="9" t="s">
        <v>27</v>
      </c>
      <c r="C1682" s="9" t="s">
        <v>95</v>
      </c>
      <c r="D1682" t="s">
        <v>204</v>
      </c>
      <c r="F1682" s="12" t="s">
        <v>3182</v>
      </c>
      <c r="G1682" s="10" t="s">
        <v>1303</v>
      </c>
      <c r="H1682" s="10" t="s">
        <v>1303</v>
      </c>
      <c r="K1682" t="s">
        <v>19</v>
      </c>
      <c r="L1682" t="s">
        <v>20</v>
      </c>
      <c r="M1682" s="9">
        <v>8481801</v>
      </c>
      <c r="N1682" t="s">
        <v>3477</v>
      </c>
      <c r="O1682">
        <v>18</v>
      </c>
      <c r="P1682" t="s">
        <v>3477</v>
      </c>
      <c r="Q1682">
        <v>18</v>
      </c>
      <c r="R1682" s="13">
        <v>8070</v>
      </c>
      <c r="S1682" s="13">
        <v>5649</v>
      </c>
    </row>
    <row r="1683" spans="1:19">
      <c r="A1683" s="9" t="s">
        <v>22</v>
      </c>
      <c r="B1683" s="9" t="s">
        <v>27</v>
      </c>
      <c r="C1683" s="9" t="s">
        <v>95</v>
      </c>
      <c r="D1683" t="s">
        <v>204</v>
      </c>
      <c r="F1683" s="12" t="s">
        <v>3183</v>
      </c>
      <c r="G1683" s="10" t="s">
        <v>1304</v>
      </c>
      <c r="H1683" s="10" t="s">
        <v>1304</v>
      </c>
      <c r="K1683" t="s">
        <v>19</v>
      </c>
      <c r="L1683" t="s">
        <v>20</v>
      </c>
      <c r="M1683" s="9">
        <v>8481801</v>
      </c>
      <c r="N1683" t="s">
        <v>3477</v>
      </c>
      <c r="O1683">
        <v>18</v>
      </c>
      <c r="P1683" t="s">
        <v>3477</v>
      </c>
      <c r="Q1683">
        <v>18</v>
      </c>
      <c r="R1683" s="13">
        <v>7510</v>
      </c>
      <c r="S1683" s="13">
        <v>5257</v>
      </c>
    </row>
    <row r="1684" spans="1:19">
      <c r="A1684" s="9" t="s">
        <v>22</v>
      </c>
      <c r="B1684" s="9" t="s">
        <v>27</v>
      </c>
      <c r="C1684" s="9" t="s">
        <v>49</v>
      </c>
      <c r="D1684" t="s">
        <v>204</v>
      </c>
      <c r="F1684" s="12" t="s">
        <v>3184</v>
      </c>
      <c r="G1684" s="10" t="s">
        <v>1304</v>
      </c>
      <c r="H1684" s="10" t="s">
        <v>1304</v>
      </c>
      <c r="K1684" t="s">
        <v>19</v>
      </c>
      <c r="L1684" t="s">
        <v>20</v>
      </c>
      <c r="M1684" s="9">
        <v>8481802</v>
      </c>
      <c r="N1684" t="s">
        <v>3477</v>
      </c>
      <c r="O1684">
        <v>18</v>
      </c>
      <c r="P1684" t="s">
        <v>3477</v>
      </c>
      <c r="Q1684">
        <v>18</v>
      </c>
      <c r="R1684" s="13">
        <v>24380</v>
      </c>
      <c r="S1684" s="13">
        <v>17066</v>
      </c>
    </row>
    <row r="1685" spans="1:19">
      <c r="A1685" s="9" t="s">
        <v>22</v>
      </c>
      <c r="B1685" s="9" t="s">
        <v>27</v>
      </c>
      <c r="C1685" s="9" t="s">
        <v>49</v>
      </c>
      <c r="D1685" t="s">
        <v>204</v>
      </c>
      <c r="F1685" s="12" t="s">
        <v>3185</v>
      </c>
      <c r="G1685" s="10" t="s">
        <v>1304</v>
      </c>
      <c r="H1685" s="10" t="s">
        <v>1304</v>
      </c>
      <c r="K1685" t="s">
        <v>19</v>
      </c>
      <c r="L1685" t="s">
        <v>20</v>
      </c>
      <c r="M1685" s="9">
        <v>8481802</v>
      </c>
      <c r="N1685" t="s">
        <v>3477</v>
      </c>
      <c r="O1685">
        <v>18</v>
      </c>
      <c r="P1685" t="s">
        <v>3477</v>
      </c>
      <c r="Q1685">
        <v>18</v>
      </c>
      <c r="R1685" s="13">
        <v>24380</v>
      </c>
      <c r="S1685" s="13">
        <v>17066</v>
      </c>
    </row>
    <row r="1686" spans="1:19">
      <c r="A1686" s="9" t="s">
        <v>22</v>
      </c>
      <c r="B1686" s="9" t="s">
        <v>27</v>
      </c>
      <c r="C1686" s="9" t="s">
        <v>49</v>
      </c>
      <c r="D1686" t="s">
        <v>204</v>
      </c>
      <c r="F1686" s="12" t="s">
        <v>3186</v>
      </c>
      <c r="G1686" s="10" t="s">
        <v>1304</v>
      </c>
      <c r="H1686" s="10" t="s">
        <v>1304</v>
      </c>
      <c r="K1686" t="s">
        <v>19</v>
      </c>
      <c r="L1686" t="s">
        <v>20</v>
      </c>
      <c r="M1686" s="9">
        <v>8481802</v>
      </c>
      <c r="N1686" t="s">
        <v>3477</v>
      </c>
      <c r="O1686">
        <v>18</v>
      </c>
      <c r="P1686" t="s">
        <v>3477</v>
      </c>
      <c r="Q1686">
        <v>18</v>
      </c>
      <c r="R1686" s="13">
        <v>16250</v>
      </c>
      <c r="S1686" s="13">
        <v>11375</v>
      </c>
    </row>
    <row r="1687" spans="1:19">
      <c r="A1687" s="9" t="s">
        <v>22</v>
      </c>
      <c r="B1687" s="9" t="s">
        <v>27</v>
      </c>
      <c r="C1687" s="9" t="s">
        <v>49</v>
      </c>
      <c r="D1687" t="s">
        <v>204</v>
      </c>
      <c r="F1687" s="12" t="s">
        <v>3187</v>
      </c>
      <c r="G1687" s="10" t="s">
        <v>1304</v>
      </c>
      <c r="H1687" s="10" t="s">
        <v>1304</v>
      </c>
      <c r="K1687" t="s">
        <v>19</v>
      </c>
      <c r="L1687" t="s">
        <v>20</v>
      </c>
      <c r="M1687" s="9">
        <v>8481802</v>
      </c>
      <c r="N1687" t="s">
        <v>3477</v>
      </c>
      <c r="O1687">
        <v>18</v>
      </c>
      <c r="P1687" t="s">
        <v>3477</v>
      </c>
      <c r="Q1687">
        <v>18</v>
      </c>
      <c r="R1687" s="13">
        <v>22750</v>
      </c>
      <c r="S1687" s="13">
        <v>15924.999999999998</v>
      </c>
    </row>
    <row r="1688" spans="1:19">
      <c r="A1688" s="9" t="s">
        <v>22</v>
      </c>
      <c r="B1688" s="9" t="s">
        <v>27</v>
      </c>
      <c r="C1688" s="9" t="s">
        <v>49</v>
      </c>
      <c r="D1688" t="s">
        <v>204</v>
      </c>
      <c r="F1688" s="12" t="s">
        <v>3188</v>
      </c>
      <c r="G1688" s="10" t="s">
        <v>1304</v>
      </c>
      <c r="H1688" s="10" t="s">
        <v>1304</v>
      </c>
      <c r="K1688" t="s">
        <v>19</v>
      </c>
      <c r="L1688" t="s">
        <v>20</v>
      </c>
      <c r="M1688" s="9">
        <v>8481802</v>
      </c>
      <c r="N1688" t="s">
        <v>3477</v>
      </c>
      <c r="O1688">
        <v>18</v>
      </c>
      <c r="P1688" t="s">
        <v>3477</v>
      </c>
      <c r="Q1688">
        <v>18</v>
      </c>
      <c r="R1688" s="13">
        <v>16230</v>
      </c>
      <c r="S1688" s="13">
        <v>11361</v>
      </c>
    </row>
    <row r="1689" spans="1:19">
      <c r="A1689" s="9" t="s">
        <v>22</v>
      </c>
      <c r="B1689" s="9" t="s">
        <v>27</v>
      </c>
      <c r="C1689" s="9" t="s">
        <v>49</v>
      </c>
      <c r="D1689" t="s">
        <v>204</v>
      </c>
      <c r="F1689" s="12" t="s">
        <v>3189</v>
      </c>
      <c r="G1689" s="10" t="s">
        <v>1305</v>
      </c>
      <c r="H1689" s="10" t="s">
        <v>1305</v>
      </c>
      <c r="K1689" t="s">
        <v>19</v>
      </c>
      <c r="L1689" t="s">
        <v>20</v>
      </c>
      <c r="M1689" s="9">
        <v>8481802</v>
      </c>
      <c r="N1689" t="s">
        <v>3477</v>
      </c>
      <c r="O1689">
        <v>18</v>
      </c>
      <c r="P1689" t="s">
        <v>3477</v>
      </c>
      <c r="Q1689">
        <v>18</v>
      </c>
      <c r="R1689" s="13">
        <v>12130</v>
      </c>
      <c r="S1689" s="13">
        <v>8491</v>
      </c>
    </row>
    <row r="1690" spans="1:19">
      <c r="A1690" s="9" t="s">
        <v>22</v>
      </c>
      <c r="B1690" s="9" t="s">
        <v>27</v>
      </c>
      <c r="C1690" s="9" t="s">
        <v>48</v>
      </c>
      <c r="D1690" t="s">
        <v>204</v>
      </c>
      <c r="F1690" s="12" t="s">
        <v>3190</v>
      </c>
      <c r="G1690" s="10" t="s">
        <v>1305</v>
      </c>
      <c r="H1690" s="10" t="s">
        <v>1305</v>
      </c>
      <c r="K1690" t="s">
        <v>19</v>
      </c>
      <c r="L1690" t="s">
        <v>20</v>
      </c>
      <c r="M1690" s="9">
        <v>8481802</v>
      </c>
      <c r="N1690" t="s">
        <v>3477</v>
      </c>
      <c r="O1690">
        <v>18</v>
      </c>
      <c r="P1690" t="s">
        <v>3477</v>
      </c>
      <c r="Q1690">
        <v>18</v>
      </c>
      <c r="R1690" s="13">
        <v>18130</v>
      </c>
      <c r="S1690" s="13">
        <v>12691</v>
      </c>
    </row>
    <row r="1691" spans="1:19">
      <c r="A1691" s="9" t="s">
        <v>22</v>
      </c>
      <c r="B1691" s="9" t="s">
        <v>27</v>
      </c>
      <c r="C1691" s="9" t="s">
        <v>48</v>
      </c>
      <c r="D1691" t="s">
        <v>204</v>
      </c>
      <c r="F1691" s="12" t="s">
        <v>3191</v>
      </c>
      <c r="G1691" s="10" t="s">
        <v>1305</v>
      </c>
      <c r="H1691" s="10" t="s">
        <v>1305</v>
      </c>
      <c r="K1691" t="s">
        <v>19</v>
      </c>
      <c r="L1691" t="s">
        <v>20</v>
      </c>
      <c r="M1691" s="9">
        <v>8481802</v>
      </c>
      <c r="N1691" t="s">
        <v>3477</v>
      </c>
      <c r="O1691">
        <v>18</v>
      </c>
      <c r="P1691" t="s">
        <v>3477</v>
      </c>
      <c r="Q1691">
        <v>18</v>
      </c>
      <c r="R1691" s="13">
        <v>20300</v>
      </c>
      <c r="S1691" s="13">
        <v>14210</v>
      </c>
    </row>
    <row r="1692" spans="1:19">
      <c r="A1692" s="9" t="s">
        <v>22</v>
      </c>
      <c r="B1692" s="9" t="s">
        <v>27</v>
      </c>
      <c r="C1692" s="9" t="s">
        <v>48</v>
      </c>
      <c r="D1692" t="s">
        <v>204</v>
      </c>
      <c r="F1692" s="12" t="s">
        <v>3192</v>
      </c>
      <c r="G1692" s="10" t="s">
        <v>1305</v>
      </c>
      <c r="H1692" s="10" t="s">
        <v>1305</v>
      </c>
      <c r="K1692" t="s">
        <v>19</v>
      </c>
      <c r="L1692" t="s">
        <v>20</v>
      </c>
      <c r="M1692" s="9">
        <v>8481802</v>
      </c>
      <c r="N1692" t="s">
        <v>3477</v>
      </c>
      <c r="O1692">
        <v>18</v>
      </c>
      <c r="P1692" t="s">
        <v>3477</v>
      </c>
      <c r="Q1692">
        <v>18</v>
      </c>
      <c r="R1692" s="13">
        <v>18130</v>
      </c>
      <c r="S1692" s="13">
        <v>12691</v>
      </c>
    </row>
    <row r="1693" spans="1:19">
      <c r="A1693" s="9" t="s">
        <v>22</v>
      </c>
      <c r="B1693" s="9" t="s">
        <v>27</v>
      </c>
      <c r="C1693" s="9" t="s">
        <v>48</v>
      </c>
      <c r="D1693" t="s">
        <v>204</v>
      </c>
      <c r="F1693" s="12" t="s">
        <v>3193</v>
      </c>
      <c r="G1693" s="10" t="s">
        <v>1305</v>
      </c>
      <c r="H1693" s="10" t="s">
        <v>1305</v>
      </c>
      <c r="K1693" t="s">
        <v>19</v>
      </c>
      <c r="L1693" t="s">
        <v>20</v>
      </c>
      <c r="M1693" s="9">
        <v>8481802</v>
      </c>
      <c r="N1693" t="s">
        <v>3477</v>
      </c>
      <c r="O1693">
        <v>18</v>
      </c>
      <c r="P1693" t="s">
        <v>3477</v>
      </c>
      <c r="Q1693">
        <v>18</v>
      </c>
      <c r="R1693" s="13">
        <v>21750</v>
      </c>
      <c r="S1693" s="13">
        <v>15224.999999999998</v>
      </c>
    </row>
    <row r="1694" spans="1:19">
      <c r="A1694" s="9" t="s">
        <v>22</v>
      </c>
      <c r="B1694" s="9" t="s">
        <v>27</v>
      </c>
      <c r="C1694" s="9" t="s">
        <v>48</v>
      </c>
      <c r="D1694" t="s">
        <v>204</v>
      </c>
      <c r="F1694" s="12" t="s">
        <v>3194</v>
      </c>
      <c r="G1694" s="10" t="s">
        <v>1305</v>
      </c>
      <c r="H1694" s="10" t="s">
        <v>1305</v>
      </c>
      <c r="K1694" t="s">
        <v>19</v>
      </c>
      <c r="L1694" t="s">
        <v>20</v>
      </c>
      <c r="M1694" s="9">
        <v>8481802</v>
      </c>
      <c r="N1694" t="s">
        <v>3477</v>
      </c>
      <c r="O1694">
        <v>18</v>
      </c>
      <c r="P1694" t="s">
        <v>3477</v>
      </c>
      <c r="Q1694">
        <v>18</v>
      </c>
      <c r="R1694" s="13">
        <v>21750</v>
      </c>
      <c r="S1694" s="13">
        <v>15224.999999999998</v>
      </c>
    </row>
    <row r="1695" spans="1:19">
      <c r="A1695" s="9" t="s">
        <v>22</v>
      </c>
      <c r="B1695" s="9" t="s">
        <v>27</v>
      </c>
      <c r="C1695" s="9" t="s">
        <v>48</v>
      </c>
      <c r="D1695" t="s">
        <v>204</v>
      </c>
      <c r="F1695" s="12" t="s">
        <v>3195</v>
      </c>
      <c r="G1695" s="10" t="s">
        <v>1305</v>
      </c>
      <c r="H1695" s="10" t="s">
        <v>1305</v>
      </c>
      <c r="K1695" t="s">
        <v>19</v>
      </c>
      <c r="L1695" t="s">
        <v>20</v>
      </c>
      <c r="M1695" s="9">
        <v>8481802</v>
      </c>
      <c r="N1695" t="s">
        <v>3477</v>
      </c>
      <c r="O1695">
        <v>18</v>
      </c>
      <c r="P1695" t="s">
        <v>3477</v>
      </c>
      <c r="Q1695">
        <v>18</v>
      </c>
      <c r="R1695" s="13">
        <v>14500</v>
      </c>
      <c r="S1695" s="13">
        <v>10150</v>
      </c>
    </row>
    <row r="1696" spans="1:19">
      <c r="A1696" s="9" t="s">
        <v>22</v>
      </c>
      <c r="B1696" s="9" t="s">
        <v>27</v>
      </c>
      <c r="C1696" s="9" t="s">
        <v>48</v>
      </c>
      <c r="D1696" t="s">
        <v>204</v>
      </c>
      <c r="F1696" s="12" t="s">
        <v>3196</v>
      </c>
      <c r="G1696" s="10" t="s">
        <v>1306</v>
      </c>
      <c r="H1696" s="10" t="s">
        <v>1306</v>
      </c>
      <c r="K1696" t="s">
        <v>19</v>
      </c>
      <c r="L1696" t="s">
        <v>20</v>
      </c>
      <c r="M1696" s="9">
        <v>8481802</v>
      </c>
      <c r="N1696" t="s">
        <v>3477</v>
      </c>
      <c r="O1696">
        <v>18</v>
      </c>
      <c r="P1696" t="s">
        <v>3477</v>
      </c>
      <c r="Q1696">
        <v>18</v>
      </c>
      <c r="R1696" s="13">
        <v>20300</v>
      </c>
      <c r="S1696" s="13">
        <v>14210</v>
      </c>
    </row>
    <row r="1697" spans="1:19">
      <c r="A1697" s="9" t="s">
        <v>22</v>
      </c>
      <c r="B1697" s="9" t="s">
        <v>27</v>
      </c>
      <c r="C1697" s="9" t="s">
        <v>84</v>
      </c>
      <c r="D1697" t="s">
        <v>204</v>
      </c>
      <c r="F1697" s="12" t="s">
        <v>3197</v>
      </c>
      <c r="G1697" s="10" t="s">
        <v>1307</v>
      </c>
      <c r="H1697" s="10" t="s">
        <v>1307</v>
      </c>
      <c r="K1697" t="s">
        <v>19</v>
      </c>
      <c r="L1697" t="s">
        <v>20</v>
      </c>
      <c r="M1697" s="9">
        <v>8481802</v>
      </c>
      <c r="N1697" t="s">
        <v>3477</v>
      </c>
      <c r="O1697">
        <v>18</v>
      </c>
      <c r="P1697" t="s">
        <v>3477</v>
      </c>
      <c r="Q1697">
        <v>18</v>
      </c>
      <c r="R1697" s="13">
        <v>16860</v>
      </c>
      <c r="S1697" s="13">
        <v>11802</v>
      </c>
    </row>
    <row r="1698" spans="1:19">
      <c r="A1698" s="9" t="s">
        <v>22</v>
      </c>
      <c r="B1698" s="9" t="s">
        <v>27</v>
      </c>
      <c r="C1698" s="9" t="s">
        <v>118</v>
      </c>
      <c r="D1698" t="s">
        <v>204</v>
      </c>
      <c r="F1698" s="12" t="s">
        <v>3198</v>
      </c>
      <c r="G1698" s="10" t="s">
        <v>1308</v>
      </c>
      <c r="H1698" s="10" t="s">
        <v>1308</v>
      </c>
      <c r="K1698" t="s">
        <v>19</v>
      </c>
      <c r="L1698" t="s">
        <v>20</v>
      </c>
      <c r="M1698" s="9">
        <v>8481802</v>
      </c>
      <c r="N1698" t="s">
        <v>3477</v>
      </c>
      <c r="O1698">
        <v>18</v>
      </c>
      <c r="P1698" t="s">
        <v>3477</v>
      </c>
      <c r="Q1698">
        <v>18</v>
      </c>
      <c r="R1698" s="13">
        <v>7220</v>
      </c>
      <c r="S1698" s="13">
        <v>5054</v>
      </c>
    </row>
    <row r="1699" spans="1:19">
      <c r="A1699" s="9" t="s">
        <v>22</v>
      </c>
      <c r="B1699" s="9" t="s">
        <v>27</v>
      </c>
      <c r="C1699" s="9" t="s">
        <v>95</v>
      </c>
      <c r="D1699" t="s">
        <v>204</v>
      </c>
      <c r="F1699" s="12" t="s">
        <v>3199</v>
      </c>
      <c r="G1699" s="10" t="s">
        <v>1309</v>
      </c>
      <c r="H1699" s="10" t="s">
        <v>1309</v>
      </c>
      <c r="K1699" t="s">
        <v>19</v>
      </c>
      <c r="L1699" t="s">
        <v>20</v>
      </c>
      <c r="M1699" s="9">
        <v>8481909</v>
      </c>
      <c r="N1699" t="s">
        <v>3477</v>
      </c>
      <c r="O1699">
        <v>18</v>
      </c>
      <c r="P1699" t="s">
        <v>3477</v>
      </c>
      <c r="Q1699">
        <v>18</v>
      </c>
      <c r="R1699" s="13">
        <v>11400</v>
      </c>
      <c r="S1699" s="13">
        <v>7979.9999999999991</v>
      </c>
    </row>
    <row r="1700" spans="1:19">
      <c r="A1700" s="9" t="s">
        <v>22</v>
      </c>
      <c r="B1700" s="9" t="s">
        <v>27</v>
      </c>
      <c r="C1700" s="9" t="s">
        <v>95</v>
      </c>
      <c r="D1700" t="s">
        <v>204</v>
      </c>
      <c r="F1700" s="12" t="s">
        <v>3200</v>
      </c>
      <c r="G1700" s="10" t="s">
        <v>1310</v>
      </c>
      <c r="H1700" s="10" t="s">
        <v>1310</v>
      </c>
      <c r="K1700" t="s">
        <v>19</v>
      </c>
      <c r="L1700" t="s">
        <v>20</v>
      </c>
      <c r="M1700" s="9">
        <v>8481909</v>
      </c>
      <c r="N1700" t="s">
        <v>3477</v>
      </c>
      <c r="O1700">
        <v>18</v>
      </c>
      <c r="P1700" t="s">
        <v>3477</v>
      </c>
      <c r="Q1700">
        <v>18</v>
      </c>
      <c r="R1700" s="13">
        <v>11400</v>
      </c>
      <c r="S1700" s="13">
        <v>7979.9999999999991</v>
      </c>
    </row>
    <row r="1701" spans="1:19">
      <c r="A1701" s="9" t="s">
        <v>22</v>
      </c>
      <c r="B1701" s="9" t="s">
        <v>27</v>
      </c>
      <c r="C1701" s="9" t="s">
        <v>95</v>
      </c>
      <c r="D1701" t="s">
        <v>204</v>
      </c>
      <c r="F1701" s="12" t="s">
        <v>3201</v>
      </c>
      <c r="G1701" s="10" t="s">
        <v>1311</v>
      </c>
      <c r="H1701" s="10" t="s">
        <v>1311</v>
      </c>
      <c r="K1701" t="s">
        <v>19</v>
      </c>
      <c r="L1701" t="s">
        <v>20</v>
      </c>
      <c r="M1701" s="9">
        <v>8481909</v>
      </c>
      <c r="N1701" t="s">
        <v>3477</v>
      </c>
      <c r="O1701">
        <v>18</v>
      </c>
      <c r="P1701" t="s">
        <v>3477</v>
      </c>
      <c r="Q1701">
        <v>18</v>
      </c>
      <c r="R1701" s="13">
        <v>9090</v>
      </c>
      <c r="S1701" s="13">
        <v>6363</v>
      </c>
    </row>
    <row r="1702" spans="1:19">
      <c r="A1702" s="9" t="s">
        <v>22</v>
      </c>
      <c r="B1702" s="9" t="s">
        <v>27</v>
      </c>
      <c r="C1702" s="9" t="s">
        <v>95</v>
      </c>
      <c r="D1702" t="s">
        <v>204</v>
      </c>
      <c r="F1702" s="12" t="s">
        <v>3202</v>
      </c>
      <c r="G1702" s="10" t="s">
        <v>1311</v>
      </c>
      <c r="H1702" s="10" t="s">
        <v>1311</v>
      </c>
      <c r="K1702" t="s">
        <v>19</v>
      </c>
      <c r="L1702" t="s">
        <v>20</v>
      </c>
      <c r="M1702" s="9">
        <v>8481909</v>
      </c>
      <c r="N1702" t="s">
        <v>3477</v>
      </c>
      <c r="O1702">
        <v>18</v>
      </c>
      <c r="P1702" t="s">
        <v>3477</v>
      </c>
      <c r="Q1702">
        <v>18</v>
      </c>
      <c r="R1702" s="13">
        <v>12610</v>
      </c>
      <c r="S1702" s="13">
        <v>8827</v>
      </c>
    </row>
    <row r="1703" spans="1:19">
      <c r="A1703" s="9" t="s">
        <v>22</v>
      </c>
      <c r="B1703" s="9" t="s">
        <v>27</v>
      </c>
      <c r="C1703" s="9" t="s">
        <v>95</v>
      </c>
      <c r="D1703" t="s">
        <v>204</v>
      </c>
      <c r="F1703" s="12" t="s">
        <v>3203</v>
      </c>
      <c r="G1703" s="10" t="s">
        <v>1311</v>
      </c>
      <c r="H1703" s="10" t="s">
        <v>1311</v>
      </c>
      <c r="K1703" t="s">
        <v>19</v>
      </c>
      <c r="L1703" t="s">
        <v>20</v>
      </c>
      <c r="M1703" s="9">
        <v>8481909</v>
      </c>
      <c r="N1703" t="s">
        <v>3477</v>
      </c>
      <c r="O1703">
        <v>18</v>
      </c>
      <c r="P1703" t="s">
        <v>3477</v>
      </c>
      <c r="Q1703">
        <v>18</v>
      </c>
      <c r="R1703" s="13">
        <v>16140</v>
      </c>
      <c r="S1703" s="13">
        <v>11298</v>
      </c>
    </row>
    <row r="1704" spans="1:19">
      <c r="A1704" s="9" t="s">
        <v>22</v>
      </c>
      <c r="B1704" s="9" t="s">
        <v>27</v>
      </c>
      <c r="C1704" s="9" t="s">
        <v>95</v>
      </c>
      <c r="D1704" t="s">
        <v>204</v>
      </c>
      <c r="F1704" s="12" t="s">
        <v>3204</v>
      </c>
      <c r="G1704" s="10" t="s">
        <v>1311</v>
      </c>
      <c r="H1704" s="10" t="s">
        <v>1311</v>
      </c>
      <c r="K1704" t="s">
        <v>19</v>
      </c>
      <c r="L1704" t="s">
        <v>20</v>
      </c>
      <c r="M1704" s="9">
        <v>8481909</v>
      </c>
      <c r="N1704" t="s">
        <v>3477</v>
      </c>
      <c r="O1704">
        <v>18</v>
      </c>
      <c r="P1704" t="s">
        <v>3477</v>
      </c>
      <c r="Q1704">
        <v>18</v>
      </c>
      <c r="R1704" s="13">
        <v>16140</v>
      </c>
      <c r="S1704" s="13">
        <v>11298</v>
      </c>
    </row>
    <row r="1705" spans="1:19">
      <c r="A1705" s="9" t="s">
        <v>22</v>
      </c>
      <c r="B1705" s="9" t="s">
        <v>27</v>
      </c>
      <c r="C1705" s="9" t="s">
        <v>95</v>
      </c>
      <c r="D1705" t="s">
        <v>204</v>
      </c>
      <c r="F1705" s="12" t="s">
        <v>3205</v>
      </c>
      <c r="G1705" s="10" t="s">
        <v>1312</v>
      </c>
      <c r="H1705" s="10" t="s">
        <v>1312</v>
      </c>
      <c r="K1705" t="s">
        <v>19</v>
      </c>
      <c r="L1705" t="s">
        <v>20</v>
      </c>
      <c r="M1705" s="9">
        <v>8481909</v>
      </c>
      <c r="N1705" t="s">
        <v>3477</v>
      </c>
      <c r="O1705">
        <v>18</v>
      </c>
      <c r="P1705" t="s">
        <v>3477</v>
      </c>
      <c r="Q1705">
        <v>18</v>
      </c>
      <c r="R1705" s="13">
        <v>14730</v>
      </c>
      <c r="S1705" s="13">
        <v>10311</v>
      </c>
    </row>
    <row r="1706" spans="1:19">
      <c r="A1706" s="9" t="s">
        <v>22</v>
      </c>
      <c r="B1706" s="9" t="s">
        <v>27</v>
      </c>
      <c r="C1706" s="9" t="s">
        <v>95</v>
      </c>
      <c r="D1706" t="s">
        <v>204</v>
      </c>
      <c r="F1706" s="12" t="s">
        <v>3206</v>
      </c>
      <c r="G1706" s="10" t="s">
        <v>1312</v>
      </c>
      <c r="H1706" s="10" t="s">
        <v>1312</v>
      </c>
      <c r="K1706" t="s">
        <v>19</v>
      </c>
      <c r="L1706" t="s">
        <v>20</v>
      </c>
      <c r="M1706" s="9">
        <v>8481909</v>
      </c>
      <c r="N1706" t="s">
        <v>3477</v>
      </c>
      <c r="O1706">
        <v>18</v>
      </c>
      <c r="P1706" t="s">
        <v>3477</v>
      </c>
      <c r="Q1706">
        <v>18</v>
      </c>
      <c r="R1706" s="13">
        <v>5390</v>
      </c>
      <c r="S1706" s="13">
        <v>3772.9999999999995</v>
      </c>
    </row>
    <row r="1707" spans="1:19">
      <c r="A1707" s="9" t="s">
        <v>22</v>
      </c>
      <c r="B1707" s="9" t="s">
        <v>27</v>
      </c>
      <c r="C1707" s="9" t="s">
        <v>95</v>
      </c>
      <c r="D1707" t="s">
        <v>204</v>
      </c>
      <c r="F1707" s="12" t="s">
        <v>3207</v>
      </c>
      <c r="G1707" s="10" t="s">
        <v>1313</v>
      </c>
      <c r="H1707" s="10" t="s">
        <v>1313</v>
      </c>
      <c r="K1707" t="s">
        <v>19</v>
      </c>
      <c r="L1707" t="s">
        <v>20</v>
      </c>
      <c r="M1707" s="9">
        <v>8481909</v>
      </c>
      <c r="N1707" t="s">
        <v>3477</v>
      </c>
      <c r="O1707">
        <v>18</v>
      </c>
      <c r="P1707" t="s">
        <v>3477</v>
      </c>
      <c r="Q1707">
        <v>18</v>
      </c>
      <c r="R1707" s="13">
        <v>7880</v>
      </c>
      <c r="S1707" s="13">
        <v>5516</v>
      </c>
    </row>
    <row r="1708" spans="1:19">
      <c r="A1708" s="9" t="s">
        <v>22</v>
      </c>
      <c r="B1708" s="9" t="s">
        <v>27</v>
      </c>
      <c r="C1708" s="9" t="s">
        <v>49</v>
      </c>
      <c r="D1708" t="s">
        <v>204</v>
      </c>
      <c r="F1708" s="12" t="s">
        <v>3208</v>
      </c>
      <c r="G1708" s="10" t="s">
        <v>1313</v>
      </c>
      <c r="H1708" s="10" t="s">
        <v>1313</v>
      </c>
      <c r="K1708" t="s">
        <v>19</v>
      </c>
      <c r="L1708" t="s">
        <v>20</v>
      </c>
      <c r="M1708" s="9">
        <v>8481802</v>
      </c>
      <c r="N1708" t="s">
        <v>3477</v>
      </c>
      <c r="O1708">
        <v>18</v>
      </c>
      <c r="P1708" t="s">
        <v>3477</v>
      </c>
      <c r="Q1708">
        <v>18</v>
      </c>
      <c r="R1708" s="13">
        <v>22660</v>
      </c>
      <c r="S1708" s="13">
        <v>15861.999999999998</v>
      </c>
    </row>
    <row r="1709" spans="1:19">
      <c r="A1709" s="9" t="s">
        <v>22</v>
      </c>
      <c r="B1709" s="9" t="s">
        <v>27</v>
      </c>
      <c r="C1709" s="9" t="s">
        <v>49</v>
      </c>
      <c r="D1709" t="s">
        <v>204</v>
      </c>
      <c r="F1709" s="12" t="s">
        <v>3209</v>
      </c>
      <c r="G1709" s="10" t="s">
        <v>1313</v>
      </c>
      <c r="H1709" s="10" t="s">
        <v>1313</v>
      </c>
      <c r="K1709" t="s">
        <v>19</v>
      </c>
      <c r="L1709" t="s">
        <v>20</v>
      </c>
      <c r="M1709" s="9">
        <v>8481802</v>
      </c>
      <c r="N1709" t="s">
        <v>3477</v>
      </c>
      <c r="O1709">
        <v>18</v>
      </c>
      <c r="P1709" t="s">
        <v>3477</v>
      </c>
      <c r="Q1709">
        <v>18</v>
      </c>
      <c r="R1709" s="13">
        <v>25380</v>
      </c>
      <c r="S1709" s="13">
        <v>17766</v>
      </c>
    </row>
    <row r="1710" spans="1:19">
      <c r="A1710" s="9" t="s">
        <v>22</v>
      </c>
      <c r="B1710" s="9" t="s">
        <v>27</v>
      </c>
      <c r="C1710" s="9" t="s">
        <v>49</v>
      </c>
      <c r="D1710" t="s">
        <v>204</v>
      </c>
      <c r="F1710" s="12" t="s">
        <v>3210</v>
      </c>
      <c r="G1710" s="10" t="s">
        <v>1313</v>
      </c>
      <c r="H1710" s="10" t="s">
        <v>1313</v>
      </c>
      <c r="K1710" t="s">
        <v>19</v>
      </c>
      <c r="L1710" t="s">
        <v>20</v>
      </c>
      <c r="M1710" s="9">
        <v>8481802</v>
      </c>
      <c r="N1710" t="s">
        <v>3477</v>
      </c>
      <c r="O1710">
        <v>18</v>
      </c>
      <c r="P1710" t="s">
        <v>3477</v>
      </c>
      <c r="Q1710">
        <v>18</v>
      </c>
      <c r="R1710" s="13">
        <v>22660</v>
      </c>
      <c r="S1710" s="13">
        <v>15861.999999999998</v>
      </c>
    </row>
    <row r="1711" spans="1:19">
      <c r="A1711" s="9" t="s">
        <v>22</v>
      </c>
      <c r="B1711" s="9" t="s">
        <v>27</v>
      </c>
      <c r="C1711" s="9" t="s">
        <v>49</v>
      </c>
      <c r="D1711" t="s">
        <v>204</v>
      </c>
      <c r="F1711" s="12" t="s">
        <v>3211</v>
      </c>
      <c r="G1711" s="10" t="s">
        <v>1313</v>
      </c>
      <c r="H1711" s="10" t="s">
        <v>1313</v>
      </c>
      <c r="K1711" t="s">
        <v>19</v>
      </c>
      <c r="L1711" t="s">
        <v>20</v>
      </c>
      <c r="M1711" s="9">
        <v>8481802</v>
      </c>
      <c r="N1711" t="s">
        <v>3477</v>
      </c>
      <c r="O1711">
        <v>18</v>
      </c>
      <c r="P1711" t="s">
        <v>3477</v>
      </c>
      <c r="Q1711">
        <v>18</v>
      </c>
      <c r="R1711" s="13">
        <v>27200</v>
      </c>
      <c r="S1711" s="13">
        <v>19040</v>
      </c>
    </row>
    <row r="1712" spans="1:19">
      <c r="A1712" s="9" t="s">
        <v>22</v>
      </c>
      <c r="B1712" s="9" t="s">
        <v>27</v>
      </c>
      <c r="C1712" s="9" t="s">
        <v>49</v>
      </c>
      <c r="D1712" t="s">
        <v>204</v>
      </c>
      <c r="F1712" s="12" t="s">
        <v>3212</v>
      </c>
      <c r="G1712" s="10" t="s">
        <v>1313</v>
      </c>
      <c r="H1712" s="10" t="s">
        <v>1313</v>
      </c>
      <c r="K1712" t="s">
        <v>19</v>
      </c>
      <c r="L1712" t="s">
        <v>20</v>
      </c>
      <c r="M1712" s="9">
        <v>8481802</v>
      </c>
      <c r="N1712" t="s">
        <v>3477</v>
      </c>
      <c r="O1712">
        <v>18</v>
      </c>
      <c r="P1712" t="s">
        <v>3477</v>
      </c>
      <c r="Q1712">
        <v>18</v>
      </c>
      <c r="R1712" s="13">
        <v>27200</v>
      </c>
      <c r="S1712" s="13">
        <v>19040</v>
      </c>
    </row>
    <row r="1713" spans="1:19">
      <c r="A1713" s="9" t="s">
        <v>22</v>
      </c>
      <c r="B1713" s="9" t="s">
        <v>27</v>
      </c>
      <c r="C1713" s="9" t="s">
        <v>49</v>
      </c>
      <c r="D1713" t="s">
        <v>204</v>
      </c>
      <c r="F1713" s="12" t="s">
        <v>3213</v>
      </c>
      <c r="G1713" s="10" t="s">
        <v>1313</v>
      </c>
      <c r="H1713" s="10" t="s">
        <v>1313</v>
      </c>
      <c r="K1713" t="s">
        <v>19</v>
      </c>
      <c r="L1713" t="s">
        <v>20</v>
      </c>
      <c r="M1713" s="9">
        <v>8481802</v>
      </c>
      <c r="N1713" t="s">
        <v>3477</v>
      </c>
      <c r="O1713">
        <v>18</v>
      </c>
      <c r="P1713" t="s">
        <v>3477</v>
      </c>
      <c r="Q1713">
        <v>18</v>
      </c>
      <c r="R1713" s="13">
        <v>18130</v>
      </c>
      <c r="S1713" s="13">
        <v>12691</v>
      </c>
    </row>
    <row r="1714" spans="1:19">
      <c r="A1714" s="9" t="s">
        <v>22</v>
      </c>
      <c r="B1714" s="9" t="s">
        <v>27</v>
      </c>
      <c r="C1714" s="9" t="s">
        <v>49</v>
      </c>
      <c r="D1714" t="s">
        <v>204</v>
      </c>
      <c r="F1714" s="12" t="s">
        <v>3214</v>
      </c>
      <c r="G1714" s="10" t="s">
        <v>1314</v>
      </c>
      <c r="H1714" s="10" t="s">
        <v>1314</v>
      </c>
      <c r="K1714" t="s">
        <v>19</v>
      </c>
      <c r="L1714" t="s">
        <v>20</v>
      </c>
      <c r="M1714" s="9">
        <v>8481802</v>
      </c>
      <c r="N1714" t="s">
        <v>3477</v>
      </c>
      <c r="O1714">
        <v>18</v>
      </c>
      <c r="P1714" t="s">
        <v>3477</v>
      </c>
      <c r="Q1714">
        <v>18</v>
      </c>
      <c r="R1714" s="13">
        <v>25380</v>
      </c>
      <c r="S1714" s="13">
        <v>17766</v>
      </c>
    </row>
    <row r="1715" spans="1:19">
      <c r="A1715" s="9" t="s">
        <v>22</v>
      </c>
      <c r="B1715" s="9" t="s">
        <v>27</v>
      </c>
      <c r="C1715" s="9" t="s">
        <v>48</v>
      </c>
      <c r="D1715" t="s">
        <v>204</v>
      </c>
      <c r="F1715" s="12" t="s">
        <v>3215</v>
      </c>
      <c r="G1715" s="10" t="s">
        <v>1315</v>
      </c>
      <c r="H1715" s="10" t="s">
        <v>1315</v>
      </c>
      <c r="K1715" t="s">
        <v>19</v>
      </c>
      <c r="L1715" t="s">
        <v>20</v>
      </c>
      <c r="M1715" s="9">
        <v>8481802</v>
      </c>
      <c r="N1715" t="s">
        <v>3477</v>
      </c>
      <c r="O1715">
        <v>18</v>
      </c>
      <c r="P1715" t="s">
        <v>3477</v>
      </c>
      <c r="Q1715">
        <v>18</v>
      </c>
      <c r="R1715" s="13">
        <v>12040</v>
      </c>
      <c r="S1715" s="13">
        <v>8428</v>
      </c>
    </row>
    <row r="1716" spans="1:19">
      <c r="A1716" s="9" t="s">
        <v>22</v>
      </c>
      <c r="B1716" s="9" t="s">
        <v>27</v>
      </c>
      <c r="C1716" s="9" t="s">
        <v>65</v>
      </c>
      <c r="D1716" t="s">
        <v>204</v>
      </c>
      <c r="F1716" s="12" t="s">
        <v>3216</v>
      </c>
      <c r="G1716" s="10" t="s">
        <v>1316</v>
      </c>
      <c r="H1716" s="10" t="s">
        <v>1316</v>
      </c>
      <c r="K1716" t="s">
        <v>19</v>
      </c>
      <c r="L1716" t="s">
        <v>20</v>
      </c>
      <c r="M1716" s="9">
        <v>39229</v>
      </c>
      <c r="N1716" t="s">
        <v>3477</v>
      </c>
      <c r="O1716">
        <v>18</v>
      </c>
      <c r="P1716" t="s">
        <v>3477</v>
      </c>
      <c r="Q1716">
        <v>18</v>
      </c>
      <c r="R1716" s="13">
        <v>4800</v>
      </c>
      <c r="S1716" s="13">
        <v>3360</v>
      </c>
    </row>
    <row r="1717" spans="1:19">
      <c r="A1717" s="9" t="s">
        <v>22</v>
      </c>
      <c r="B1717" s="9" t="s">
        <v>27</v>
      </c>
      <c r="C1717" s="9" t="s">
        <v>64</v>
      </c>
      <c r="D1717" t="s">
        <v>204</v>
      </c>
      <c r="F1717" s="12" t="s">
        <v>3217</v>
      </c>
      <c r="G1717" s="10" t="s">
        <v>1317</v>
      </c>
      <c r="H1717" s="10" t="s">
        <v>1317</v>
      </c>
      <c r="K1717" t="s">
        <v>19</v>
      </c>
      <c r="L1717" t="s">
        <v>20</v>
      </c>
      <c r="M1717" s="9">
        <v>39229</v>
      </c>
      <c r="N1717" t="s">
        <v>3477</v>
      </c>
      <c r="O1717">
        <v>18</v>
      </c>
      <c r="P1717" t="s">
        <v>3477</v>
      </c>
      <c r="Q1717">
        <v>18</v>
      </c>
      <c r="R1717" s="13">
        <v>6600</v>
      </c>
      <c r="S1717" s="13">
        <v>4620</v>
      </c>
    </row>
    <row r="1718" spans="1:19">
      <c r="A1718" s="9" t="s">
        <v>22</v>
      </c>
      <c r="B1718" s="9" t="s">
        <v>27</v>
      </c>
      <c r="C1718" s="9" t="s">
        <v>65</v>
      </c>
      <c r="D1718" t="s">
        <v>204</v>
      </c>
      <c r="F1718" s="12" t="s">
        <v>3218</v>
      </c>
      <c r="G1718" s="10" t="s">
        <v>1318</v>
      </c>
      <c r="H1718" s="10" t="s">
        <v>1318</v>
      </c>
      <c r="K1718" t="s">
        <v>19</v>
      </c>
      <c r="L1718" t="s">
        <v>20</v>
      </c>
      <c r="M1718" s="9">
        <v>39229</v>
      </c>
      <c r="N1718" t="s">
        <v>3477</v>
      </c>
      <c r="O1718">
        <v>18</v>
      </c>
      <c r="P1718" t="s">
        <v>3477</v>
      </c>
      <c r="Q1718">
        <v>18</v>
      </c>
      <c r="R1718" s="13">
        <v>6240</v>
      </c>
      <c r="S1718" s="13">
        <v>4368</v>
      </c>
    </row>
    <row r="1719" spans="1:19">
      <c r="A1719" s="9" t="s">
        <v>22</v>
      </c>
      <c r="B1719" s="9" t="s">
        <v>27</v>
      </c>
      <c r="C1719" s="9" t="s">
        <v>64</v>
      </c>
      <c r="D1719" t="s">
        <v>204</v>
      </c>
      <c r="F1719" s="12" t="s">
        <v>3219</v>
      </c>
      <c r="G1719" s="10" t="s">
        <v>1319</v>
      </c>
      <c r="H1719" s="10" t="s">
        <v>1319</v>
      </c>
      <c r="K1719" t="s">
        <v>19</v>
      </c>
      <c r="L1719" t="s">
        <v>20</v>
      </c>
      <c r="M1719" s="9">
        <v>39229</v>
      </c>
      <c r="N1719" t="s">
        <v>3477</v>
      </c>
      <c r="O1719">
        <v>18</v>
      </c>
      <c r="P1719" t="s">
        <v>3477</v>
      </c>
      <c r="Q1719">
        <v>18</v>
      </c>
      <c r="R1719" s="13">
        <v>6000</v>
      </c>
      <c r="S1719" s="13">
        <v>4200</v>
      </c>
    </row>
    <row r="1720" spans="1:19">
      <c r="A1720" s="9" t="s">
        <v>22</v>
      </c>
      <c r="B1720" s="9" t="s">
        <v>27</v>
      </c>
      <c r="C1720" s="9" t="s">
        <v>64</v>
      </c>
      <c r="D1720" t="s">
        <v>204</v>
      </c>
      <c r="F1720" s="12" t="s">
        <v>3220</v>
      </c>
      <c r="G1720" s="10" t="s">
        <v>1320</v>
      </c>
      <c r="H1720" s="10" t="s">
        <v>1320</v>
      </c>
      <c r="K1720" t="s">
        <v>19</v>
      </c>
      <c r="L1720" t="s">
        <v>20</v>
      </c>
      <c r="M1720" s="9">
        <v>39229</v>
      </c>
      <c r="N1720" t="s">
        <v>3477</v>
      </c>
      <c r="O1720">
        <v>18</v>
      </c>
      <c r="P1720" t="s">
        <v>3477</v>
      </c>
      <c r="Q1720">
        <v>18</v>
      </c>
      <c r="R1720" s="13">
        <v>8300</v>
      </c>
      <c r="S1720" s="13">
        <v>5810</v>
      </c>
    </row>
    <row r="1721" spans="1:19">
      <c r="A1721" s="9" t="s">
        <v>22</v>
      </c>
      <c r="B1721" s="9" t="s">
        <v>27</v>
      </c>
      <c r="C1721" s="9" t="s">
        <v>64</v>
      </c>
      <c r="D1721" t="s">
        <v>204</v>
      </c>
      <c r="F1721" s="12" t="s">
        <v>3221</v>
      </c>
      <c r="G1721" s="10" t="s">
        <v>1321</v>
      </c>
      <c r="H1721" s="10" t="s">
        <v>1321</v>
      </c>
      <c r="K1721" t="s">
        <v>19</v>
      </c>
      <c r="L1721" t="s">
        <v>20</v>
      </c>
      <c r="M1721" s="9">
        <v>39229</v>
      </c>
      <c r="N1721" t="s">
        <v>3477</v>
      </c>
      <c r="O1721">
        <v>18</v>
      </c>
      <c r="P1721" t="s">
        <v>3477</v>
      </c>
      <c r="Q1721">
        <v>18</v>
      </c>
      <c r="R1721" s="13">
        <v>6360</v>
      </c>
      <c r="S1721" s="13">
        <v>4452</v>
      </c>
    </row>
    <row r="1722" spans="1:19">
      <c r="A1722" s="9" t="s">
        <v>22</v>
      </c>
      <c r="B1722" s="9" t="s">
        <v>27</v>
      </c>
      <c r="C1722" s="9" t="s">
        <v>64</v>
      </c>
      <c r="D1722" t="s">
        <v>204</v>
      </c>
      <c r="F1722" s="12" t="s">
        <v>3222</v>
      </c>
      <c r="G1722" s="10" t="s">
        <v>1322</v>
      </c>
      <c r="H1722" s="10" t="s">
        <v>1322</v>
      </c>
      <c r="K1722" t="s">
        <v>19</v>
      </c>
      <c r="L1722" t="s">
        <v>20</v>
      </c>
      <c r="M1722" s="9">
        <v>39229</v>
      </c>
      <c r="N1722" t="s">
        <v>3477</v>
      </c>
      <c r="O1722">
        <v>18</v>
      </c>
      <c r="P1722" t="s">
        <v>3477</v>
      </c>
      <c r="Q1722">
        <v>18</v>
      </c>
      <c r="R1722" s="13">
        <v>1300</v>
      </c>
      <c r="S1722" s="13">
        <v>909.99999999999989</v>
      </c>
    </row>
    <row r="1723" spans="1:19">
      <c r="A1723" s="9" t="s">
        <v>23</v>
      </c>
      <c r="B1723" s="9" t="s">
        <v>27</v>
      </c>
      <c r="C1723" s="9" t="s">
        <v>194</v>
      </c>
      <c r="D1723" t="s">
        <v>204</v>
      </c>
      <c r="F1723" s="12" t="s">
        <v>3223</v>
      </c>
      <c r="G1723" s="10" t="s">
        <v>1323</v>
      </c>
      <c r="H1723" s="10" t="s">
        <v>1323</v>
      </c>
      <c r="K1723" t="s">
        <v>19</v>
      </c>
      <c r="L1723" t="s">
        <v>20</v>
      </c>
      <c r="M1723" s="9">
        <v>8481802</v>
      </c>
      <c r="N1723" t="s">
        <v>3477</v>
      </c>
      <c r="O1723">
        <v>18</v>
      </c>
      <c r="P1723" t="s">
        <v>3477</v>
      </c>
      <c r="Q1723">
        <v>18</v>
      </c>
      <c r="R1723" s="13">
        <v>28000</v>
      </c>
      <c r="S1723" s="13">
        <v>16800</v>
      </c>
    </row>
    <row r="1724" spans="1:19">
      <c r="A1724" s="9" t="s">
        <v>23</v>
      </c>
      <c r="B1724" s="9" t="s">
        <v>27</v>
      </c>
      <c r="C1724" s="9" t="s">
        <v>134</v>
      </c>
      <c r="D1724" t="s">
        <v>204</v>
      </c>
      <c r="F1724" s="12" t="s">
        <v>3224</v>
      </c>
      <c r="G1724" s="10" t="s">
        <v>1324</v>
      </c>
      <c r="H1724" s="10" t="s">
        <v>1324</v>
      </c>
      <c r="K1724" t="s">
        <v>19</v>
      </c>
      <c r="L1724" t="s">
        <v>20</v>
      </c>
      <c r="M1724" s="9">
        <v>8481802</v>
      </c>
      <c r="N1724" t="s">
        <v>3477</v>
      </c>
      <c r="O1724">
        <v>18</v>
      </c>
      <c r="P1724" t="s">
        <v>3477</v>
      </c>
      <c r="Q1724">
        <v>18</v>
      </c>
      <c r="R1724" s="13">
        <v>30860</v>
      </c>
      <c r="S1724" s="13">
        <v>18516</v>
      </c>
    </row>
    <row r="1725" spans="1:19">
      <c r="A1725" s="9" t="s">
        <v>23</v>
      </c>
      <c r="B1725" s="9" t="s">
        <v>27</v>
      </c>
      <c r="C1725" s="9" t="s">
        <v>95</v>
      </c>
      <c r="D1725" t="s">
        <v>204</v>
      </c>
      <c r="F1725" s="12" t="s">
        <v>3225</v>
      </c>
      <c r="G1725" s="10" t="s">
        <v>1325</v>
      </c>
      <c r="H1725" s="10" t="s">
        <v>1325</v>
      </c>
      <c r="K1725" t="s">
        <v>19</v>
      </c>
      <c r="L1725" t="s">
        <v>20</v>
      </c>
      <c r="M1725" s="9">
        <v>8481802</v>
      </c>
      <c r="N1725" t="s">
        <v>3477</v>
      </c>
      <c r="O1725">
        <v>18</v>
      </c>
      <c r="P1725" t="s">
        <v>3477</v>
      </c>
      <c r="Q1725">
        <v>18</v>
      </c>
      <c r="R1725" s="13">
        <v>86000</v>
      </c>
      <c r="S1725" s="13">
        <v>51600</v>
      </c>
    </row>
    <row r="1726" spans="1:19">
      <c r="A1726" s="9" t="s">
        <v>23</v>
      </c>
      <c r="B1726" s="9" t="s">
        <v>27</v>
      </c>
      <c r="C1726" s="9" t="s">
        <v>95</v>
      </c>
      <c r="D1726" t="s">
        <v>204</v>
      </c>
      <c r="F1726" s="12" t="s">
        <v>3226</v>
      </c>
      <c r="G1726" s="10" t="s">
        <v>1326</v>
      </c>
      <c r="H1726" s="10" t="s">
        <v>1326</v>
      </c>
      <c r="K1726" t="s">
        <v>19</v>
      </c>
      <c r="L1726" t="s">
        <v>20</v>
      </c>
      <c r="M1726" s="9">
        <v>8481802</v>
      </c>
      <c r="N1726" t="s">
        <v>3477</v>
      </c>
      <c r="O1726">
        <v>18</v>
      </c>
      <c r="P1726" t="s">
        <v>3477</v>
      </c>
      <c r="Q1726">
        <v>18</v>
      </c>
      <c r="R1726" s="13">
        <v>61500</v>
      </c>
      <c r="S1726" s="13">
        <v>36900</v>
      </c>
    </row>
    <row r="1727" spans="1:19">
      <c r="A1727" s="9" t="s">
        <v>23</v>
      </c>
      <c r="B1727" s="9" t="s">
        <v>27</v>
      </c>
      <c r="C1727" s="9" t="s">
        <v>160</v>
      </c>
      <c r="D1727" t="s">
        <v>204</v>
      </c>
      <c r="F1727" s="12" t="s">
        <v>3227</v>
      </c>
      <c r="G1727" s="10" t="s">
        <v>1326</v>
      </c>
      <c r="H1727" s="10" t="s">
        <v>1326</v>
      </c>
      <c r="K1727" t="s">
        <v>19</v>
      </c>
      <c r="L1727" t="s">
        <v>20</v>
      </c>
      <c r="M1727" s="9">
        <v>7418201</v>
      </c>
      <c r="N1727" t="s">
        <v>3477</v>
      </c>
      <c r="O1727">
        <v>18</v>
      </c>
      <c r="P1727" t="s">
        <v>3477</v>
      </c>
      <c r="Q1727">
        <v>18</v>
      </c>
      <c r="R1727" s="13">
        <v>344000</v>
      </c>
      <c r="S1727" s="13">
        <v>192640.00000000003</v>
      </c>
    </row>
    <row r="1728" spans="1:19">
      <c r="A1728" s="9" t="s">
        <v>23</v>
      </c>
      <c r="B1728" s="9" t="s">
        <v>27</v>
      </c>
      <c r="C1728" s="9" t="s">
        <v>160</v>
      </c>
      <c r="D1728" t="s">
        <v>204</v>
      </c>
      <c r="F1728" s="12" t="s">
        <v>3228</v>
      </c>
      <c r="G1728" s="10" t="s">
        <v>1326</v>
      </c>
      <c r="H1728" s="10" t="s">
        <v>1326</v>
      </c>
      <c r="K1728" t="s">
        <v>19</v>
      </c>
      <c r="L1728" t="s">
        <v>20</v>
      </c>
      <c r="M1728" s="9">
        <v>73249</v>
      </c>
      <c r="N1728" t="s">
        <v>3477</v>
      </c>
      <c r="O1728">
        <v>18</v>
      </c>
      <c r="P1728" t="s">
        <v>3477</v>
      </c>
      <c r="Q1728">
        <v>18</v>
      </c>
      <c r="R1728" s="13">
        <v>385000</v>
      </c>
      <c r="S1728" s="13">
        <v>231000</v>
      </c>
    </row>
    <row r="1729" spans="1:19">
      <c r="A1729" s="9" t="s">
        <v>23</v>
      </c>
      <c r="B1729" s="9" t="s">
        <v>27</v>
      </c>
      <c r="C1729" s="9" t="s">
        <v>160</v>
      </c>
      <c r="D1729" t="s">
        <v>204</v>
      </c>
      <c r="F1729" s="12" t="s">
        <v>3229</v>
      </c>
      <c r="G1729" s="10" t="s">
        <v>1327</v>
      </c>
      <c r="H1729" s="10" t="s">
        <v>1327</v>
      </c>
      <c r="K1729" t="s">
        <v>19</v>
      </c>
      <c r="L1729" t="s">
        <v>20</v>
      </c>
      <c r="M1729" s="9">
        <v>73249</v>
      </c>
      <c r="N1729" t="s">
        <v>3477</v>
      </c>
      <c r="O1729">
        <v>18</v>
      </c>
      <c r="P1729" t="s">
        <v>3477</v>
      </c>
      <c r="Q1729">
        <v>18</v>
      </c>
      <c r="R1729" s="13">
        <v>275000</v>
      </c>
      <c r="S1729" s="13">
        <v>165000</v>
      </c>
    </row>
    <row r="1730" spans="1:19">
      <c r="A1730" s="9" t="s">
        <v>22</v>
      </c>
      <c r="B1730" s="9" t="s">
        <v>26</v>
      </c>
      <c r="C1730" s="9" t="s">
        <v>76</v>
      </c>
      <c r="D1730" t="s">
        <v>204</v>
      </c>
      <c r="F1730" s="12" t="s">
        <v>3230</v>
      </c>
      <c r="G1730" s="10" t="s">
        <v>1328</v>
      </c>
      <c r="H1730" s="10" t="s">
        <v>1328</v>
      </c>
      <c r="K1730" t="s">
        <v>19</v>
      </c>
      <c r="L1730" t="s">
        <v>20</v>
      </c>
      <c r="M1730" s="9">
        <v>39222</v>
      </c>
      <c r="N1730" t="s">
        <v>3477</v>
      </c>
      <c r="O1730">
        <v>18</v>
      </c>
      <c r="P1730" t="s">
        <v>3477</v>
      </c>
      <c r="Q1730">
        <v>18</v>
      </c>
      <c r="R1730" s="13">
        <v>5830</v>
      </c>
      <c r="S1730" s="13">
        <v>4080.9999999999995</v>
      </c>
    </row>
    <row r="1731" spans="1:19">
      <c r="A1731" s="9" t="s">
        <v>22</v>
      </c>
      <c r="B1731" s="9" t="s">
        <v>27</v>
      </c>
      <c r="C1731" s="9" t="s">
        <v>83</v>
      </c>
      <c r="D1731" t="s">
        <v>204</v>
      </c>
      <c r="F1731" s="12" t="s">
        <v>3231</v>
      </c>
      <c r="G1731" s="10" t="s">
        <v>1329</v>
      </c>
      <c r="H1731" s="10" t="s">
        <v>1329</v>
      </c>
      <c r="K1731" t="s">
        <v>19</v>
      </c>
      <c r="L1731" t="s">
        <v>20</v>
      </c>
      <c r="M1731" s="9">
        <v>8481802</v>
      </c>
      <c r="N1731" t="s">
        <v>3477</v>
      </c>
      <c r="O1731">
        <v>18</v>
      </c>
      <c r="P1731" t="s">
        <v>3477</v>
      </c>
      <c r="Q1731">
        <v>18</v>
      </c>
      <c r="R1731" s="13">
        <v>27000</v>
      </c>
      <c r="S1731" s="13">
        <v>18900</v>
      </c>
    </row>
    <row r="1732" spans="1:19">
      <c r="A1732" s="9" t="s">
        <v>22</v>
      </c>
      <c r="B1732" s="9" t="s">
        <v>27</v>
      </c>
      <c r="C1732" s="9" t="s">
        <v>83</v>
      </c>
      <c r="D1732" t="s">
        <v>204</v>
      </c>
      <c r="F1732" s="12" t="s">
        <v>3232</v>
      </c>
      <c r="G1732" s="10" t="s">
        <v>1330</v>
      </c>
      <c r="H1732" s="10" t="s">
        <v>1330</v>
      </c>
      <c r="K1732" t="s">
        <v>19</v>
      </c>
      <c r="L1732" t="s">
        <v>20</v>
      </c>
      <c r="M1732" s="9">
        <v>8481802</v>
      </c>
      <c r="N1732" t="s">
        <v>3477</v>
      </c>
      <c r="O1732">
        <v>18</v>
      </c>
      <c r="P1732" t="s">
        <v>3477</v>
      </c>
      <c r="Q1732">
        <v>18</v>
      </c>
      <c r="R1732" s="13">
        <v>24300</v>
      </c>
      <c r="S1732" s="13">
        <v>17010</v>
      </c>
    </row>
    <row r="1733" spans="1:19">
      <c r="A1733" s="9" t="s">
        <v>22</v>
      </c>
      <c r="B1733" s="9" t="s">
        <v>27</v>
      </c>
      <c r="C1733" s="9" t="s">
        <v>83</v>
      </c>
      <c r="D1733" t="s">
        <v>204</v>
      </c>
      <c r="F1733" s="12" t="s">
        <v>3233</v>
      </c>
      <c r="G1733" s="10" t="s">
        <v>1331</v>
      </c>
      <c r="H1733" s="10" t="s">
        <v>1331</v>
      </c>
      <c r="K1733" t="s">
        <v>19</v>
      </c>
      <c r="L1733" t="s">
        <v>20</v>
      </c>
      <c r="M1733" s="9">
        <v>8481909</v>
      </c>
      <c r="N1733" t="s">
        <v>3477</v>
      </c>
      <c r="O1733">
        <v>18</v>
      </c>
      <c r="P1733" t="s">
        <v>3477</v>
      </c>
      <c r="Q1733">
        <v>18</v>
      </c>
      <c r="R1733" s="13">
        <v>17890</v>
      </c>
      <c r="S1733" s="13">
        <v>12523</v>
      </c>
    </row>
    <row r="1734" spans="1:19">
      <c r="A1734" s="9" t="s">
        <v>23</v>
      </c>
      <c r="B1734" s="9" t="s">
        <v>27</v>
      </c>
      <c r="C1734" s="9" t="s">
        <v>197</v>
      </c>
      <c r="D1734" t="s">
        <v>204</v>
      </c>
      <c r="F1734" s="12" t="s">
        <v>3234</v>
      </c>
      <c r="G1734" s="10" t="s">
        <v>1332</v>
      </c>
      <c r="H1734" s="10" t="s">
        <v>1332</v>
      </c>
      <c r="K1734" t="s">
        <v>19</v>
      </c>
      <c r="L1734" t="s">
        <v>20</v>
      </c>
      <c r="M1734" s="9">
        <v>8481802</v>
      </c>
      <c r="N1734" t="s">
        <v>3477</v>
      </c>
      <c r="O1734">
        <v>18</v>
      </c>
      <c r="P1734" t="s">
        <v>3477</v>
      </c>
      <c r="Q1734">
        <v>18</v>
      </c>
      <c r="R1734" s="13">
        <v>35000</v>
      </c>
      <c r="S1734" s="13">
        <v>21000</v>
      </c>
    </row>
    <row r="1735" spans="1:19">
      <c r="A1735" s="9" t="s">
        <v>23</v>
      </c>
      <c r="B1735" s="9" t="s">
        <v>27</v>
      </c>
      <c r="C1735" s="9" t="s">
        <v>56</v>
      </c>
      <c r="D1735" t="s">
        <v>204</v>
      </c>
      <c r="F1735" s="12" t="s">
        <v>3235</v>
      </c>
      <c r="G1735" s="10" t="s">
        <v>1333</v>
      </c>
      <c r="H1735" s="10" t="s">
        <v>1333</v>
      </c>
      <c r="K1735" t="s">
        <v>19</v>
      </c>
      <c r="L1735" t="s">
        <v>20</v>
      </c>
      <c r="M1735" s="9">
        <v>7907001</v>
      </c>
      <c r="N1735" t="s">
        <v>3477</v>
      </c>
      <c r="O1735">
        <v>18</v>
      </c>
      <c r="P1735" t="s">
        <v>3477</v>
      </c>
      <c r="Q1735">
        <v>18</v>
      </c>
      <c r="R1735" s="13">
        <v>10580</v>
      </c>
      <c r="S1735" s="13">
        <v>6348</v>
      </c>
    </row>
    <row r="1736" spans="1:19">
      <c r="A1736" s="9" t="s">
        <v>24</v>
      </c>
      <c r="B1736" s="9" t="s">
        <v>33</v>
      </c>
      <c r="C1736" s="9" t="s">
        <v>93</v>
      </c>
      <c r="D1736" t="s">
        <v>204</v>
      </c>
      <c r="F1736" s="12" t="s">
        <v>3236</v>
      </c>
      <c r="G1736" s="10" t="s">
        <v>1334</v>
      </c>
      <c r="H1736" s="10" t="s">
        <v>1334</v>
      </c>
      <c r="K1736" t="s">
        <v>19</v>
      </c>
      <c r="L1736" t="s">
        <v>20</v>
      </c>
      <c r="M1736" s="9">
        <v>700992</v>
      </c>
      <c r="N1736" t="s">
        <v>3477</v>
      </c>
      <c r="O1736">
        <v>18</v>
      </c>
      <c r="P1736" t="s">
        <v>3477</v>
      </c>
      <c r="Q1736">
        <v>18</v>
      </c>
      <c r="R1736" s="13">
        <v>6000</v>
      </c>
      <c r="S1736" s="13">
        <v>4500</v>
      </c>
    </row>
    <row r="1737" spans="1:19">
      <c r="A1737" s="9" t="s">
        <v>22</v>
      </c>
      <c r="B1737" s="9" t="s">
        <v>26</v>
      </c>
      <c r="C1737" s="9" t="s">
        <v>71</v>
      </c>
      <c r="D1737" t="s">
        <v>204</v>
      </c>
      <c r="F1737" s="12" t="s">
        <v>3237</v>
      </c>
      <c r="G1737" s="10" t="s">
        <v>1335</v>
      </c>
      <c r="H1737" s="10" t="s">
        <v>1335</v>
      </c>
      <c r="K1737" t="s">
        <v>19</v>
      </c>
      <c r="L1737" t="s">
        <v>20</v>
      </c>
      <c r="M1737" s="9">
        <v>69101</v>
      </c>
      <c r="N1737" t="s">
        <v>3477</v>
      </c>
      <c r="O1737">
        <v>18</v>
      </c>
      <c r="P1737" t="s">
        <v>3477</v>
      </c>
      <c r="Q1737">
        <v>18</v>
      </c>
      <c r="R1737" s="13">
        <v>15000</v>
      </c>
      <c r="S1737" s="13">
        <v>10500</v>
      </c>
    </row>
    <row r="1738" spans="1:19">
      <c r="A1738" s="9" t="s">
        <v>22</v>
      </c>
      <c r="B1738" s="9" t="s">
        <v>27</v>
      </c>
      <c r="C1738" s="9" t="s">
        <v>65</v>
      </c>
      <c r="D1738" t="s">
        <v>204</v>
      </c>
      <c r="F1738" s="12" t="s">
        <v>3238</v>
      </c>
      <c r="G1738" s="10" t="s">
        <v>1336</v>
      </c>
      <c r="H1738" s="10" t="s">
        <v>1336</v>
      </c>
      <c r="K1738" t="s">
        <v>19</v>
      </c>
      <c r="L1738" t="s">
        <v>20</v>
      </c>
      <c r="M1738" s="9">
        <v>39229</v>
      </c>
      <c r="N1738" t="s">
        <v>3477</v>
      </c>
      <c r="O1738">
        <v>18</v>
      </c>
      <c r="P1738" t="s">
        <v>3477</v>
      </c>
      <c r="Q1738">
        <v>18</v>
      </c>
      <c r="R1738" s="13">
        <v>16100</v>
      </c>
      <c r="S1738" s="13">
        <v>11270</v>
      </c>
    </row>
    <row r="1739" spans="1:19">
      <c r="A1739" s="9" t="s">
        <v>22</v>
      </c>
      <c r="B1739" s="9" t="s">
        <v>27</v>
      </c>
      <c r="C1739" s="9" t="s">
        <v>64</v>
      </c>
      <c r="D1739" t="s">
        <v>204</v>
      </c>
      <c r="F1739" s="12" t="s">
        <v>3239</v>
      </c>
      <c r="G1739" s="10" t="s">
        <v>1337</v>
      </c>
      <c r="H1739" s="10" t="s">
        <v>1337</v>
      </c>
      <c r="K1739" t="s">
        <v>19</v>
      </c>
      <c r="L1739" t="s">
        <v>20</v>
      </c>
      <c r="M1739" s="9">
        <v>732429</v>
      </c>
      <c r="N1739" t="s">
        <v>3477</v>
      </c>
      <c r="O1739">
        <v>18</v>
      </c>
      <c r="P1739" t="s">
        <v>3477</v>
      </c>
      <c r="Q1739">
        <v>18</v>
      </c>
      <c r="R1739" s="13">
        <v>9500</v>
      </c>
      <c r="S1739" s="13">
        <v>6650</v>
      </c>
    </row>
    <row r="1740" spans="1:19">
      <c r="A1740" s="9" t="s">
        <v>22</v>
      </c>
      <c r="B1740" s="9" t="s">
        <v>27</v>
      </c>
      <c r="C1740" s="9" t="s">
        <v>90</v>
      </c>
      <c r="D1740" t="s">
        <v>204</v>
      </c>
      <c r="F1740" s="12" t="s">
        <v>3240</v>
      </c>
      <c r="G1740" s="10" t="s">
        <v>1338</v>
      </c>
      <c r="H1740" s="10" t="s">
        <v>1338</v>
      </c>
      <c r="K1740" t="s">
        <v>19</v>
      </c>
      <c r="L1740" t="s">
        <v>20</v>
      </c>
      <c r="M1740" s="9">
        <v>8481</v>
      </c>
      <c r="N1740" t="s">
        <v>3477</v>
      </c>
      <c r="O1740">
        <v>18</v>
      </c>
      <c r="P1740" t="s">
        <v>3477</v>
      </c>
      <c r="Q1740">
        <v>18</v>
      </c>
      <c r="R1740" s="13">
        <v>6330</v>
      </c>
      <c r="S1740" s="13">
        <v>4431</v>
      </c>
    </row>
    <row r="1741" spans="1:19">
      <c r="A1741" s="9" t="s">
        <v>22</v>
      </c>
      <c r="B1741" s="9" t="s">
        <v>27</v>
      </c>
      <c r="C1741" s="9" t="s">
        <v>64</v>
      </c>
      <c r="D1741" t="s">
        <v>204</v>
      </c>
      <c r="F1741" s="12" t="s">
        <v>3241</v>
      </c>
      <c r="G1741" s="10" t="s">
        <v>1339</v>
      </c>
      <c r="H1741" s="10" t="s">
        <v>1339</v>
      </c>
      <c r="K1741" t="s">
        <v>19</v>
      </c>
      <c r="L1741" t="s">
        <v>20</v>
      </c>
      <c r="M1741" s="9">
        <v>732429</v>
      </c>
      <c r="N1741" t="s">
        <v>3477</v>
      </c>
      <c r="O1741">
        <v>18</v>
      </c>
      <c r="P1741" t="s">
        <v>3477</v>
      </c>
      <c r="Q1741">
        <v>18</v>
      </c>
      <c r="R1741" s="13">
        <v>10500</v>
      </c>
      <c r="S1741" s="13">
        <v>7349.9999999999991</v>
      </c>
    </row>
    <row r="1742" spans="1:19">
      <c r="A1742" s="9" t="s">
        <v>22</v>
      </c>
      <c r="B1742" s="9" t="s">
        <v>27</v>
      </c>
      <c r="C1742" s="9" t="s">
        <v>90</v>
      </c>
      <c r="D1742" t="s">
        <v>204</v>
      </c>
      <c r="F1742" s="12" t="s">
        <v>3242</v>
      </c>
      <c r="G1742" s="10" t="s">
        <v>1339</v>
      </c>
      <c r="H1742" s="10" t="s">
        <v>1339</v>
      </c>
      <c r="K1742" t="s">
        <v>19</v>
      </c>
      <c r="L1742" t="s">
        <v>20</v>
      </c>
      <c r="M1742" s="9">
        <v>732429</v>
      </c>
      <c r="N1742" t="s">
        <v>3477</v>
      </c>
      <c r="O1742">
        <v>18</v>
      </c>
      <c r="P1742" t="s">
        <v>3477</v>
      </c>
      <c r="Q1742">
        <v>18</v>
      </c>
      <c r="R1742" s="13">
        <v>16900</v>
      </c>
      <c r="S1742" s="13">
        <v>11830</v>
      </c>
    </row>
    <row r="1743" spans="1:19">
      <c r="A1743" s="9" t="s">
        <v>22</v>
      </c>
      <c r="B1743" s="9" t="s">
        <v>27</v>
      </c>
      <c r="C1743" s="9" t="s">
        <v>90</v>
      </c>
      <c r="D1743" t="s">
        <v>204</v>
      </c>
      <c r="F1743" s="12" t="s">
        <v>3243</v>
      </c>
      <c r="G1743" s="10" t="s">
        <v>1339</v>
      </c>
      <c r="H1743" s="10" t="s">
        <v>1339</v>
      </c>
      <c r="K1743" t="s">
        <v>19</v>
      </c>
      <c r="L1743" t="s">
        <v>20</v>
      </c>
      <c r="M1743" s="9">
        <v>732429</v>
      </c>
      <c r="N1743" t="s">
        <v>3477</v>
      </c>
      <c r="O1743">
        <v>18</v>
      </c>
      <c r="P1743" t="s">
        <v>3477</v>
      </c>
      <c r="Q1743">
        <v>18</v>
      </c>
      <c r="R1743" s="13">
        <v>18900</v>
      </c>
      <c r="S1743" s="13">
        <v>13230</v>
      </c>
    </row>
    <row r="1744" spans="1:19">
      <c r="A1744" s="9" t="s">
        <v>22</v>
      </c>
      <c r="B1744" s="9" t="s">
        <v>27</v>
      </c>
      <c r="C1744" s="9" t="s">
        <v>90</v>
      </c>
      <c r="D1744" t="s">
        <v>204</v>
      </c>
      <c r="F1744" s="12" t="s">
        <v>3244</v>
      </c>
      <c r="G1744" s="10" t="s">
        <v>1340</v>
      </c>
      <c r="H1744" s="10" t="s">
        <v>1340</v>
      </c>
      <c r="K1744" t="s">
        <v>19</v>
      </c>
      <c r="L1744" t="s">
        <v>20</v>
      </c>
      <c r="M1744" s="9">
        <v>732429</v>
      </c>
      <c r="N1744" t="s">
        <v>3477</v>
      </c>
      <c r="O1744">
        <v>18</v>
      </c>
      <c r="P1744" t="s">
        <v>3477</v>
      </c>
      <c r="Q1744">
        <v>18</v>
      </c>
      <c r="R1744" s="13">
        <v>13500</v>
      </c>
      <c r="S1744" s="13">
        <v>9450</v>
      </c>
    </row>
    <row r="1745" spans="1:19">
      <c r="A1745" s="9" t="s">
        <v>22</v>
      </c>
      <c r="B1745" s="9" t="s">
        <v>27</v>
      </c>
      <c r="C1745" s="9" t="s">
        <v>90</v>
      </c>
      <c r="D1745" t="s">
        <v>204</v>
      </c>
      <c r="F1745" s="12" t="s">
        <v>3245</v>
      </c>
      <c r="G1745" s="10" t="s">
        <v>1340</v>
      </c>
      <c r="H1745" s="10" t="s">
        <v>1340</v>
      </c>
      <c r="K1745" t="s">
        <v>19</v>
      </c>
      <c r="L1745" t="s">
        <v>20</v>
      </c>
      <c r="M1745" s="9">
        <v>732429</v>
      </c>
      <c r="N1745" t="s">
        <v>3477</v>
      </c>
      <c r="O1745">
        <v>18</v>
      </c>
      <c r="P1745" t="s">
        <v>3477</v>
      </c>
      <c r="Q1745">
        <v>18</v>
      </c>
      <c r="R1745" s="13">
        <v>18100</v>
      </c>
      <c r="S1745" s="13">
        <v>12670</v>
      </c>
    </row>
    <row r="1746" spans="1:19">
      <c r="A1746" s="9" t="s">
        <v>22</v>
      </c>
      <c r="B1746" s="9" t="s">
        <v>27</v>
      </c>
      <c r="C1746" s="9" t="s">
        <v>90</v>
      </c>
      <c r="D1746" t="s">
        <v>204</v>
      </c>
      <c r="F1746" s="12" t="s">
        <v>3246</v>
      </c>
      <c r="G1746" s="10" t="s">
        <v>1340</v>
      </c>
      <c r="H1746" s="10" t="s">
        <v>1340</v>
      </c>
      <c r="K1746" t="s">
        <v>19</v>
      </c>
      <c r="L1746" t="s">
        <v>20</v>
      </c>
      <c r="M1746" s="9">
        <v>732429</v>
      </c>
      <c r="N1746" t="s">
        <v>3477</v>
      </c>
      <c r="O1746">
        <v>18</v>
      </c>
      <c r="P1746" t="s">
        <v>3477</v>
      </c>
      <c r="Q1746">
        <v>18</v>
      </c>
      <c r="R1746" s="13">
        <v>20300</v>
      </c>
      <c r="S1746" s="13">
        <v>14210</v>
      </c>
    </row>
    <row r="1747" spans="1:19">
      <c r="A1747" s="9" t="s">
        <v>22</v>
      </c>
      <c r="B1747" s="9" t="s">
        <v>27</v>
      </c>
      <c r="C1747" s="9" t="s">
        <v>90</v>
      </c>
      <c r="D1747" t="s">
        <v>204</v>
      </c>
      <c r="F1747" s="12" t="s">
        <v>3247</v>
      </c>
      <c r="G1747" s="10" t="s">
        <v>1341</v>
      </c>
      <c r="H1747" s="10" t="s">
        <v>1341</v>
      </c>
      <c r="K1747" t="s">
        <v>19</v>
      </c>
      <c r="L1747" t="s">
        <v>20</v>
      </c>
      <c r="M1747" s="9">
        <v>732429</v>
      </c>
      <c r="N1747" t="s">
        <v>3477</v>
      </c>
      <c r="O1747">
        <v>18</v>
      </c>
      <c r="P1747" t="s">
        <v>3477</v>
      </c>
      <c r="Q1747">
        <v>18</v>
      </c>
      <c r="R1747" s="13">
        <v>14500</v>
      </c>
      <c r="S1747" s="13">
        <v>10150</v>
      </c>
    </row>
    <row r="1748" spans="1:19">
      <c r="A1748" s="9" t="s">
        <v>24</v>
      </c>
      <c r="B1748" s="9" t="s">
        <v>27</v>
      </c>
      <c r="C1748" s="9" t="s">
        <v>198</v>
      </c>
      <c r="D1748" t="s">
        <v>204</v>
      </c>
      <c r="F1748" s="12" t="s">
        <v>3248</v>
      </c>
      <c r="G1748" s="10" t="s">
        <v>1342</v>
      </c>
      <c r="H1748" s="10" t="s">
        <v>1342</v>
      </c>
      <c r="K1748" t="s">
        <v>19</v>
      </c>
      <c r="L1748" t="s">
        <v>20</v>
      </c>
      <c r="M1748" s="9">
        <v>7418201</v>
      </c>
      <c r="N1748" t="s">
        <v>3477</v>
      </c>
      <c r="O1748">
        <v>18</v>
      </c>
      <c r="P1748" t="s">
        <v>3477</v>
      </c>
      <c r="Q1748">
        <v>18</v>
      </c>
      <c r="R1748" s="13">
        <v>3300</v>
      </c>
      <c r="S1748" s="13">
        <v>2475</v>
      </c>
    </row>
    <row r="1749" spans="1:19">
      <c r="A1749" s="9" t="s">
        <v>24</v>
      </c>
      <c r="B1749" s="9" t="s">
        <v>27</v>
      </c>
      <c r="C1749" s="9" t="s">
        <v>198</v>
      </c>
      <c r="D1749" t="s">
        <v>204</v>
      </c>
      <c r="F1749" s="12" t="s">
        <v>3249</v>
      </c>
      <c r="G1749" s="10" t="s">
        <v>1342</v>
      </c>
      <c r="H1749" s="10" t="s">
        <v>1342</v>
      </c>
      <c r="K1749" t="s">
        <v>19</v>
      </c>
      <c r="L1749" t="s">
        <v>20</v>
      </c>
      <c r="M1749" s="9">
        <v>7418201</v>
      </c>
      <c r="N1749" t="s">
        <v>3477</v>
      </c>
      <c r="O1749">
        <v>18</v>
      </c>
      <c r="P1749" t="s">
        <v>3477</v>
      </c>
      <c r="Q1749">
        <v>18</v>
      </c>
      <c r="R1749" s="13">
        <v>2600</v>
      </c>
      <c r="S1749" s="13">
        <v>1950</v>
      </c>
    </row>
    <row r="1750" spans="1:19">
      <c r="A1750" s="9" t="s">
        <v>24</v>
      </c>
      <c r="B1750" s="9" t="s">
        <v>27</v>
      </c>
      <c r="C1750" s="9" t="s">
        <v>198</v>
      </c>
      <c r="D1750" t="s">
        <v>204</v>
      </c>
      <c r="F1750" s="12" t="s">
        <v>3250</v>
      </c>
      <c r="G1750" s="10" t="s">
        <v>1343</v>
      </c>
      <c r="H1750" s="10" t="s">
        <v>1343</v>
      </c>
      <c r="K1750" t="s">
        <v>19</v>
      </c>
      <c r="L1750" t="s">
        <v>20</v>
      </c>
      <c r="M1750" s="9">
        <v>7418201</v>
      </c>
      <c r="N1750" t="s">
        <v>3477</v>
      </c>
      <c r="O1750">
        <v>18</v>
      </c>
      <c r="P1750" t="s">
        <v>3477</v>
      </c>
      <c r="Q1750">
        <v>18</v>
      </c>
      <c r="R1750" s="13">
        <v>3900</v>
      </c>
      <c r="S1750" s="13">
        <v>2925</v>
      </c>
    </row>
    <row r="1751" spans="1:19">
      <c r="A1751" s="9" t="s">
        <v>23</v>
      </c>
      <c r="B1751" s="9" t="s">
        <v>27</v>
      </c>
      <c r="C1751" s="9" t="s">
        <v>48</v>
      </c>
      <c r="D1751" t="s">
        <v>204</v>
      </c>
      <c r="F1751" s="12" t="s">
        <v>3251</v>
      </c>
      <c r="G1751" s="10" t="s">
        <v>1343</v>
      </c>
      <c r="H1751" s="10" t="s">
        <v>1343</v>
      </c>
      <c r="K1751" t="s">
        <v>19</v>
      </c>
      <c r="L1751" t="s">
        <v>20</v>
      </c>
      <c r="M1751" s="9">
        <v>8481802</v>
      </c>
      <c r="N1751" t="s">
        <v>3477</v>
      </c>
      <c r="O1751">
        <v>18</v>
      </c>
      <c r="P1751" t="s">
        <v>3477</v>
      </c>
      <c r="Q1751">
        <v>18</v>
      </c>
      <c r="R1751" s="13">
        <v>36670</v>
      </c>
      <c r="S1751" s="13">
        <v>22002</v>
      </c>
    </row>
    <row r="1752" spans="1:19">
      <c r="A1752" s="9" t="s">
        <v>23</v>
      </c>
      <c r="B1752" s="9" t="s">
        <v>27</v>
      </c>
      <c r="C1752" s="9" t="s">
        <v>48</v>
      </c>
      <c r="D1752" t="s">
        <v>204</v>
      </c>
      <c r="F1752" s="12" t="s">
        <v>3252</v>
      </c>
      <c r="G1752" s="10" t="s">
        <v>1343</v>
      </c>
      <c r="H1752" s="10" t="s">
        <v>1343</v>
      </c>
      <c r="K1752" t="s">
        <v>19</v>
      </c>
      <c r="L1752" t="s">
        <v>20</v>
      </c>
      <c r="M1752" s="9">
        <v>8481802</v>
      </c>
      <c r="N1752" t="s">
        <v>3477</v>
      </c>
      <c r="O1752">
        <v>18</v>
      </c>
      <c r="P1752" t="s">
        <v>3477</v>
      </c>
      <c r="Q1752">
        <v>18</v>
      </c>
      <c r="R1752" s="13">
        <v>44990</v>
      </c>
      <c r="S1752" s="13">
        <v>26994</v>
      </c>
    </row>
    <row r="1753" spans="1:19">
      <c r="A1753" s="9" t="s">
        <v>23</v>
      </c>
      <c r="B1753" s="9" t="s">
        <v>27</v>
      </c>
      <c r="C1753" s="9" t="s">
        <v>48</v>
      </c>
      <c r="D1753" t="s">
        <v>204</v>
      </c>
      <c r="F1753" s="12" t="s">
        <v>3253</v>
      </c>
      <c r="G1753" s="10" t="s">
        <v>1343</v>
      </c>
      <c r="H1753" s="10" t="s">
        <v>1343</v>
      </c>
      <c r="K1753" t="s">
        <v>19</v>
      </c>
      <c r="L1753" t="s">
        <v>20</v>
      </c>
      <c r="M1753" s="9">
        <v>8481802</v>
      </c>
      <c r="N1753" t="s">
        <v>3477</v>
      </c>
      <c r="O1753">
        <v>18</v>
      </c>
      <c r="P1753" t="s">
        <v>3477</v>
      </c>
      <c r="Q1753">
        <v>18</v>
      </c>
      <c r="R1753" s="13">
        <v>53060</v>
      </c>
      <c r="S1753" s="13">
        <v>31836</v>
      </c>
    </row>
    <row r="1754" spans="1:19">
      <c r="A1754" s="9" t="s">
        <v>23</v>
      </c>
      <c r="B1754" s="9" t="s">
        <v>27</v>
      </c>
      <c r="C1754" s="9" t="s">
        <v>48</v>
      </c>
      <c r="D1754" t="s">
        <v>204</v>
      </c>
      <c r="F1754" s="12" t="s">
        <v>3254</v>
      </c>
      <c r="G1754" s="10" t="s">
        <v>1344</v>
      </c>
      <c r="H1754" s="10" t="s">
        <v>1344</v>
      </c>
      <c r="K1754" t="s">
        <v>19</v>
      </c>
      <c r="L1754" t="s">
        <v>20</v>
      </c>
      <c r="M1754" s="9">
        <v>8481802</v>
      </c>
      <c r="N1754" t="s">
        <v>3477</v>
      </c>
      <c r="O1754">
        <v>18</v>
      </c>
      <c r="P1754" t="s">
        <v>3477</v>
      </c>
      <c r="Q1754">
        <v>18</v>
      </c>
      <c r="R1754" s="13">
        <v>53060</v>
      </c>
      <c r="S1754" s="13">
        <v>31836</v>
      </c>
    </row>
    <row r="1755" spans="1:19">
      <c r="A1755" s="9" t="s">
        <v>23</v>
      </c>
      <c r="B1755" s="9" t="s">
        <v>27</v>
      </c>
      <c r="C1755" s="9" t="s">
        <v>49</v>
      </c>
      <c r="D1755" t="s">
        <v>204</v>
      </c>
      <c r="F1755" s="12" t="s">
        <v>3255</v>
      </c>
      <c r="G1755" s="10" t="s">
        <v>1344</v>
      </c>
      <c r="H1755" s="10" t="s">
        <v>1344</v>
      </c>
      <c r="K1755" t="s">
        <v>19</v>
      </c>
      <c r="L1755" t="s">
        <v>20</v>
      </c>
      <c r="M1755" s="9">
        <v>8481809</v>
      </c>
      <c r="N1755" t="s">
        <v>3477</v>
      </c>
      <c r="O1755">
        <v>18</v>
      </c>
      <c r="P1755" t="s">
        <v>3477</v>
      </c>
      <c r="Q1755">
        <v>18</v>
      </c>
      <c r="R1755" s="13">
        <v>140000</v>
      </c>
      <c r="S1755" s="13">
        <v>84000</v>
      </c>
    </row>
    <row r="1756" spans="1:19">
      <c r="A1756" s="9" t="s">
        <v>23</v>
      </c>
      <c r="B1756" s="9" t="s">
        <v>27</v>
      </c>
      <c r="C1756" s="9" t="s">
        <v>49</v>
      </c>
      <c r="D1756" t="s">
        <v>204</v>
      </c>
      <c r="F1756" s="12" t="s">
        <v>3256</v>
      </c>
      <c r="G1756" s="10" t="s">
        <v>1345</v>
      </c>
      <c r="H1756" s="10" t="s">
        <v>1345</v>
      </c>
      <c r="K1756" t="s">
        <v>19</v>
      </c>
      <c r="L1756" t="s">
        <v>20</v>
      </c>
      <c r="M1756" s="9">
        <v>8481802</v>
      </c>
      <c r="N1756" t="s">
        <v>3477</v>
      </c>
      <c r="O1756">
        <v>18</v>
      </c>
      <c r="P1756" t="s">
        <v>3477</v>
      </c>
      <c r="Q1756">
        <v>18</v>
      </c>
      <c r="R1756" s="13">
        <v>75000</v>
      </c>
      <c r="S1756" s="13">
        <v>45000</v>
      </c>
    </row>
    <row r="1757" spans="1:19">
      <c r="A1757" s="9" t="s">
        <v>23</v>
      </c>
      <c r="B1757" s="9" t="s">
        <v>27</v>
      </c>
      <c r="C1757" s="9" t="s">
        <v>199</v>
      </c>
      <c r="D1757" t="s">
        <v>204</v>
      </c>
      <c r="F1757" s="12" t="s">
        <v>3257</v>
      </c>
      <c r="G1757" s="10" t="s">
        <v>1345</v>
      </c>
      <c r="H1757" s="10" t="s">
        <v>1345</v>
      </c>
      <c r="K1757" t="s">
        <v>19</v>
      </c>
      <c r="L1757" t="s">
        <v>20</v>
      </c>
      <c r="M1757" s="9">
        <v>8481802</v>
      </c>
      <c r="N1757" t="s">
        <v>3477</v>
      </c>
      <c r="O1757">
        <v>18</v>
      </c>
      <c r="P1757" t="s">
        <v>3477</v>
      </c>
      <c r="Q1757">
        <v>18</v>
      </c>
      <c r="R1757" s="13">
        <v>60500</v>
      </c>
      <c r="S1757" s="13">
        <v>36300</v>
      </c>
    </row>
    <row r="1758" spans="1:19">
      <c r="A1758" s="9" t="s">
        <v>23</v>
      </c>
      <c r="B1758" s="9" t="s">
        <v>27</v>
      </c>
      <c r="C1758" s="9" t="s">
        <v>49</v>
      </c>
      <c r="D1758" t="s">
        <v>204</v>
      </c>
      <c r="F1758" s="12" t="s">
        <v>3258</v>
      </c>
      <c r="G1758" s="10" t="s">
        <v>1346</v>
      </c>
      <c r="H1758" s="10" t="s">
        <v>1346</v>
      </c>
      <c r="K1758" t="s">
        <v>19</v>
      </c>
      <c r="L1758" t="s">
        <v>20</v>
      </c>
      <c r="M1758" s="9">
        <v>8481802</v>
      </c>
      <c r="N1758" t="s">
        <v>3477</v>
      </c>
      <c r="O1758">
        <v>18</v>
      </c>
      <c r="P1758" t="s">
        <v>3477</v>
      </c>
      <c r="Q1758">
        <v>18</v>
      </c>
      <c r="R1758" s="13">
        <v>55000</v>
      </c>
      <c r="S1758" s="13">
        <v>33000</v>
      </c>
    </row>
    <row r="1759" spans="1:19">
      <c r="A1759" s="9" t="s">
        <v>23</v>
      </c>
      <c r="B1759" s="9" t="s">
        <v>27</v>
      </c>
      <c r="C1759" s="9" t="s">
        <v>49</v>
      </c>
      <c r="D1759" t="s">
        <v>204</v>
      </c>
      <c r="F1759" s="12" t="s">
        <v>3259</v>
      </c>
      <c r="G1759" s="10" t="s">
        <v>1345</v>
      </c>
      <c r="H1759" s="10" t="s">
        <v>1345</v>
      </c>
      <c r="K1759" t="s">
        <v>19</v>
      </c>
      <c r="L1759" t="s">
        <v>20</v>
      </c>
      <c r="M1759" s="9">
        <v>8481802</v>
      </c>
      <c r="N1759" t="s">
        <v>3477</v>
      </c>
      <c r="O1759">
        <v>18</v>
      </c>
      <c r="P1759" t="s">
        <v>3477</v>
      </c>
      <c r="Q1759">
        <v>18</v>
      </c>
      <c r="R1759" s="13">
        <v>96800</v>
      </c>
      <c r="S1759" s="13">
        <v>58080</v>
      </c>
    </row>
    <row r="1760" spans="1:19">
      <c r="A1760" s="9" t="s">
        <v>23</v>
      </c>
      <c r="B1760" s="9" t="s">
        <v>27</v>
      </c>
      <c r="C1760" s="9" t="s">
        <v>49</v>
      </c>
      <c r="D1760" t="s">
        <v>204</v>
      </c>
      <c r="F1760" s="12" t="s">
        <v>3260</v>
      </c>
      <c r="G1760" s="10" t="s">
        <v>1345</v>
      </c>
      <c r="H1760" s="10" t="s">
        <v>1345</v>
      </c>
      <c r="K1760" t="s">
        <v>19</v>
      </c>
      <c r="L1760" t="s">
        <v>20</v>
      </c>
      <c r="M1760" s="9">
        <v>8481802</v>
      </c>
      <c r="N1760" t="s">
        <v>3477</v>
      </c>
      <c r="O1760">
        <v>18</v>
      </c>
      <c r="P1760" t="s">
        <v>3477</v>
      </c>
      <c r="Q1760">
        <v>18</v>
      </c>
      <c r="R1760" s="13">
        <v>60500</v>
      </c>
      <c r="S1760" s="13">
        <v>36300</v>
      </c>
    </row>
    <row r="1761" spans="1:19">
      <c r="A1761" s="9" t="s">
        <v>23</v>
      </c>
      <c r="B1761" s="9" t="s">
        <v>27</v>
      </c>
      <c r="C1761" s="9" t="s">
        <v>49</v>
      </c>
      <c r="D1761" t="s">
        <v>204</v>
      </c>
      <c r="F1761" s="12" t="s">
        <v>3261</v>
      </c>
      <c r="G1761" s="10" t="s">
        <v>1345</v>
      </c>
      <c r="H1761" s="10" t="s">
        <v>1345</v>
      </c>
      <c r="K1761" t="s">
        <v>19</v>
      </c>
      <c r="L1761" t="s">
        <v>20</v>
      </c>
      <c r="M1761" s="9">
        <v>8481802</v>
      </c>
      <c r="N1761" t="s">
        <v>3477</v>
      </c>
      <c r="O1761">
        <v>18</v>
      </c>
      <c r="P1761" t="s">
        <v>3477</v>
      </c>
      <c r="Q1761">
        <v>18</v>
      </c>
      <c r="R1761" s="13">
        <v>60500</v>
      </c>
      <c r="S1761" s="13">
        <v>36300</v>
      </c>
    </row>
    <row r="1762" spans="1:19">
      <c r="A1762" s="9" t="s">
        <v>23</v>
      </c>
      <c r="B1762" s="9" t="s">
        <v>27</v>
      </c>
      <c r="C1762" s="9" t="s">
        <v>49</v>
      </c>
      <c r="D1762" t="s">
        <v>204</v>
      </c>
      <c r="F1762" s="12" t="s">
        <v>3262</v>
      </c>
      <c r="G1762" s="10" t="s">
        <v>1347</v>
      </c>
      <c r="H1762" s="10" t="s">
        <v>1347</v>
      </c>
      <c r="K1762" t="s">
        <v>19</v>
      </c>
      <c r="L1762" t="s">
        <v>20</v>
      </c>
      <c r="M1762" s="9">
        <v>8481802</v>
      </c>
      <c r="N1762" t="s">
        <v>3477</v>
      </c>
      <c r="O1762">
        <v>18</v>
      </c>
      <c r="P1762" t="s">
        <v>3477</v>
      </c>
      <c r="Q1762">
        <v>18</v>
      </c>
      <c r="R1762" s="13">
        <v>60500</v>
      </c>
      <c r="S1762" s="13">
        <v>36300</v>
      </c>
    </row>
    <row r="1763" spans="1:19">
      <c r="A1763" s="9" t="s">
        <v>23</v>
      </c>
      <c r="B1763" s="9" t="s">
        <v>27</v>
      </c>
      <c r="C1763" s="9" t="s">
        <v>49</v>
      </c>
      <c r="D1763" t="s">
        <v>204</v>
      </c>
      <c r="F1763" s="12" t="s">
        <v>3263</v>
      </c>
      <c r="G1763" s="10" t="s">
        <v>1345</v>
      </c>
      <c r="H1763" s="10" t="s">
        <v>1345</v>
      </c>
      <c r="K1763" t="s">
        <v>19</v>
      </c>
      <c r="L1763" t="s">
        <v>20</v>
      </c>
      <c r="M1763" s="9">
        <v>8481802</v>
      </c>
      <c r="N1763" t="s">
        <v>3477</v>
      </c>
      <c r="O1763">
        <v>18</v>
      </c>
      <c r="P1763" t="s">
        <v>3477</v>
      </c>
      <c r="Q1763">
        <v>18</v>
      </c>
      <c r="R1763" s="13">
        <v>88000</v>
      </c>
      <c r="S1763" s="13">
        <v>52800</v>
      </c>
    </row>
    <row r="1764" spans="1:19">
      <c r="A1764" s="9" t="s">
        <v>23</v>
      </c>
      <c r="B1764" s="9" t="s">
        <v>27</v>
      </c>
      <c r="C1764" s="9" t="s">
        <v>49</v>
      </c>
      <c r="D1764" t="s">
        <v>204</v>
      </c>
      <c r="F1764" s="12" t="s">
        <v>3264</v>
      </c>
      <c r="G1764" s="10" t="s">
        <v>1345</v>
      </c>
      <c r="H1764" s="10" t="s">
        <v>1345</v>
      </c>
      <c r="K1764" t="s">
        <v>19</v>
      </c>
      <c r="L1764" t="s">
        <v>20</v>
      </c>
      <c r="M1764" s="9">
        <v>8481802</v>
      </c>
      <c r="N1764" t="s">
        <v>3477</v>
      </c>
      <c r="O1764">
        <v>18</v>
      </c>
      <c r="P1764" t="s">
        <v>3477</v>
      </c>
      <c r="Q1764">
        <v>18</v>
      </c>
      <c r="R1764" s="13">
        <v>60500</v>
      </c>
      <c r="S1764" s="13">
        <v>36300</v>
      </c>
    </row>
    <row r="1765" spans="1:19">
      <c r="A1765" s="9" t="s">
        <v>23</v>
      </c>
      <c r="B1765" s="9" t="s">
        <v>27</v>
      </c>
      <c r="C1765" s="9" t="s">
        <v>49</v>
      </c>
      <c r="D1765" t="s">
        <v>204</v>
      </c>
      <c r="F1765" s="12" t="s">
        <v>3265</v>
      </c>
      <c r="G1765" s="10" t="s">
        <v>1345</v>
      </c>
      <c r="H1765" s="10" t="s">
        <v>1345</v>
      </c>
      <c r="K1765" t="s">
        <v>19</v>
      </c>
      <c r="L1765" t="s">
        <v>20</v>
      </c>
      <c r="M1765" s="9">
        <v>8481802</v>
      </c>
      <c r="N1765" t="s">
        <v>3477</v>
      </c>
      <c r="O1765">
        <v>18</v>
      </c>
      <c r="P1765" t="s">
        <v>3477</v>
      </c>
      <c r="Q1765">
        <v>18</v>
      </c>
      <c r="R1765" s="13">
        <v>60500</v>
      </c>
      <c r="S1765" s="13">
        <v>36300</v>
      </c>
    </row>
    <row r="1766" spans="1:19">
      <c r="A1766" s="9" t="s">
        <v>23</v>
      </c>
      <c r="B1766" s="9" t="s">
        <v>27</v>
      </c>
      <c r="C1766" s="9" t="s">
        <v>49</v>
      </c>
      <c r="D1766" t="s">
        <v>204</v>
      </c>
      <c r="F1766" s="12" t="s">
        <v>3266</v>
      </c>
      <c r="G1766" s="10" t="s">
        <v>1345</v>
      </c>
      <c r="H1766" s="10" t="s">
        <v>1345</v>
      </c>
      <c r="K1766" t="s">
        <v>19</v>
      </c>
      <c r="L1766" t="s">
        <v>20</v>
      </c>
      <c r="M1766" s="9">
        <v>8481802</v>
      </c>
      <c r="N1766" t="s">
        <v>3477</v>
      </c>
      <c r="O1766">
        <v>18</v>
      </c>
      <c r="P1766" t="s">
        <v>3477</v>
      </c>
      <c r="Q1766">
        <v>18</v>
      </c>
      <c r="R1766" s="13">
        <v>60500</v>
      </c>
      <c r="S1766" s="13">
        <v>36300</v>
      </c>
    </row>
    <row r="1767" spans="1:19">
      <c r="A1767" s="9" t="s">
        <v>23</v>
      </c>
      <c r="B1767" s="9" t="s">
        <v>27</v>
      </c>
      <c r="C1767" s="9" t="s">
        <v>49</v>
      </c>
      <c r="D1767" t="s">
        <v>204</v>
      </c>
      <c r="F1767" s="12" t="s">
        <v>3267</v>
      </c>
      <c r="G1767" s="10" t="s">
        <v>1348</v>
      </c>
      <c r="H1767" s="10" t="s">
        <v>1348</v>
      </c>
      <c r="K1767" t="s">
        <v>19</v>
      </c>
      <c r="L1767" t="s">
        <v>20</v>
      </c>
      <c r="M1767" s="9">
        <v>8481802</v>
      </c>
      <c r="N1767" t="s">
        <v>3477</v>
      </c>
      <c r="O1767">
        <v>18</v>
      </c>
      <c r="P1767" t="s">
        <v>3477</v>
      </c>
      <c r="Q1767">
        <v>18</v>
      </c>
      <c r="R1767" s="13">
        <v>60500</v>
      </c>
      <c r="S1767" s="13">
        <v>36300</v>
      </c>
    </row>
    <row r="1768" spans="1:19">
      <c r="A1768" s="9" t="s">
        <v>22</v>
      </c>
      <c r="B1768" s="9" t="s">
        <v>27</v>
      </c>
      <c r="C1768" s="9" t="s">
        <v>48</v>
      </c>
      <c r="D1768" t="s">
        <v>204</v>
      </c>
      <c r="F1768" s="12" t="s">
        <v>3268</v>
      </c>
      <c r="G1768" s="10" t="s">
        <v>1349</v>
      </c>
      <c r="H1768" s="10" t="s">
        <v>1349</v>
      </c>
      <c r="K1768" t="s">
        <v>19</v>
      </c>
      <c r="L1768" t="s">
        <v>20</v>
      </c>
      <c r="M1768" s="9">
        <v>8481802</v>
      </c>
      <c r="N1768" t="s">
        <v>3477</v>
      </c>
      <c r="O1768">
        <v>18</v>
      </c>
      <c r="P1768" t="s">
        <v>3477</v>
      </c>
      <c r="Q1768">
        <v>18</v>
      </c>
      <c r="R1768" s="13">
        <v>30000</v>
      </c>
      <c r="S1768" s="13">
        <v>21000</v>
      </c>
    </row>
    <row r="1769" spans="1:19">
      <c r="A1769" s="9" t="s">
        <v>22</v>
      </c>
      <c r="B1769" s="9" t="s">
        <v>27</v>
      </c>
      <c r="C1769" s="9" t="s">
        <v>49</v>
      </c>
      <c r="D1769" t="s">
        <v>204</v>
      </c>
      <c r="F1769" s="12" t="s">
        <v>3269</v>
      </c>
      <c r="G1769" s="10" t="s">
        <v>1350</v>
      </c>
      <c r="H1769" s="10" t="s">
        <v>1350</v>
      </c>
      <c r="K1769" t="s">
        <v>19</v>
      </c>
      <c r="L1769" t="s">
        <v>20</v>
      </c>
      <c r="M1769" s="9">
        <v>8481802</v>
      </c>
      <c r="N1769" t="s">
        <v>3477</v>
      </c>
      <c r="O1769">
        <v>18</v>
      </c>
      <c r="P1769" t="s">
        <v>3477</v>
      </c>
      <c r="Q1769">
        <v>18</v>
      </c>
      <c r="R1769" s="13">
        <v>40160</v>
      </c>
      <c r="S1769" s="13">
        <v>28112</v>
      </c>
    </row>
    <row r="1770" spans="1:19">
      <c r="A1770" s="9" t="s">
        <v>23</v>
      </c>
      <c r="B1770" s="9" t="s">
        <v>27</v>
      </c>
      <c r="C1770" s="9" t="s">
        <v>200</v>
      </c>
      <c r="D1770" t="s">
        <v>204</v>
      </c>
      <c r="F1770" s="12" t="s">
        <v>3270</v>
      </c>
      <c r="G1770" s="10" t="s">
        <v>1351</v>
      </c>
      <c r="H1770" s="10" t="s">
        <v>1351</v>
      </c>
      <c r="K1770" t="s">
        <v>19</v>
      </c>
      <c r="L1770" t="s">
        <v>20</v>
      </c>
      <c r="M1770" s="9">
        <v>8481802</v>
      </c>
      <c r="N1770" t="s">
        <v>3477</v>
      </c>
      <c r="O1770">
        <v>18</v>
      </c>
      <c r="P1770" t="s">
        <v>3477</v>
      </c>
      <c r="Q1770">
        <v>18</v>
      </c>
      <c r="R1770" s="13">
        <v>63230</v>
      </c>
      <c r="S1770" s="13">
        <v>37938</v>
      </c>
    </row>
    <row r="1771" spans="1:19">
      <c r="A1771" s="9" t="s">
        <v>23</v>
      </c>
      <c r="B1771" s="9" t="s">
        <v>27</v>
      </c>
      <c r="C1771" s="9" t="s">
        <v>94</v>
      </c>
      <c r="D1771" t="s">
        <v>204</v>
      </c>
      <c r="F1771" s="12" t="s">
        <v>3271</v>
      </c>
      <c r="G1771" s="10" t="s">
        <v>1352</v>
      </c>
      <c r="H1771" s="10" t="s">
        <v>1352</v>
      </c>
      <c r="K1771" t="s">
        <v>19</v>
      </c>
      <c r="L1771" t="s">
        <v>20</v>
      </c>
      <c r="M1771" s="9">
        <v>8481802</v>
      </c>
      <c r="N1771" t="s">
        <v>3477</v>
      </c>
      <c r="O1771">
        <v>18</v>
      </c>
      <c r="P1771" t="s">
        <v>3477</v>
      </c>
      <c r="Q1771">
        <v>18</v>
      </c>
      <c r="R1771" s="13">
        <v>70000</v>
      </c>
      <c r="S1771" s="13">
        <v>42000</v>
      </c>
    </row>
    <row r="1772" spans="1:19">
      <c r="A1772" s="9" t="s">
        <v>22</v>
      </c>
      <c r="B1772" s="9" t="s">
        <v>26</v>
      </c>
      <c r="C1772" s="9" t="s">
        <v>50</v>
      </c>
      <c r="D1772" t="s">
        <v>204</v>
      </c>
      <c r="F1772" s="12" t="s">
        <v>3272</v>
      </c>
      <c r="G1772" s="10" t="s">
        <v>1353</v>
      </c>
      <c r="H1772" s="10" t="s">
        <v>1353</v>
      </c>
      <c r="K1772" t="s">
        <v>19</v>
      </c>
      <c r="L1772" t="s">
        <v>20</v>
      </c>
      <c r="M1772" s="9">
        <v>9032891</v>
      </c>
      <c r="N1772" t="s">
        <v>3477</v>
      </c>
      <c r="O1772">
        <v>18</v>
      </c>
      <c r="P1772" t="s">
        <v>3477</v>
      </c>
      <c r="Q1772">
        <v>18</v>
      </c>
      <c r="R1772" s="13">
        <v>2962</v>
      </c>
      <c r="S1772" s="13">
        <v>2073.4</v>
      </c>
    </row>
    <row r="1773" spans="1:19">
      <c r="A1773" s="9" t="s">
        <v>22</v>
      </c>
      <c r="B1773" s="9" t="s">
        <v>27</v>
      </c>
      <c r="C1773" s="9" t="s">
        <v>48</v>
      </c>
      <c r="D1773" t="s">
        <v>204</v>
      </c>
      <c r="F1773" s="12" t="s">
        <v>3273</v>
      </c>
      <c r="G1773" s="10" t="s">
        <v>1354</v>
      </c>
      <c r="H1773" s="10" t="s">
        <v>1354</v>
      </c>
      <c r="K1773" t="s">
        <v>19</v>
      </c>
      <c r="L1773" t="s">
        <v>20</v>
      </c>
      <c r="M1773" s="9">
        <v>8481802</v>
      </c>
      <c r="N1773" t="s">
        <v>3477</v>
      </c>
      <c r="O1773">
        <v>18</v>
      </c>
      <c r="P1773" t="s">
        <v>3477</v>
      </c>
      <c r="Q1773">
        <v>18</v>
      </c>
      <c r="R1773" s="13">
        <v>13080</v>
      </c>
      <c r="S1773" s="13">
        <v>9156</v>
      </c>
    </row>
    <row r="1774" spans="1:19">
      <c r="A1774" s="9" t="s">
        <v>22</v>
      </c>
      <c r="B1774" s="9" t="s">
        <v>27</v>
      </c>
      <c r="C1774" s="9" t="s">
        <v>50</v>
      </c>
      <c r="D1774" t="s">
        <v>204</v>
      </c>
      <c r="F1774" s="12" t="s">
        <v>3274</v>
      </c>
      <c r="G1774" s="10" t="s">
        <v>1355</v>
      </c>
      <c r="H1774" s="10" t="s">
        <v>1355</v>
      </c>
      <c r="K1774" t="s">
        <v>19</v>
      </c>
      <c r="L1774" t="s">
        <v>20</v>
      </c>
      <c r="M1774" s="9">
        <v>39229</v>
      </c>
      <c r="N1774" t="s">
        <v>3477</v>
      </c>
      <c r="O1774">
        <v>18</v>
      </c>
      <c r="P1774" t="s">
        <v>3477</v>
      </c>
      <c r="Q1774">
        <v>18</v>
      </c>
      <c r="R1774" s="13">
        <v>3837</v>
      </c>
      <c r="S1774" s="13">
        <v>2685.8999999999996</v>
      </c>
    </row>
    <row r="1775" spans="1:19">
      <c r="A1775" s="9" t="s">
        <v>22</v>
      </c>
      <c r="B1775" s="9" t="s">
        <v>27</v>
      </c>
      <c r="C1775" s="9" t="s">
        <v>50</v>
      </c>
      <c r="D1775" t="s">
        <v>204</v>
      </c>
      <c r="F1775" s="12" t="s">
        <v>3275</v>
      </c>
      <c r="G1775" s="10" t="s">
        <v>1356</v>
      </c>
      <c r="H1775" s="10" t="s">
        <v>1356</v>
      </c>
      <c r="K1775" t="s">
        <v>19</v>
      </c>
      <c r="L1775" t="s">
        <v>20</v>
      </c>
      <c r="M1775" s="9">
        <v>39229</v>
      </c>
      <c r="N1775" t="s">
        <v>3477</v>
      </c>
      <c r="O1775">
        <v>18</v>
      </c>
      <c r="P1775" t="s">
        <v>3477</v>
      </c>
      <c r="Q1775">
        <v>18</v>
      </c>
      <c r="R1775" s="13">
        <v>1226</v>
      </c>
      <c r="S1775" s="13">
        <v>858.19999999999993</v>
      </c>
    </row>
    <row r="1776" spans="1:19">
      <c r="A1776" s="9" t="s">
        <v>22</v>
      </c>
      <c r="B1776" s="9" t="s">
        <v>30</v>
      </c>
      <c r="C1776" s="9" t="s">
        <v>50</v>
      </c>
      <c r="D1776" t="s">
        <v>204</v>
      </c>
      <c r="F1776" s="12" t="s">
        <v>3276</v>
      </c>
      <c r="G1776" s="10" t="s">
        <v>1357</v>
      </c>
      <c r="H1776" s="10" t="s">
        <v>1357</v>
      </c>
      <c r="K1776" t="s">
        <v>19</v>
      </c>
      <c r="L1776" t="s">
        <v>20</v>
      </c>
      <c r="M1776" s="9">
        <v>8481809</v>
      </c>
      <c r="N1776" t="s">
        <v>3477</v>
      </c>
      <c r="O1776">
        <v>18</v>
      </c>
      <c r="P1776" t="s">
        <v>3477</v>
      </c>
      <c r="Q1776">
        <v>18</v>
      </c>
      <c r="R1776" s="13">
        <v>49</v>
      </c>
      <c r="S1776" s="13">
        <v>34.299999999999997</v>
      </c>
    </row>
    <row r="1777" spans="1:19">
      <c r="A1777" s="9" t="s">
        <v>22</v>
      </c>
      <c r="B1777" s="9" t="s">
        <v>27</v>
      </c>
      <c r="C1777" s="9" t="s">
        <v>95</v>
      </c>
      <c r="D1777" t="s">
        <v>204</v>
      </c>
      <c r="F1777" s="12" t="s">
        <v>3277</v>
      </c>
      <c r="G1777" s="10" t="s">
        <v>1358</v>
      </c>
      <c r="H1777" s="10" t="s">
        <v>1358</v>
      </c>
      <c r="K1777" t="s">
        <v>19</v>
      </c>
      <c r="L1777" t="s">
        <v>20</v>
      </c>
      <c r="M1777" s="9">
        <v>8481909</v>
      </c>
      <c r="N1777" t="s">
        <v>3477</v>
      </c>
      <c r="O1777">
        <v>18</v>
      </c>
      <c r="P1777" t="s">
        <v>3477</v>
      </c>
      <c r="Q1777">
        <v>18</v>
      </c>
      <c r="R1777" s="13">
        <v>28380</v>
      </c>
      <c r="S1777" s="13">
        <v>19866</v>
      </c>
    </row>
    <row r="1778" spans="1:19">
      <c r="A1778" s="9" t="s">
        <v>22</v>
      </c>
      <c r="B1778" s="9" t="s">
        <v>27</v>
      </c>
      <c r="C1778" s="9" t="s">
        <v>95</v>
      </c>
      <c r="D1778" t="s">
        <v>204</v>
      </c>
      <c r="F1778" s="12" t="s">
        <v>3278</v>
      </c>
      <c r="G1778" s="10" t="s">
        <v>1358</v>
      </c>
      <c r="H1778" s="10" t="s">
        <v>1358</v>
      </c>
      <c r="K1778" t="s">
        <v>19</v>
      </c>
      <c r="L1778" t="s">
        <v>20</v>
      </c>
      <c r="M1778" s="9">
        <v>8481802</v>
      </c>
      <c r="N1778" t="s">
        <v>3477</v>
      </c>
      <c r="O1778">
        <v>18</v>
      </c>
      <c r="P1778" t="s">
        <v>3477</v>
      </c>
      <c r="Q1778">
        <v>18</v>
      </c>
      <c r="R1778" s="13">
        <v>24850</v>
      </c>
      <c r="S1778" s="13">
        <v>17395</v>
      </c>
    </row>
    <row r="1779" spans="1:19">
      <c r="A1779" s="9" t="s">
        <v>22</v>
      </c>
      <c r="B1779" s="9" t="s">
        <v>27</v>
      </c>
      <c r="C1779" s="9" t="s">
        <v>95</v>
      </c>
      <c r="D1779" t="s">
        <v>204</v>
      </c>
      <c r="F1779" s="12" t="s">
        <v>3279</v>
      </c>
      <c r="G1779" s="10" t="s">
        <v>1359</v>
      </c>
      <c r="H1779" s="10" t="s">
        <v>1359</v>
      </c>
      <c r="K1779" t="s">
        <v>19</v>
      </c>
      <c r="L1779" t="s">
        <v>20</v>
      </c>
      <c r="M1779" s="9">
        <v>8481909</v>
      </c>
      <c r="N1779" t="s">
        <v>3477</v>
      </c>
      <c r="O1779">
        <v>18</v>
      </c>
      <c r="P1779" t="s">
        <v>3477</v>
      </c>
      <c r="Q1779">
        <v>18</v>
      </c>
      <c r="R1779" s="13">
        <v>26720</v>
      </c>
      <c r="S1779" s="13">
        <v>18704</v>
      </c>
    </row>
    <row r="1780" spans="1:19">
      <c r="A1780" s="9" t="s">
        <v>22</v>
      </c>
      <c r="B1780" s="9" t="s">
        <v>27</v>
      </c>
      <c r="C1780" s="9" t="s">
        <v>95</v>
      </c>
      <c r="D1780" t="s">
        <v>204</v>
      </c>
      <c r="F1780" s="12" t="s">
        <v>3280</v>
      </c>
      <c r="G1780" s="10" t="s">
        <v>1360</v>
      </c>
      <c r="H1780" s="10" t="s">
        <v>1360</v>
      </c>
      <c r="K1780" t="s">
        <v>19</v>
      </c>
      <c r="L1780" t="s">
        <v>20</v>
      </c>
      <c r="M1780" s="9">
        <v>8481909</v>
      </c>
      <c r="N1780" t="s">
        <v>3477</v>
      </c>
      <c r="O1780">
        <v>18</v>
      </c>
      <c r="P1780" t="s">
        <v>3477</v>
      </c>
      <c r="Q1780">
        <v>18</v>
      </c>
      <c r="R1780" s="13">
        <v>18520</v>
      </c>
      <c r="S1780" s="13">
        <v>12964</v>
      </c>
    </row>
    <row r="1781" spans="1:19">
      <c r="A1781" s="9" t="s">
        <v>22</v>
      </c>
      <c r="B1781" s="9" t="s">
        <v>27</v>
      </c>
      <c r="C1781" s="9" t="s">
        <v>50</v>
      </c>
      <c r="D1781" t="s">
        <v>204</v>
      </c>
      <c r="F1781" s="12" t="s">
        <v>3281</v>
      </c>
      <c r="G1781" s="10" t="s">
        <v>1360</v>
      </c>
      <c r="H1781" s="10" t="s">
        <v>1360</v>
      </c>
      <c r="K1781" t="s">
        <v>19</v>
      </c>
      <c r="L1781" t="s">
        <v>20</v>
      </c>
      <c r="M1781" s="9">
        <v>8481809</v>
      </c>
      <c r="N1781" t="s">
        <v>3477</v>
      </c>
      <c r="O1781">
        <v>18</v>
      </c>
      <c r="P1781" t="s">
        <v>3477</v>
      </c>
      <c r="Q1781">
        <v>18</v>
      </c>
      <c r="R1781" s="13">
        <v>7666</v>
      </c>
      <c r="S1781" s="13">
        <v>5366.2</v>
      </c>
    </row>
    <row r="1782" spans="1:19">
      <c r="A1782" s="9" t="s">
        <v>22</v>
      </c>
      <c r="B1782" s="9" t="s">
        <v>27</v>
      </c>
      <c r="C1782" s="9" t="s">
        <v>50</v>
      </c>
      <c r="D1782" t="s">
        <v>204</v>
      </c>
      <c r="F1782" s="12" t="s">
        <v>3282</v>
      </c>
      <c r="G1782" s="10" t="s">
        <v>1361</v>
      </c>
      <c r="H1782" s="10" t="s">
        <v>1361</v>
      </c>
      <c r="K1782" t="s">
        <v>19</v>
      </c>
      <c r="L1782" t="s">
        <v>20</v>
      </c>
      <c r="M1782" s="9">
        <v>8481809</v>
      </c>
      <c r="N1782" t="s">
        <v>3477</v>
      </c>
      <c r="O1782">
        <v>18</v>
      </c>
      <c r="P1782" t="s">
        <v>3477</v>
      </c>
      <c r="Q1782">
        <v>18</v>
      </c>
      <c r="R1782" s="13">
        <v>7666</v>
      </c>
      <c r="S1782" s="13">
        <v>5366.2</v>
      </c>
    </row>
    <row r="1783" spans="1:19">
      <c r="A1783" s="9" t="s">
        <v>22</v>
      </c>
      <c r="B1783" s="9" t="s">
        <v>27</v>
      </c>
      <c r="C1783" s="9" t="s">
        <v>50</v>
      </c>
      <c r="D1783" t="s">
        <v>204</v>
      </c>
      <c r="F1783" s="12" t="s">
        <v>3283</v>
      </c>
      <c r="G1783" s="10" t="s">
        <v>1361</v>
      </c>
      <c r="H1783" s="10" t="s">
        <v>1361</v>
      </c>
      <c r="K1783" t="s">
        <v>19</v>
      </c>
      <c r="L1783" t="s">
        <v>20</v>
      </c>
      <c r="M1783" s="9">
        <v>8481809</v>
      </c>
      <c r="N1783" t="s">
        <v>3477</v>
      </c>
      <c r="O1783">
        <v>18</v>
      </c>
      <c r="P1783" t="s">
        <v>3477</v>
      </c>
      <c r="Q1783">
        <v>18</v>
      </c>
      <c r="R1783" s="13">
        <v>6668</v>
      </c>
      <c r="S1783" s="13">
        <v>4667.5999999999995</v>
      </c>
    </row>
    <row r="1784" spans="1:19">
      <c r="A1784" s="9" t="s">
        <v>22</v>
      </c>
      <c r="B1784" s="9" t="s">
        <v>27</v>
      </c>
      <c r="C1784" s="9" t="s">
        <v>50</v>
      </c>
      <c r="D1784" t="s">
        <v>204</v>
      </c>
      <c r="F1784" s="12" t="s">
        <v>3284</v>
      </c>
      <c r="G1784" s="10" t="s">
        <v>1362</v>
      </c>
      <c r="H1784" s="10" t="s">
        <v>1362</v>
      </c>
      <c r="K1784" t="s">
        <v>19</v>
      </c>
      <c r="L1784" t="s">
        <v>20</v>
      </c>
      <c r="M1784" s="9">
        <v>8481809</v>
      </c>
      <c r="N1784" t="s">
        <v>3477</v>
      </c>
      <c r="O1784">
        <v>18</v>
      </c>
      <c r="P1784" t="s">
        <v>3477</v>
      </c>
      <c r="Q1784">
        <v>18</v>
      </c>
      <c r="R1784" s="13">
        <v>6668</v>
      </c>
      <c r="S1784" s="13">
        <v>4667.5999999999995</v>
      </c>
    </row>
    <row r="1785" spans="1:19">
      <c r="A1785" s="9" t="s">
        <v>22</v>
      </c>
      <c r="B1785" s="9" t="s">
        <v>27</v>
      </c>
      <c r="C1785" s="9" t="s">
        <v>95</v>
      </c>
      <c r="D1785" t="s">
        <v>204</v>
      </c>
      <c r="F1785" s="12" t="s">
        <v>3285</v>
      </c>
      <c r="G1785" s="10" t="s">
        <v>1363</v>
      </c>
      <c r="H1785" s="10" t="s">
        <v>1363</v>
      </c>
      <c r="K1785" t="s">
        <v>19</v>
      </c>
      <c r="L1785" t="s">
        <v>20</v>
      </c>
      <c r="M1785" s="9">
        <v>8481802</v>
      </c>
      <c r="N1785" t="s">
        <v>3477</v>
      </c>
      <c r="O1785">
        <v>18</v>
      </c>
      <c r="P1785" t="s">
        <v>3477</v>
      </c>
      <c r="Q1785">
        <v>18</v>
      </c>
      <c r="R1785" s="13">
        <v>17510</v>
      </c>
      <c r="S1785" s="13">
        <v>12257</v>
      </c>
    </row>
    <row r="1786" spans="1:19">
      <c r="A1786" s="9" t="s">
        <v>22</v>
      </c>
      <c r="B1786" s="9" t="s">
        <v>27</v>
      </c>
      <c r="C1786" s="9" t="s">
        <v>95</v>
      </c>
      <c r="D1786" t="s">
        <v>204</v>
      </c>
      <c r="F1786" s="12" t="s">
        <v>3286</v>
      </c>
      <c r="G1786" s="10" t="s">
        <v>1364</v>
      </c>
      <c r="H1786" s="10" t="s">
        <v>1364</v>
      </c>
      <c r="K1786" t="s">
        <v>19</v>
      </c>
      <c r="L1786" t="s">
        <v>20</v>
      </c>
      <c r="M1786" s="9">
        <v>8481909</v>
      </c>
      <c r="N1786" t="s">
        <v>3477</v>
      </c>
      <c r="O1786">
        <v>18</v>
      </c>
      <c r="P1786" t="s">
        <v>3477</v>
      </c>
      <c r="Q1786">
        <v>18</v>
      </c>
      <c r="R1786" s="13">
        <v>12560</v>
      </c>
      <c r="S1786" s="13">
        <v>8792</v>
      </c>
    </row>
    <row r="1787" spans="1:19">
      <c r="A1787" s="9" t="s">
        <v>22</v>
      </c>
      <c r="B1787" s="9" t="s">
        <v>26</v>
      </c>
      <c r="C1787" s="9" t="s">
        <v>201</v>
      </c>
      <c r="D1787" t="s">
        <v>204</v>
      </c>
      <c r="F1787" s="12" t="s">
        <v>3287</v>
      </c>
      <c r="G1787" s="10" t="s">
        <v>1365</v>
      </c>
      <c r="H1787" s="10" t="s">
        <v>1365</v>
      </c>
      <c r="K1787" t="s">
        <v>19</v>
      </c>
      <c r="L1787" t="s">
        <v>20</v>
      </c>
      <c r="M1787" s="9">
        <v>9032891</v>
      </c>
      <c r="N1787" t="s">
        <v>3477</v>
      </c>
      <c r="O1787">
        <v>18</v>
      </c>
      <c r="P1787" t="s">
        <v>3477</v>
      </c>
      <c r="Q1787">
        <v>18</v>
      </c>
      <c r="R1787" s="13">
        <v>49320</v>
      </c>
      <c r="S1787" s="13">
        <v>34524</v>
      </c>
    </row>
    <row r="1788" spans="1:19">
      <c r="A1788" s="9" t="s">
        <v>22</v>
      </c>
      <c r="B1788" s="9" t="s">
        <v>27</v>
      </c>
      <c r="C1788" s="9" t="s">
        <v>50</v>
      </c>
      <c r="D1788" t="s">
        <v>204</v>
      </c>
      <c r="F1788" s="12" t="s">
        <v>3288</v>
      </c>
      <c r="G1788" s="10" t="s">
        <v>1365</v>
      </c>
      <c r="H1788" s="10" t="s">
        <v>1365</v>
      </c>
      <c r="K1788" t="s">
        <v>19</v>
      </c>
      <c r="L1788" t="s">
        <v>20</v>
      </c>
      <c r="M1788" s="9">
        <v>8481809</v>
      </c>
      <c r="N1788" t="s">
        <v>3477</v>
      </c>
      <c r="O1788">
        <v>18</v>
      </c>
      <c r="P1788" t="s">
        <v>3477</v>
      </c>
      <c r="Q1788">
        <v>18</v>
      </c>
      <c r="R1788" s="13">
        <v>6107</v>
      </c>
      <c r="S1788" s="13">
        <v>4274.8999999999996</v>
      </c>
    </row>
    <row r="1789" spans="1:19">
      <c r="A1789" s="9" t="s">
        <v>22</v>
      </c>
      <c r="B1789" s="9" t="s">
        <v>27</v>
      </c>
      <c r="C1789" s="9" t="s">
        <v>50</v>
      </c>
      <c r="D1789" t="s">
        <v>204</v>
      </c>
      <c r="F1789" s="12" t="s">
        <v>3289</v>
      </c>
      <c r="G1789" s="10" t="s">
        <v>1366</v>
      </c>
      <c r="H1789" s="10" t="s">
        <v>1366</v>
      </c>
      <c r="K1789" t="s">
        <v>19</v>
      </c>
      <c r="L1789" t="s">
        <v>20</v>
      </c>
      <c r="M1789" s="9">
        <v>8481802</v>
      </c>
      <c r="N1789" t="s">
        <v>3477</v>
      </c>
      <c r="O1789">
        <v>18</v>
      </c>
      <c r="P1789" t="s">
        <v>3477</v>
      </c>
      <c r="Q1789">
        <v>18</v>
      </c>
      <c r="R1789" s="13">
        <v>3270</v>
      </c>
      <c r="S1789" s="13">
        <v>2289</v>
      </c>
    </row>
    <row r="1790" spans="1:19">
      <c r="A1790" s="9" t="s">
        <v>22</v>
      </c>
      <c r="B1790" s="9" t="s">
        <v>30</v>
      </c>
      <c r="C1790" s="9" t="s">
        <v>50</v>
      </c>
      <c r="D1790" t="s">
        <v>204</v>
      </c>
      <c r="F1790" s="12" t="s">
        <v>3290</v>
      </c>
      <c r="G1790" s="10" t="s">
        <v>1367</v>
      </c>
      <c r="H1790" s="10" t="s">
        <v>1367</v>
      </c>
      <c r="K1790" t="s">
        <v>19</v>
      </c>
      <c r="L1790" t="s">
        <v>20</v>
      </c>
      <c r="M1790" s="9">
        <v>730729</v>
      </c>
      <c r="N1790" t="s">
        <v>3477</v>
      </c>
      <c r="O1790">
        <v>18</v>
      </c>
      <c r="P1790" t="s">
        <v>3477</v>
      </c>
      <c r="Q1790">
        <v>18</v>
      </c>
      <c r="R1790" s="13">
        <v>3780</v>
      </c>
      <c r="S1790" s="13">
        <v>2646</v>
      </c>
    </row>
    <row r="1791" spans="1:19">
      <c r="A1791" s="9" t="s">
        <v>22</v>
      </c>
      <c r="B1791" s="9" t="s">
        <v>27</v>
      </c>
      <c r="C1791" s="9" t="s">
        <v>50</v>
      </c>
      <c r="D1791" t="s">
        <v>204</v>
      </c>
      <c r="F1791" s="12" t="s">
        <v>3291</v>
      </c>
      <c r="G1791" s="10" t="s">
        <v>1367</v>
      </c>
      <c r="H1791" s="10" t="s">
        <v>1367</v>
      </c>
      <c r="K1791" t="s">
        <v>19</v>
      </c>
      <c r="L1791" t="s">
        <v>20</v>
      </c>
      <c r="M1791" s="9">
        <v>39229</v>
      </c>
      <c r="N1791" t="s">
        <v>3477</v>
      </c>
      <c r="O1791">
        <v>18</v>
      </c>
      <c r="P1791" t="s">
        <v>3477</v>
      </c>
      <c r="Q1791">
        <v>18</v>
      </c>
      <c r="R1791" s="13">
        <v>1128</v>
      </c>
      <c r="S1791" s="13">
        <v>789.59999999999991</v>
      </c>
    </row>
    <row r="1792" spans="1:19">
      <c r="A1792" s="9" t="s">
        <v>22</v>
      </c>
      <c r="B1792" s="9" t="s">
        <v>27</v>
      </c>
      <c r="C1792" s="9" t="s">
        <v>50</v>
      </c>
      <c r="D1792" t="s">
        <v>204</v>
      </c>
      <c r="F1792" s="12" t="s">
        <v>3292</v>
      </c>
      <c r="G1792" s="10" t="s">
        <v>1368</v>
      </c>
      <c r="H1792" s="10" t="s">
        <v>1368</v>
      </c>
      <c r="K1792" t="s">
        <v>19</v>
      </c>
      <c r="L1792" t="s">
        <v>20</v>
      </c>
      <c r="M1792" s="9">
        <v>8481809</v>
      </c>
      <c r="N1792" t="s">
        <v>3477</v>
      </c>
      <c r="O1792">
        <v>18</v>
      </c>
      <c r="P1792" t="s">
        <v>3477</v>
      </c>
      <c r="Q1792">
        <v>18</v>
      </c>
      <c r="R1792" s="13">
        <v>986</v>
      </c>
      <c r="S1792" s="13">
        <v>690.19999999999993</v>
      </c>
    </row>
    <row r="1793" spans="1:19">
      <c r="A1793" s="9" t="s">
        <v>23</v>
      </c>
      <c r="B1793" s="9" t="s">
        <v>27</v>
      </c>
      <c r="C1793" s="9" t="s">
        <v>100</v>
      </c>
      <c r="D1793" t="s">
        <v>204</v>
      </c>
      <c r="F1793" s="12" t="s">
        <v>3293</v>
      </c>
      <c r="G1793" s="10" t="s">
        <v>1369</v>
      </c>
      <c r="H1793" s="10" t="s">
        <v>1369</v>
      </c>
      <c r="K1793" t="s">
        <v>19</v>
      </c>
      <c r="L1793" t="s">
        <v>20</v>
      </c>
      <c r="M1793" s="9">
        <v>8481801</v>
      </c>
      <c r="N1793" t="s">
        <v>3477</v>
      </c>
      <c r="O1793">
        <v>18</v>
      </c>
      <c r="P1793" t="s">
        <v>3477</v>
      </c>
      <c r="Q1793">
        <v>18</v>
      </c>
      <c r="R1793" s="13">
        <v>40530</v>
      </c>
      <c r="S1793" s="13">
        <v>24318</v>
      </c>
    </row>
    <row r="1794" spans="1:19">
      <c r="A1794" s="9" t="s">
        <v>22</v>
      </c>
      <c r="B1794" s="9" t="s">
        <v>27</v>
      </c>
      <c r="C1794" s="9" t="s">
        <v>50</v>
      </c>
      <c r="D1794" t="s">
        <v>204</v>
      </c>
      <c r="F1794" s="12" t="s">
        <v>3294</v>
      </c>
      <c r="G1794" s="10" t="s">
        <v>1370</v>
      </c>
      <c r="H1794" s="10" t="s">
        <v>1370</v>
      </c>
      <c r="K1794" t="s">
        <v>19</v>
      </c>
      <c r="L1794" t="s">
        <v>20</v>
      </c>
      <c r="M1794" s="9">
        <v>8481809</v>
      </c>
      <c r="N1794" t="s">
        <v>3477</v>
      </c>
      <c r="O1794">
        <v>18</v>
      </c>
      <c r="P1794" t="s">
        <v>3477</v>
      </c>
      <c r="Q1794">
        <v>18</v>
      </c>
      <c r="R1794" s="13">
        <v>909</v>
      </c>
      <c r="S1794" s="13">
        <v>636.29999999999995</v>
      </c>
    </row>
    <row r="1795" spans="1:19">
      <c r="A1795" s="9" t="s">
        <v>22</v>
      </c>
      <c r="B1795" s="9" t="s">
        <v>27</v>
      </c>
      <c r="C1795" s="9" t="s">
        <v>50</v>
      </c>
      <c r="D1795" t="s">
        <v>204</v>
      </c>
      <c r="F1795" s="12" t="s">
        <v>3295</v>
      </c>
      <c r="G1795" s="10" t="s">
        <v>1263</v>
      </c>
      <c r="H1795" s="10" t="s">
        <v>1263</v>
      </c>
      <c r="K1795" t="s">
        <v>19</v>
      </c>
      <c r="L1795" t="s">
        <v>20</v>
      </c>
      <c r="M1795" s="9">
        <v>39229</v>
      </c>
      <c r="N1795" t="s">
        <v>3477</v>
      </c>
      <c r="O1795">
        <v>18</v>
      </c>
      <c r="P1795" t="s">
        <v>3477</v>
      </c>
      <c r="Q1795">
        <v>18</v>
      </c>
      <c r="R1795" s="13">
        <v>901</v>
      </c>
      <c r="S1795" s="13">
        <v>630.69999999999993</v>
      </c>
    </row>
    <row r="1796" spans="1:19">
      <c r="A1796" s="9" t="s">
        <v>22</v>
      </c>
      <c r="B1796" s="9" t="s">
        <v>27</v>
      </c>
      <c r="C1796" s="9" t="s">
        <v>50</v>
      </c>
      <c r="D1796" t="s">
        <v>204</v>
      </c>
      <c r="F1796" s="12" t="s">
        <v>3296</v>
      </c>
      <c r="G1796" s="10" t="s">
        <v>1371</v>
      </c>
      <c r="H1796" s="10" t="s">
        <v>1371</v>
      </c>
      <c r="K1796" t="s">
        <v>19</v>
      </c>
      <c r="L1796" t="s">
        <v>20</v>
      </c>
      <c r="M1796" s="9">
        <v>7418202</v>
      </c>
      <c r="N1796" t="s">
        <v>3477</v>
      </c>
      <c r="O1796">
        <v>18</v>
      </c>
      <c r="P1796" t="s">
        <v>3477</v>
      </c>
      <c r="Q1796">
        <v>18</v>
      </c>
      <c r="R1796" s="13">
        <v>8269</v>
      </c>
      <c r="S1796" s="13">
        <v>5788.2999999999993</v>
      </c>
    </row>
    <row r="1797" spans="1:19">
      <c r="A1797" s="9" t="s">
        <v>24</v>
      </c>
      <c r="B1797" s="9" t="s">
        <v>27</v>
      </c>
      <c r="C1797" s="9" t="s">
        <v>63</v>
      </c>
      <c r="D1797" t="s">
        <v>204</v>
      </c>
      <c r="F1797" s="12" t="s">
        <v>3297</v>
      </c>
      <c r="G1797" s="10" t="s">
        <v>1372</v>
      </c>
      <c r="H1797" s="10" t="s">
        <v>1372</v>
      </c>
      <c r="K1797" t="s">
        <v>19</v>
      </c>
      <c r="L1797" t="s">
        <v>20</v>
      </c>
      <c r="M1797" s="9">
        <v>8481802</v>
      </c>
      <c r="N1797" t="s">
        <v>3477</v>
      </c>
      <c r="O1797">
        <v>18</v>
      </c>
      <c r="P1797" t="s">
        <v>3477</v>
      </c>
      <c r="Q1797">
        <v>18</v>
      </c>
      <c r="R1797" s="13">
        <v>4200</v>
      </c>
      <c r="S1797" s="13">
        <v>3150</v>
      </c>
    </row>
    <row r="1798" spans="1:19">
      <c r="A1798" s="9" t="s">
        <v>22</v>
      </c>
      <c r="B1798" s="9" t="s">
        <v>27</v>
      </c>
      <c r="C1798" s="9" t="s">
        <v>64</v>
      </c>
      <c r="D1798" t="s">
        <v>204</v>
      </c>
      <c r="F1798" s="12" t="s">
        <v>3298</v>
      </c>
      <c r="G1798" s="10" t="s">
        <v>1373</v>
      </c>
      <c r="H1798" s="10" t="s">
        <v>1373</v>
      </c>
      <c r="K1798" t="s">
        <v>19</v>
      </c>
      <c r="L1798" t="s">
        <v>20</v>
      </c>
      <c r="M1798" s="9">
        <v>8481801</v>
      </c>
      <c r="N1798" t="s">
        <v>3477</v>
      </c>
      <c r="O1798">
        <v>18</v>
      </c>
      <c r="P1798" t="s">
        <v>3477</v>
      </c>
      <c r="Q1798">
        <v>18</v>
      </c>
      <c r="R1798" s="13">
        <v>4000</v>
      </c>
      <c r="S1798" s="13">
        <v>2800</v>
      </c>
    </row>
    <row r="1799" spans="1:19">
      <c r="A1799" s="9" t="s">
        <v>22</v>
      </c>
      <c r="B1799" s="9" t="s">
        <v>27</v>
      </c>
      <c r="C1799" s="9" t="s">
        <v>178</v>
      </c>
      <c r="D1799" t="s">
        <v>204</v>
      </c>
      <c r="F1799" s="12" t="s">
        <v>3299</v>
      </c>
      <c r="G1799" s="10" t="s">
        <v>1374</v>
      </c>
      <c r="H1799" s="10" t="s">
        <v>1374</v>
      </c>
      <c r="K1799" t="s">
        <v>19</v>
      </c>
      <c r="L1799" t="s">
        <v>20</v>
      </c>
      <c r="M1799" s="9">
        <v>8481802</v>
      </c>
      <c r="N1799" t="s">
        <v>3477</v>
      </c>
      <c r="O1799">
        <v>18</v>
      </c>
      <c r="P1799" t="s">
        <v>3477</v>
      </c>
      <c r="Q1799">
        <v>18</v>
      </c>
      <c r="R1799" s="13">
        <v>12500</v>
      </c>
      <c r="S1799" s="13">
        <v>8750</v>
      </c>
    </row>
    <row r="1800" spans="1:19">
      <c r="A1800" s="9" t="s">
        <v>22</v>
      </c>
      <c r="B1800" s="9" t="s">
        <v>26</v>
      </c>
      <c r="C1800" s="9" t="s">
        <v>80</v>
      </c>
      <c r="D1800" t="s">
        <v>204</v>
      </c>
      <c r="F1800" s="12" t="s">
        <v>3300</v>
      </c>
      <c r="G1800" s="10" t="s">
        <v>1375</v>
      </c>
      <c r="H1800" s="10" t="s">
        <v>1375</v>
      </c>
      <c r="K1800" t="s">
        <v>19</v>
      </c>
      <c r="L1800" t="s">
        <v>20</v>
      </c>
      <c r="M1800" s="9">
        <v>69101</v>
      </c>
      <c r="N1800" t="s">
        <v>3477</v>
      </c>
      <c r="O1800">
        <v>18</v>
      </c>
      <c r="P1800" t="s">
        <v>3477</v>
      </c>
      <c r="Q1800">
        <v>18</v>
      </c>
      <c r="R1800" s="13">
        <v>12000</v>
      </c>
      <c r="S1800" s="13">
        <v>8400</v>
      </c>
    </row>
    <row r="1801" spans="1:19">
      <c r="A1801" s="9" t="s">
        <v>23</v>
      </c>
      <c r="B1801" s="9" t="s">
        <v>26</v>
      </c>
      <c r="C1801" s="9" t="s">
        <v>80</v>
      </c>
      <c r="D1801" t="s">
        <v>204</v>
      </c>
      <c r="F1801" s="12" t="s">
        <v>3301</v>
      </c>
      <c r="G1801" s="10" t="s">
        <v>1376</v>
      </c>
      <c r="H1801" s="10" t="s">
        <v>1376</v>
      </c>
      <c r="K1801" t="s">
        <v>19</v>
      </c>
      <c r="L1801" t="s">
        <v>20</v>
      </c>
      <c r="M1801" s="9">
        <v>69101</v>
      </c>
      <c r="N1801" t="s">
        <v>3477</v>
      </c>
      <c r="O1801">
        <v>18</v>
      </c>
      <c r="P1801" t="s">
        <v>3477</v>
      </c>
      <c r="Q1801">
        <v>18</v>
      </c>
      <c r="R1801" s="13">
        <v>50000</v>
      </c>
      <c r="S1801" s="13">
        <v>30000</v>
      </c>
    </row>
    <row r="1802" spans="1:19">
      <c r="A1802" s="9" t="s">
        <v>22</v>
      </c>
      <c r="B1802" s="9" t="s">
        <v>26</v>
      </c>
      <c r="C1802" s="9" t="s">
        <v>80</v>
      </c>
      <c r="D1802" t="s">
        <v>204</v>
      </c>
      <c r="F1802" s="12" t="s">
        <v>3302</v>
      </c>
      <c r="G1802" s="10" t="s">
        <v>1377</v>
      </c>
      <c r="H1802" s="10" t="s">
        <v>1377</v>
      </c>
      <c r="K1802" t="s">
        <v>19</v>
      </c>
      <c r="L1802" t="s">
        <v>20</v>
      </c>
      <c r="M1802" s="9">
        <v>69101</v>
      </c>
      <c r="N1802" t="s">
        <v>3477</v>
      </c>
      <c r="O1802">
        <v>18</v>
      </c>
      <c r="P1802" t="s">
        <v>3477</v>
      </c>
      <c r="Q1802">
        <v>18</v>
      </c>
      <c r="R1802" s="13">
        <v>12000</v>
      </c>
      <c r="S1802" s="13">
        <v>8400</v>
      </c>
    </row>
    <row r="1803" spans="1:19">
      <c r="A1803" s="9" t="s">
        <v>22</v>
      </c>
      <c r="B1803" s="9" t="s">
        <v>27</v>
      </c>
      <c r="C1803" s="9" t="s">
        <v>189</v>
      </c>
      <c r="D1803" t="s">
        <v>204</v>
      </c>
      <c r="F1803" s="12" t="s">
        <v>3303</v>
      </c>
      <c r="G1803" s="10" t="s">
        <v>1378</v>
      </c>
      <c r="H1803" s="10" t="s">
        <v>1378</v>
      </c>
      <c r="K1803" t="s">
        <v>19</v>
      </c>
      <c r="L1803" t="s">
        <v>20</v>
      </c>
      <c r="M1803" s="9">
        <v>7418202</v>
      </c>
      <c r="N1803" t="s">
        <v>3477</v>
      </c>
      <c r="O1803">
        <v>18</v>
      </c>
      <c r="P1803" t="s">
        <v>3477</v>
      </c>
      <c r="Q1803">
        <v>18</v>
      </c>
      <c r="R1803" s="13">
        <v>3500</v>
      </c>
      <c r="S1803" s="13">
        <v>2450</v>
      </c>
    </row>
    <row r="1804" spans="1:19">
      <c r="A1804" s="9" t="s">
        <v>22</v>
      </c>
      <c r="B1804" s="9" t="s">
        <v>27</v>
      </c>
      <c r="C1804" s="9" t="s">
        <v>189</v>
      </c>
      <c r="D1804" t="s">
        <v>204</v>
      </c>
      <c r="F1804" s="12" t="s">
        <v>3304</v>
      </c>
      <c r="G1804" s="10" t="s">
        <v>1379</v>
      </c>
      <c r="H1804" s="10" t="s">
        <v>1379</v>
      </c>
      <c r="K1804" t="s">
        <v>19</v>
      </c>
      <c r="L1804" t="s">
        <v>20</v>
      </c>
      <c r="M1804" s="9">
        <v>7326903</v>
      </c>
      <c r="N1804" t="s">
        <v>3477</v>
      </c>
      <c r="O1804">
        <v>18</v>
      </c>
      <c r="P1804" t="s">
        <v>3477</v>
      </c>
      <c r="Q1804">
        <v>18</v>
      </c>
      <c r="R1804" s="13">
        <v>8000</v>
      </c>
      <c r="S1804" s="13">
        <v>5600</v>
      </c>
    </row>
    <row r="1805" spans="1:19">
      <c r="A1805" s="9" t="s">
        <v>22</v>
      </c>
      <c r="B1805" s="9" t="s">
        <v>27</v>
      </c>
      <c r="C1805" s="9" t="s">
        <v>50</v>
      </c>
      <c r="D1805" t="s">
        <v>204</v>
      </c>
      <c r="F1805" s="12" t="s">
        <v>3305</v>
      </c>
      <c r="G1805" s="10" t="s">
        <v>1380</v>
      </c>
      <c r="H1805" s="10" t="s">
        <v>1380</v>
      </c>
      <c r="K1805" t="s">
        <v>19</v>
      </c>
      <c r="L1805" t="s">
        <v>20</v>
      </c>
      <c r="M1805" s="9">
        <v>8481809</v>
      </c>
      <c r="N1805" t="s">
        <v>3477</v>
      </c>
      <c r="O1805">
        <v>18</v>
      </c>
      <c r="P1805" t="s">
        <v>3477</v>
      </c>
      <c r="Q1805">
        <v>18</v>
      </c>
      <c r="R1805" s="13">
        <v>16364</v>
      </c>
      <c r="S1805" s="13">
        <v>11454.8</v>
      </c>
    </row>
    <row r="1806" spans="1:19">
      <c r="A1806" s="9" t="s">
        <v>22</v>
      </c>
      <c r="B1806" s="9" t="s">
        <v>27</v>
      </c>
      <c r="C1806" s="9" t="s">
        <v>64</v>
      </c>
      <c r="D1806" t="s">
        <v>204</v>
      </c>
      <c r="F1806" s="12" t="s">
        <v>3306</v>
      </c>
      <c r="G1806" s="10" t="s">
        <v>1381</v>
      </c>
      <c r="H1806" s="10" t="s">
        <v>1381</v>
      </c>
      <c r="K1806" t="s">
        <v>19</v>
      </c>
      <c r="L1806" t="s">
        <v>20</v>
      </c>
      <c r="M1806" s="9">
        <v>39229</v>
      </c>
      <c r="N1806" t="s">
        <v>3477</v>
      </c>
      <c r="O1806">
        <v>18</v>
      </c>
      <c r="P1806" t="s">
        <v>3477</v>
      </c>
      <c r="Q1806">
        <v>18</v>
      </c>
      <c r="R1806" s="13">
        <v>1870</v>
      </c>
      <c r="S1806" s="13">
        <v>1309</v>
      </c>
    </row>
    <row r="1807" spans="1:19">
      <c r="A1807" s="9" t="s">
        <v>22</v>
      </c>
      <c r="B1807" s="9" t="s">
        <v>27</v>
      </c>
      <c r="C1807" s="9" t="s">
        <v>64</v>
      </c>
      <c r="D1807" t="s">
        <v>204</v>
      </c>
      <c r="F1807" s="12" t="s">
        <v>3307</v>
      </c>
      <c r="G1807" s="10" t="s">
        <v>1382</v>
      </c>
      <c r="H1807" s="10" t="s">
        <v>1382</v>
      </c>
      <c r="K1807" t="s">
        <v>19</v>
      </c>
      <c r="L1807" t="s">
        <v>20</v>
      </c>
      <c r="M1807" s="9">
        <v>39229</v>
      </c>
      <c r="N1807" t="s">
        <v>3477</v>
      </c>
      <c r="O1807">
        <v>18</v>
      </c>
      <c r="P1807" t="s">
        <v>3477</v>
      </c>
      <c r="Q1807">
        <v>18</v>
      </c>
      <c r="R1807" s="13">
        <v>1700</v>
      </c>
      <c r="S1807" s="13">
        <v>1190</v>
      </c>
    </row>
    <row r="1808" spans="1:19">
      <c r="A1808" s="9" t="s">
        <v>22</v>
      </c>
      <c r="B1808" s="9" t="s">
        <v>27</v>
      </c>
      <c r="C1808" s="9" t="s">
        <v>50</v>
      </c>
      <c r="D1808" t="s">
        <v>204</v>
      </c>
      <c r="F1808" s="12" t="s">
        <v>3308</v>
      </c>
      <c r="G1808" s="10" t="s">
        <v>1383</v>
      </c>
      <c r="H1808" s="10" t="s">
        <v>1383</v>
      </c>
      <c r="K1808" t="s">
        <v>19</v>
      </c>
      <c r="L1808" t="s">
        <v>20</v>
      </c>
      <c r="M1808" s="9">
        <v>7418202</v>
      </c>
      <c r="N1808" t="s">
        <v>3477</v>
      </c>
      <c r="O1808">
        <v>18</v>
      </c>
      <c r="P1808" t="s">
        <v>3477</v>
      </c>
      <c r="Q1808">
        <v>18</v>
      </c>
      <c r="R1808" s="13">
        <v>106</v>
      </c>
      <c r="S1808" s="13">
        <v>74.199999999999989</v>
      </c>
    </row>
    <row r="1809" spans="1:19">
      <c r="A1809" s="9" t="s">
        <v>22</v>
      </c>
      <c r="B1809" s="9" t="s">
        <v>31</v>
      </c>
      <c r="C1809" s="9" t="s">
        <v>50</v>
      </c>
      <c r="D1809" t="s">
        <v>204</v>
      </c>
      <c r="F1809" s="12" t="s">
        <v>3309</v>
      </c>
      <c r="G1809" s="10" t="s">
        <v>470</v>
      </c>
      <c r="H1809" s="10" t="s">
        <v>470</v>
      </c>
      <c r="K1809" t="s">
        <v>19</v>
      </c>
      <c r="L1809" t="s">
        <v>20</v>
      </c>
      <c r="M1809" s="9">
        <v>39229</v>
      </c>
      <c r="N1809" t="s">
        <v>3477</v>
      </c>
      <c r="O1809">
        <v>18</v>
      </c>
      <c r="P1809" t="s">
        <v>3477</v>
      </c>
      <c r="Q1809">
        <v>18</v>
      </c>
      <c r="R1809" s="13">
        <v>3632</v>
      </c>
      <c r="S1809" s="13">
        <v>2542.3999999999996</v>
      </c>
    </row>
    <row r="1810" spans="1:19">
      <c r="A1810" s="9" t="s">
        <v>22</v>
      </c>
      <c r="B1810" s="9" t="s">
        <v>30</v>
      </c>
      <c r="C1810" s="9" t="s">
        <v>50</v>
      </c>
      <c r="D1810" t="s">
        <v>204</v>
      </c>
      <c r="F1810" s="12" t="s">
        <v>3310</v>
      </c>
      <c r="G1810" s="10" t="s">
        <v>1382</v>
      </c>
      <c r="H1810" s="10" t="s">
        <v>1382</v>
      </c>
      <c r="K1810" t="s">
        <v>19</v>
      </c>
      <c r="L1810" t="s">
        <v>20</v>
      </c>
      <c r="M1810" s="9">
        <v>39229</v>
      </c>
      <c r="N1810" t="s">
        <v>3477</v>
      </c>
      <c r="O1810">
        <v>18</v>
      </c>
      <c r="P1810" t="s">
        <v>3477</v>
      </c>
      <c r="Q1810">
        <v>18</v>
      </c>
      <c r="R1810" s="13">
        <v>63</v>
      </c>
      <c r="S1810" s="13">
        <v>44.099999999999994</v>
      </c>
    </row>
    <row r="1811" spans="1:19">
      <c r="A1811" s="9" t="s">
        <v>22</v>
      </c>
      <c r="B1811" s="9" t="s">
        <v>30</v>
      </c>
      <c r="C1811" s="9"/>
      <c r="D1811" t="s">
        <v>204</v>
      </c>
      <c r="F1811" s="12" t="s">
        <v>3311</v>
      </c>
      <c r="G1811" s="10" t="s">
        <v>1384</v>
      </c>
      <c r="H1811" s="10" t="s">
        <v>1384</v>
      </c>
      <c r="K1811" t="s">
        <v>19</v>
      </c>
      <c r="L1811" t="s">
        <v>20</v>
      </c>
      <c r="M1811" s="9">
        <v>39229</v>
      </c>
      <c r="N1811" t="s">
        <v>3477</v>
      </c>
      <c r="O1811">
        <v>18</v>
      </c>
      <c r="P1811" t="s">
        <v>3477</v>
      </c>
      <c r="Q1811">
        <v>18</v>
      </c>
      <c r="R1811" s="13">
        <v>44</v>
      </c>
      <c r="S1811" s="13">
        <v>30.799999999999997</v>
      </c>
    </row>
    <row r="1812" spans="1:19">
      <c r="A1812" s="9" t="s">
        <v>22</v>
      </c>
      <c r="B1812" s="9" t="s">
        <v>27</v>
      </c>
      <c r="C1812" s="9" t="s">
        <v>50</v>
      </c>
      <c r="D1812" t="s">
        <v>204</v>
      </c>
      <c r="F1812" s="12" t="s">
        <v>3312</v>
      </c>
      <c r="G1812" s="10" t="s">
        <v>1385</v>
      </c>
      <c r="H1812" s="10" t="s">
        <v>1385</v>
      </c>
      <c r="K1812" t="s">
        <v>19</v>
      </c>
      <c r="L1812" t="s">
        <v>20</v>
      </c>
      <c r="M1812" s="9">
        <v>8481809</v>
      </c>
      <c r="N1812" t="s">
        <v>3477</v>
      </c>
      <c r="O1812">
        <v>18</v>
      </c>
      <c r="P1812" t="s">
        <v>3477</v>
      </c>
      <c r="Q1812">
        <v>18</v>
      </c>
      <c r="R1812" s="13">
        <v>419</v>
      </c>
      <c r="S1812" s="13">
        <v>293.29999999999995</v>
      </c>
    </row>
    <row r="1813" spans="1:19">
      <c r="A1813" s="9" t="s">
        <v>23</v>
      </c>
      <c r="B1813" s="9" t="s">
        <v>26</v>
      </c>
      <c r="C1813" s="9" t="s">
        <v>43</v>
      </c>
      <c r="D1813" t="s">
        <v>204</v>
      </c>
      <c r="F1813" s="12" t="s">
        <v>3313</v>
      </c>
      <c r="G1813" s="10" t="s">
        <v>1386</v>
      </c>
      <c r="H1813" s="10" t="s">
        <v>1386</v>
      </c>
      <c r="K1813" t="s">
        <v>19</v>
      </c>
      <c r="L1813" t="s">
        <v>20</v>
      </c>
      <c r="M1813" s="9">
        <v>69101</v>
      </c>
      <c r="N1813" t="s">
        <v>3477</v>
      </c>
      <c r="O1813">
        <v>18</v>
      </c>
      <c r="P1813" t="s">
        <v>3477</v>
      </c>
      <c r="Q1813">
        <v>18</v>
      </c>
      <c r="R1813" s="13">
        <v>38000</v>
      </c>
      <c r="S1813" s="13">
        <v>22800</v>
      </c>
    </row>
    <row r="1814" spans="1:19">
      <c r="A1814" s="9" t="s">
        <v>23</v>
      </c>
      <c r="B1814" s="9" t="s">
        <v>26</v>
      </c>
      <c r="C1814" s="9" t="s">
        <v>43</v>
      </c>
      <c r="D1814" t="s">
        <v>204</v>
      </c>
      <c r="F1814" s="12" t="s">
        <v>3314</v>
      </c>
      <c r="G1814" s="10" t="s">
        <v>1387</v>
      </c>
      <c r="H1814" s="10" t="s">
        <v>1387</v>
      </c>
      <c r="K1814" t="s">
        <v>19</v>
      </c>
      <c r="L1814" t="s">
        <v>20</v>
      </c>
      <c r="M1814" s="9">
        <v>69101</v>
      </c>
      <c r="N1814" t="s">
        <v>3477</v>
      </c>
      <c r="O1814">
        <v>18</v>
      </c>
      <c r="P1814" t="s">
        <v>3477</v>
      </c>
      <c r="Q1814">
        <v>18</v>
      </c>
      <c r="R1814" s="13">
        <v>43700</v>
      </c>
      <c r="S1814" s="13">
        <v>26220</v>
      </c>
    </row>
    <row r="1815" spans="1:19">
      <c r="A1815" s="9" t="s">
        <v>23</v>
      </c>
      <c r="B1815" s="9" t="s">
        <v>26</v>
      </c>
      <c r="C1815" s="9" t="s">
        <v>43</v>
      </c>
      <c r="D1815" t="s">
        <v>204</v>
      </c>
      <c r="F1815" s="12" t="s">
        <v>3315</v>
      </c>
      <c r="G1815" s="10" t="s">
        <v>1388</v>
      </c>
      <c r="H1815" s="10" t="s">
        <v>1388</v>
      </c>
      <c r="K1815" t="s">
        <v>19</v>
      </c>
      <c r="L1815" t="s">
        <v>20</v>
      </c>
      <c r="M1815" s="9">
        <v>69101</v>
      </c>
      <c r="N1815" t="s">
        <v>3477</v>
      </c>
      <c r="O1815">
        <v>18</v>
      </c>
      <c r="P1815" t="s">
        <v>3477</v>
      </c>
      <c r="Q1815">
        <v>18</v>
      </c>
      <c r="R1815" s="13">
        <v>43700</v>
      </c>
      <c r="S1815" s="13">
        <v>26220</v>
      </c>
    </row>
    <row r="1816" spans="1:19">
      <c r="A1816" s="9" t="s">
        <v>23</v>
      </c>
      <c r="B1816" s="9" t="s">
        <v>26</v>
      </c>
      <c r="C1816" s="9" t="s">
        <v>43</v>
      </c>
      <c r="D1816" t="s">
        <v>204</v>
      </c>
      <c r="F1816" s="12" t="s">
        <v>3316</v>
      </c>
      <c r="G1816" s="10" t="s">
        <v>1389</v>
      </c>
      <c r="H1816" s="10" t="s">
        <v>1389</v>
      </c>
      <c r="K1816" t="s">
        <v>19</v>
      </c>
      <c r="L1816" t="s">
        <v>20</v>
      </c>
      <c r="M1816" s="9">
        <v>69101</v>
      </c>
      <c r="N1816" t="s">
        <v>3477</v>
      </c>
      <c r="O1816">
        <v>18</v>
      </c>
      <c r="P1816" t="s">
        <v>3477</v>
      </c>
      <c r="Q1816">
        <v>18</v>
      </c>
      <c r="R1816" s="13">
        <v>38000</v>
      </c>
      <c r="S1816" s="13">
        <v>22800</v>
      </c>
    </row>
    <row r="1817" spans="1:19">
      <c r="A1817" s="9" t="s">
        <v>23</v>
      </c>
      <c r="B1817" s="9" t="s">
        <v>26</v>
      </c>
      <c r="C1817" s="9" t="s">
        <v>82</v>
      </c>
      <c r="D1817" t="s">
        <v>204</v>
      </c>
      <c r="F1817" s="12" t="s">
        <v>3317</v>
      </c>
      <c r="G1817" s="10" t="s">
        <v>1390</v>
      </c>
      <c r="H1817" s="10" t="s">
        <v>1390</v>
      </c>
      <c r="K1817" t="s">
        <v>19</v>
      </c>
      <c r="L1817" t="s">
        <v>20</v>
      </c>
      <c r="M1817" s="9">
        <v>69101</v>
      </c>
      <c r="N1817" t="s">
        <v>3477</v>
      </c>
      <c r="O1817">
        <v>18</v>
      </c>
      <c r="P1817" t="s">
        <v>3477</v>
      </c>
      <c r="Q1817">
        <v>18</v>
      </c>
      <c r="R1817" s="13">
        <v>125000</v>
      </c>
      <c r="S1817" s="13">
        <v>75000</v>
      </c>
    </row>
    <row r="1818" spans="1:19">
      <c r="A1818" s="9" t="s">
        <v>23</v>
      </c>
      <c r="B1818" s="9" t="s">
        <v>26</v>
      </c>
      <c r="C1818" s="9" t="s">
        <v>82</v>
      </c>
      <c r="D1818" t="s">
        <v>204</v>
      </c>
      <c r="F1818" s="12" t="s">
        <v>3318</v>
      </c>
      <c r="G1818" s="10" t="s">
        <v>1391</v>
      </c>
      <c r="H1818" s="10" t="s">
        <v>1391</v>
      </c>
      <c r="K1818" t="s">
        <v>19</v>
      </c>
      <c r="L1818" t="s">
        <v>20</v>
      </c>
      <c r="M1818" s="9">
        <v>69101</v>
      </c>
      <c r="N1818" t="s">
        <v>3477</v>
      </c>
      <c r="O1818">
        <v>18</v>
      </c>
      <c r="P1818" t="s">
        <v>3477</v>
      </c>
      <c r="Q1818">
        <v>18</v>
      </c>
      <c r="R1818" s="13">
        <v>180000</v>
      </c>
      <c r="S1818" s="13">
        <v>108000</v>
      </c>
    </row>
    <row r="1819" spans="1:19">
      <c r="A1819" s="9" t="s">
        <v>23</v>
      </c>
      <c r="B1819" s="9" t="s">
        <v>26</v>
      </c>
      <c r="C1819" s="9" t="s">
        <v>82</v>
      </c>
      <c r="D1819" t="s">
        <v>204</v>
      </c>
      <c r="F1819" s="12" t="s">
        <v>3319</v>
      </c>
      <c r="G1819" s="10" t="s">
        <v>1392</v>
      </c>
      <c r="H1819" s="10" t="s">
        <v>1392</v>
      </c>
      <c r="K1819" t="s">
        <v>19</v>
      </c>
      <c r="L1819" t="s">
        <v>20</v>
      </c>
      <c r="M1819" s="9">
        <v>69101</v>
      </c>
      <c r="N1819" t="s">
        <v>3477</v>
      </c>
      <c r="O1819">
        <v>18</v>
      </c>
      <c r="P1819" t="s">
        <v>3477</v>
      </c>
      <c r="Q1819">
        <v>18</v>
      </c>
      <c r="R1819" s="13">
        <v>180000</v>
      </c>
      <c r="S1819" s="13">
        <v>108000</v>
      </c>
    </row>
    <row r="1820" spans="1:19">
      <c r="A1820" s="9" t="s">
        <v>22</v>
      </c>
      <c r="B1820" s="9" t="s">
        <v>27</v>
      </c>
      <c r="C1820" s="9" t="s">
        <v>50</v>
      </c>
      <c r="D1820" t="s">
        <v>204</v>
      </c>
      <c r="F1820" s="12" t="s">
        <v>3320</v>
      </c>
      <c r="G1820" s="10" t="s">
        <v>1393</v>
      </c>
      <c r="H1820" s="10" t="s">
        <v>1393</v>
      </c>
      <c r="K1820" t="s">
        <v>19</v>
      </c>
      <c r="L1820" t="s">
        <v>20</v>
      </c>
      <c r="M1820" s="9">
        <v>731815</v>
      </c>
      <c r="N1820" t="s">
        <v>3477</v>
      </c>
      <c r="O1820">
        <v>18</v>
      </c>
      <c r="P1820" t="s">
        <v>3477</v>
      </c>
      <c r="Q1820">
        <v>18</v>
      </c>
      <c r="R1820" s="13">
        <v>2756</v>
      </c>
      <c r="S1820" s="13">
        <v>1929.1999999999998</v>
      </c>
    </row>
    <row r="1821" spans="1:19">
      <c r="A1821" s="9" t="s">
        <v>22</v>
      </c>
      <c r="B1821" s="9" t="s">
        <v>27</v>
      </c>
      <c r="C1821" s="9" t="s">
        <v>50</v>
      </c>
      <c r="D1821" t="s">
        <v>204</v>
      </c>
      <c r="F1821" s="12" t="s">
        <v>3321</v>
      </c>
      <c r="G1821" s="10" t="s">
        <v>1394</v>
      </c>
      <c r="H1821" s="10" t="s">
        <v>1394</v>
      </c>
      <c r="K1821" t="s">
        <v>19</v>
      </c>
      <c r="L1821" t="s">
        <v>20</v>
      </c>
      <c r="M1821" s="9">
        <v>39229</v>
      </c>
      <c r="N1821" t="s">
        <v>3477</v>
      </c>
      <c r="O1821">
        <v>18</v>
      </c>
      <c r="P1821" t="s">
        <v>3477</v>
      </c>
      <c r="Q1821">
        <v>18</v>
      </c>
      <c r="R1821" s="13">
        <v>3281</v>
      </c>
      <c r="S1821" s="13">
        <v>2296.6999999999998</v>
      </c>
    </row>
    <row r="1822" spans="1:19">
      <c r="A1822" s="9" t="s">
        <v>22</v>
      </c>
      <c r="B1822" s="9" t="s">
        <v>27</v>
      </c>
      <c r="C1822" s="9" t="s">
        <v>50</v>
      </c>
      <c r="D1822" t="s">
        <v>204</v>
      </c>
      <c r="F1822" s="12" t="s">
        <v>3322</v>
      </c>
      <c r="G1822" s="10" t="s">
        <v>1395</v>
      </c>
      <c r="H1822" s="10" t="s">
        <v>1395</v>
      </c>
      <c r="K1822" t="s">
        <v>19</v>
      </c>
      <c r="L1822" t="s">
        <v>20</v>
      </c>
      <c r="M1822" s="9">
        <v>39229</v>
      </c>
      <c r="N1822" t="s">
        <v>3477</v>
      </c>
      <c r="O1822">
        <v>18</v>
      </c>
      <c r="P1822" t="s">
        <v>3477</v>
      </c>
      <c r="Q1822">
        <v>18</v>
      </c>
      <c r="R1822" s="13">
        <v>3815</v>
      </c>
      <c r="S1822" s="13">
        <v>2670.5</v>
      </c>
    </row>
    <row r="1823" spans="1:19">
      <c r="A1823" s="9" t="s">
        <v>24</v>
      </c>
      <c r="B1823" s="9" t="s">
        <v>27</v>
      </c>
      <c r="C1823" s="9" t="s">
        <v>198</v>
      </c>
      <c r="D1823" t="s">
        <v>204</v>
      </c>
      <c r="F1823" s="12" t="s">
        <v>3323</v>
      </c>
      <c r="G1823" s="10" t="s">
        <v>1395</v>
      </c>
      <c r="H1823" s="10" t="s">
        <v>1395</v>
      </c>
      <c r="K1823" t="s">
        <v>19</v>
      </c>
      <c r="L1823" t="s">
        <v>20</v>
      </c>
      <c r="M1823" s="9">
        <v>7418201</v>
      </c>
      <c r="N1823" t="s">
        <v>3477</v>
      </c>
      <c r="O1823">
        <v>18</v>
      </c>
      <c r="P1823" t="s">
        <v>3477</v>
      </c>
      <c r="Q1823">
        <v>18</v>
      </c>
      <c r="R1823" s="13">
        <v>3700</v>
      </c>
      <c r="S1823" s="13">
        <v>2775</v>
      </c>
    </row>
    <row r="1824" spans="1:19">
      <c r="A1824" s="9" t="s">
        <v>24</v>
      </c>
      <c r="B1824" s="9" t="s">
        <v>27</v>
      </c>
      <c r="C1824" s="9" t="s">
        <v>198</v>
      </c>
      <c r="D1824" t="s">
        <v>204</v>
      </c>
      <c r="F1824" s="12" t="s">
        <v>3324</v>
      </c>
      <c r="G1824" s="10" t="s">
        <v>1395</v>
      </c>
      <c r="H1824" s="10" t="s">
        <v>1395</v>
      </c>
      <c r="K1824" t="s">
        <v>19</v>
      </c>
      <c r="L1824" t="s">
        <v>20</v>
      </c>
      <c r="M1824" s="9">
        <v>7418201</v>
      </c>
      <c r="N1824" t="s">
        <v>3477</v>
      </c>
      <c r="O1824">
        <v>18</v>
      </c>
      <c r="P1824" t="s">
        <v>3477</v>
      </c>
      <c r="Q1824">
        <v>18</v>
      </c>
      <c r="R1824" s="13">
        <v>2900</v>
      </c>
      <c r="S1824" s="13">
        <v>2175</v>
      </c>
    </row>
    <row r="1825" spans="1:19">
      <c r="A1825" s="9" t="s">
        <v>24</v>
      </c>
      <c r="B1825" s="9" t="s">
        <v>27</v>
      </c>
      <c r="C1825" s="9" t="s">
        <v>198</v>
      </c>
      <c r="D1825" t="s">
        <v>204</v>
      </c>
      <c r="F1825" s="12" t="s">
        <v>3325</v>
      </c>
      <c r="G1825" s="10" t="s">
        <v>1396</v>
      </c>
      <c r="H1825" s="10" t="s">
        <v>1396</v>
      </c>
      <c r="K1825" t="s">
        <v>19</v>
      </c>
      <c r="L1825" t="s">
        <v>20</v>
      </c>
      <c r="M1825" s="9">
        <v>7418201</v>
      </c>
      <c r="N1825" t="s">
        <v>3477</v>
      </c>
      <c r="O1825">
        <v>18</v>
      </c>
      <c r="P1825" t="s">
        <v>3477</v>
      </c>
      <c r="Q1825">
        <v>18</v>
      </c>
      <c r="R1825" s="13">
        <v>4400</v>
      </c>
      <c r="S1825" s="13">
        <v>3300</v>
      </c>
    </row>
    <row r="1826" spans="1:19">
      <c r="A1826" s="9" t="s">
        <v>22</v>
      </c>
      <c r="B1826" s="9" t="s">
        <v>27</v>
      </c>
      <c r="C1826" s="9" t="s">
        <v>50</v>
      </c>
      <c r="D1826" t="s">
        <v>204</v>
      </c>
      <c r="F1826" s="12" t="s">
        <v>3326</v>
      </c>
      <c r="G1826" s="10" t="s">
        <v>1396</v>
      </c>
      <c r="H1826" s="10" t="s">
        <v>1396</v>
      </c>
      <c r="K1826" t="s">
        <v>19</v>
      </c>
      <c r="L1826" t="s">
        <v>20</v>
      </c>
      <c r="M1826" s="9">
        <v>8481809</v>
      </c>
      <c r="N1826" t="s">
        <v>3477</v>
      </c>
      <c r="O1826">
        <v>18</v>
      </c>
      <c r="P1826" t="s">
        <v>3477</v>
      </c>
      <c r="Q1826">
        <v>18</v>
      </c>
      <c r="R1826" s="13">
        <v>49510</v>
      </c>
      <c r="S1826" s="13">
        <v>34657</v>
      </c>
    </row>
    <row r="1827" spans="1:19">
      <c r="A1827" s="9" t="s">
        <v>22</v>
      </c>
      <c r="B1827" s="9" t="s">
        <v>27</v>
      </c>
      <c r="C1827" s="9" t="s">
        <v>50</v>
      </c>
      <c r="D1827" t="s">
        <v>204</v>
      </c>
      <c r="F1827" s="12" t="s">
        <v>3327</v>
      </c>
      <c r="G1827" s="10" t="s">
        <v>1397</v>
      </c>
      <c r="H1827" s="10" t="s">
        <v>1397</v>
      </c>
      <c r="K1827" t="s">
        <v>19</v>
      </c>
      <c r="L1827" t="s">
        <v>20</v>
      </c>
      <c r="M1827" s="9">
        <v>8481809</v>
      </c>
      <c r="N1827" t="s">
        <v>3477</v>
      </c>
      <c r="O1827">
        <v>18</v>
      </c>
      <c r="P1827" t="s">
        <v>3477</v>
      </c>
      <c r="Q1827">
        <v>18</v>
      </c>
      <c r="R1827" s="13">
        <v>51336</v>
      </c>
      <c r="S1827" s="13">
        <v>35935.199999999997</v>
      </c>
    </row>
    <row r="1828" spans="1:19">
      <c r="A1828" s="9" t="s">
        <v>22</v>
      </c>
      <c r="B1828" s="9" t="s">
        <v>27</v>
      </c>
      <c r="C1828" s="9" t="s">
        <v>50</v>
      </c>
      <c r="D1828" t="s">
        <v>204</v>
      </c>
      <c r="F1828" s="12" t="s">
        <v>3328</v>
      </c>
      <c r="G1828" s="10" t="s">
        <v>1397</v>
      </c>
      <c r="H1828" s="10" t="s">
        <v>1397</v>
      </c>
      <c r="K1828" t="s">
        <v>19</v>
      </c>
      <c r="L1828" t="s">
        <v>20</v>
      </c>
      <c r="M1828" s="9">
        <v>8481809</v>
      </c>
      <c r="N1828" t="s">
        <v>3477</v>
      </c>
      <c r="O1828">
        <v>18</v>
      </c>
      <c r="P1828" t="s">
        <v>3477</v>
      </c>
      <c r="Q1828">
        <v>18</v>
      </c>
      <c r="R1828" s="13">
        <v>3154</v>
      </c>
      <c r="S1828" s="13">
        <v>2207.7999999999997</v>
      </c>
    </row>
    <row r="1829" spans="1:19">
      <c r="A1829" s="9" t="s">
        <v>22</v>
      </c>
      <c r="B1829" s="9" t="s">
        <v>27</v>
      </c>
      <c r="C1829" s="9" t="s">
        <v>50</v>
      </c>
      <c r="D1829" t="s">
        <v>204</v>
      </c>
      <c r="F1829" s="12" t="s">
        <v>3329</v>
      </c>
      <c r="G1829" s="10" t="s">
        <v>1398</v>
      </c>
      <c r="H1829" s="10" t="s">
        <v>1398</v>
      </c>
      <c r="K1829" t="s">
        <v>19</v>
      </c>
      <c r="L1829" t="s">
        <v>20</v>
      </c>
      <c r="M1829" s="9">
        <v>8481801</v>
      </c>
      <c r="N1829" t="s">
        <v>3477</v>
      </c>
      <c r="O1829">
        <v>18</v>
      </c>
      <c r="P1829" t="s">
        <v>3477</v>
      </c>
      <c r="Q1829">
        <v>18</v>
      </c>
      <c r="R1829" s="13">
        <v>2818</v>
      </c>
      <c r="S1829" s="13">
        <v>1972.6</v>
      </c>
    </row>
    <row r="1830" spans="1:19">
      <c r="A1830" s="9" t="s">
        <v>22</v>
      </c>
      <c r="B1830" s="9" t="s">
        <v>26</v>
      </c>
      <c r="C1830" s="9" t="s">
        <v>127</v>
      </c>
      <c r="D1830" t="s">
        <v>204</v>
      </c>
      <c r="F1830" s="12" t="s">
        <v>3330</v>
      </c>
      <c r="G1830" s="10" t="s">
        <v>1399</v>
      </c>
      <c r="H1830" s="10" t="s">
        <v>1399</v>
      </c>
      <c r="K1830" t="s">
        <v>19</v>
      </c>
      <c r="L1830" t="s">
        <v>20</v>
      </c>
      <c r="M1830" s="9">
        <v>39229</v>
      </c>
      <c r="N1830" t="s">
        <v>3477</v>
      </c>
      <c r="O1830">
        <v>18</v>
      </c>
      <c r="P1830" t="s">
        <v>3477</v>
      </c>
      <c r="Q1830">
        <v>18</v>
      </c>
      <c r="R1830" s="13">
        <v>6000</v>
      </c>
      <c r="S1830" s="13">
        <v>4200</v>
      </c>
    </row>
    <row r="1831" spans="1:19">
      <c r="A1831" s="9" t="s">
        <v>22</v>
      </c>
      <c r="B1831" s="9" t="s">
        <v>26</v>
      </c>
      <c r="C1831" s="9" t="s">
        <v>127</v>
      </c>
      <c r="D1831" t="s">
        <v>204</v>
      </c>
      <c r="F1831" s="12" t="s">
        <v>3331</v>
      </c>
      <c r="G1831" s="10" t="s">
        <v>1400</v>
      </c>
      <c r="H1831" s="10" t="s">
        <v>1400</v>
      </c>
      <c r="K1831" t="s">
        <v>19</v>
      </c>
      <c r="L1831" t="s">
        <v>20</v>
      </c>
      <c r="M1831" s="9">
        <v>39229</v>
      </c>
      <c r="N1831" t="s">
        <v>3477</v>
      </c>
      <c r="O1831">
        <v>18</v>
      </c>
      <c r="P1831" t="s">
        <v>3477</v>
      </c>
      <c r="Q1831">
        <v>18</v>
      </c>
      <c r="R1831" s="13">
        <v>5345</v>
      </c>
      <c r="S1831" s="13">
        <v>3741.4999999999995</v>
      </c>
    </row>
    <row r="1832" spans="1:19">
      <c r="A1832" s="9" t="s">
        <v>22</v>
      </c>
      <c r="B1832" s="9" t="s">
        <v>26</v>
      </c>
      <c r="C1832" s="9" t="s">
        <v>127</v>
      </c>
      <c r="D1832" t="s">
        <v>204</v>
      </c>
      <c r="F1832" s="12" t="s">
        <v>3332</v>
      </c>
      <c r="G1832" s="10" t="s">
        <v>1401</v>
      </c>
      <c r="H1832" s="10" t="s">
        <v>1401</v>
      </c>
      <c r="K1832" t="s">
        <v>19</v>
      </c>
      <c r="L1832" t="s">
        <v>20</v>
      </c>
      <c r="M1832" s="9">
        <v>39229</v>
      </c>
      <c r="N1832" t="s">
        <v>3477</v>
      </c>
      <c r="O1832">
        <v>18</v>
      </c>
      <c r="P1832" t="s">
        <v>3477</v>
      </c>
      <c r="Q1832">
        <v>18</v>
      </c>
      <c r="R1832" s="13">
        <v>2750</v>
      </c>
      <c r="S1832" s="13">
        <v>1924.9999999999998</v>
      </c>
    </row>
    <row r="1833" spans="1:19">
      <c r="A1833" s="9" t="s">
        <v>22</v>
      </c>
      <c r="B1833" s="9" t="s">
        <v>26</v>
      </c>
      <c r="C1833" s="9" t="s">
        <v>127</v>
      </c>
      <c r="D1833" t="s">
        <v>204</v>
      </c>
      <c r="F1833" s="12" t="s">
        <v>3333</v>
      </c>
      <c r="G1833" s="10" t="s">
        <v>1402</v>
      </c>
      <c r="H1833" s="10" t="s">
        <v>1402</v>
      </c>
      <c r="K1833" t="s">
        <v>19</v>
      </c>
      <c r="L1833" t="s">
        <v>20</v>
      </c>
      <c r="M1833" s="9">
        <v>39229</v>
      </c>
      <c r="N1833" t="s">
        <v>3477</v>
      </c>
      <c r="O1833">
        <v>18</v>
      </c>
      <c r="P1833" t="s">
        <v>3477</v>
      </c>
      <c r="Q1833">
        <v>18</v>
      </c>
      <c r="R1833" s="13">
        <v>3500</v>
      </c>
      <c r="S1833" s="13">
        <v>2450</v>
      </c>
    </row>
    <row r="1834" spans="1:19">
      <c r="A1834" s="9" t="s">
        <v>22</v>
      </c>
      <c r="B1834" s="9" t="s">
        <v>26</v>
      </c>
      <c r="C1834" s="9" t="s">
        <v>127</v>
      </c>
      <c r="D1834" t="s">
        <v>204</v>
      </c>
      <c r="F1834" s="12" t="s">
        <v>3334</v>
      </c>
      <c r="G1834" s="10" t="s">
        <v>1403</v>
      </c>
      <c r="H1834" s="10" t="s">
        <v>1403</v>
      </c>
      <c r="K1834" t="s">
        <v>19</v>
      </c>
      <c r="L1834" t="s">
        <v>20</v>
      </c>
      <c r="M1834" s="9">
        <v>39229</v>
      </c>
      <c r="N1834" t="s">
        <v>3477</v>
      </c>
      <c r="O1834">
        <v>18</v>
      </c>
      <c r="P1834" t="s">
        <v>3477</v>
      </c>
      <c r="Q1834">
        <v>18</v>
      </c>
      <c r="R1834" s="13">
        <v>3220</v>
      </c>
      <c r="S1834" s="13">
        <v>2254</v>
      </c>
    </row>
    <row r="1835" spans="1:19">
      <c r="A1835" s="9" t="s">
        <v>22</v>
      </c>
      <c r="B1835" s="9" t="s">
        <v>26</v>
      </c>
      <c r="C1835" s="9" t="s">
        <v>127</v>
      </c>
      <c r="D1835" t="s">
        <v>204</v>
      </c>
      <c r="F1835" s="12" t="s">
        <v>3335</v>
      </c>
      <c r="G1835" s="10" t="s">
        <v>1404</v>
      </c>
      <c r="H1835" s="10" t="s">
        <v>1404</v>
      </c>
      <c r="K1835" t="s">
        <v>19</v>
      </c>
      <c r="L1835" t="s">
        <v>20</v>
      </c>
      <c r="M1835" s="9">
        <v>39229</v>
      </c>
      <c r="N1835" t="s">
        <v>3477</v>
      </c>
      <c r="O1835">
        <v>18</v>
      </c>
      <c r="P1835" t="s">
        <v>3477</v>
      </c>
      <c r="Q1835">
        <v>18</v>
      </c>
      <c r="R1835" s="13">
        <v>6000</v>
      </c>
      <c r="S1835" s="13">
        <v>4200</v>
      </c>
    </row>
    <row r="1836" spans="1:19">
      <c r="A1836" s="9" t="s">
        <v>22</v>
      </c>
      <c r="B1836" s="9" t="s">
        <v>26</v>
      </c>
      <c r="C1836" s="9" t="s">
        <v>127</v>
      </c>
      <c r="D1836" t="s">
        <v>204</v>
      </c>
      <c r="F1836" s="12" t="s">
        <v>3336</v>
      </c>
      <c r="G1836" s="10" t="s">
        <v>1405</v>
      </c>
      <c r="H1836" s="10" t="s">
        <v>1405</v>
      </c>
      <c r="K1836" t="s">
        <v>19</v>
      </c>
      <c r="L1836" t="s">
        <v>20</v>
      </c>
      <c r="M1836" s="9">
        <v>39229</v>
      </c>
      <c r="N1836" t="s">
        <v>3477</v>
      </c>
      <c r="O1836">
        <v>18</v>
      </c>
      <c r="P1836" t="s">
        <v>3477</v>
      </c>
      <c r="Q1836">
        <v>18</v>
      </c>
      <c r="R1836" s="13">
        <v>6000</v>
      </c>
      <c r="S1836" s="13">
        <v>4200</v>
      </c>
    </row>
    <row r="1837" spans="1:19">
      <c r="A1837" s="9" t="s">
        <v>22</v>
      </c>
      <c r="B1837" s="9" t="s">
        <v>26</v>
      </c>
      <c r="C1837" s="9" t="s">
        <v>127</v>
      </c>
      <c r="D1837" t="s">
        <v>204</v>
      </c>
      <c r="F1837" s="12" t="s">
        <v>3337</v>
      </c>
      <c r="G1837" s="10" t="s">
        <v>1406</v>
      </c>
      <c r="H1837" s="10" t="s">
        <v>1406</v>
      </c>
      <c r="K1837" t="s">
        <v>19</v>
      </c>
      <c r="L1837" t="s">
        <v>20</v>
      </c>
      <c r="M1837" s="9">
        <v>39229</v>
      </c>
      <c r="N1837" t="s">
        <v>3477</v>
      </c>
      <c r="O1837">
        <v>18</v>
      </c>
      <c r="P1837" t="s">
        <v>3477</v>
      </c>
      <c r="Q1837">
        <v>18</v>
      </c>
      <c r="R1837" s="13">
        <v>6000</v>
      </c>
      <c r="S1837" s="13">
        <v>4200</v>
      </c>
    </row>
    <row r="1838" spans="1:19">
      <c r="A1838" s="9" t="s">
        <v>22</v>
      </c>
      <c r="B1838" s="9" t="s">
        <v>26</v>
      </c>
      <c r="C1838" s="9" t="s">
        <v>127</v>
      </c>
      <c r="D1838" t="s">
        <v>204</v>
      </c>
      <c r="F1838" s="12" t="s">
        <v>3338</v>
      </c>
      <c r="G1838" s="10" t="s">
        <v>1407</v>
      </c>
      <c r="H1838" s="10" t="s">
        <v>1407</v>
      </c>
      <c r="K1838" t="s">
        <v>19</v>
      </c>
      <c r="L1838" t="s">
        <v>20</v>
      </c>
      <c r="M1838" s="9">
        <v>39229</v>
      </c>
      <c r="N1838" t="s">
        <v>3477</v>
      </c>
      <c r="O1838">
        <v>18</v>
      </c>
      <c r="P1838" t="s">
        <v>3477</v>
      </c>
      <c r="Q1838">
        <v>18</v>
      </c>
      <c r="R1838" s="13">
        <v>2800</v>
      </c>
      <c r="S1838" s="13">
        <v>1959.9999999999998</v>
      </c>
    </row>
    <row r="1839" spans="1:19">
      <c r="A1839" s="9" t="s">
        <v>22</v>
      </c>
      <c r="B1839" s="9" t="s">
        <v>26</v>
      </c>
      <c r="C1839" s="9" t="s">
        <v>127</v>
      </c>
      <c r="D1839" t="s">
        <v>204</v>
      </c>
      <c r="F1839" s="12" t="s">
        <v>3339</v>
      </c>
      <c r="G1839" s="10" t="s">
        <v>1408</v>
      </c>
      <c r="H1839" s="10" t="s">
        <v>1408</v>
      </c>
      <c r="K1839" t="s">
        <v>19</v>
      </c>
      <c r="L1839" t="s">
        <v>20</v>
      </c>
      <c r="M1839" s="9">
        <v>39229</v>
      </c>
      <c r="N1839" t="s">
        <v>3477</v>
      </c>
      <c r="O1839">
        <v>18</v>
      </c>
      <c r="P1839" t="s">
        <v>3477</v>
      </c>
      <c r="Q1839">
        <v>18</v>
      </c>
      <c r="R1839" s="13">
        <v>7000</v>
      </c>
      <c r="S1839" s="13">
        <v>4900</v>
      </c>
    </row>
    <row r="1840" spans="1:19">
      <c r="A1840" s="9" t="s">
        <v>22</v>
      </c>
      <c r="B1840" s="9" t="s">
        <v>26</v>
      </c>
      <c r="C1840" s="9" t="s">
        <v>127</v>
      </c>
      <c r="D1840" t="s">
        <v>204</v>
      </c>
      <c r="F1840" s="12" t="s">
        <v>3340</v>
      </c>
      <c r="G1840" s="10" t="s">
        <v>1409</v>
      </c>
      <c r="H1840" s="10" t="s">
        <v>1409</v>
      </c>
      <c r="K1840" t="s">
        <v>19</v>
      </c>
      <c r="L1840" t="s">
        <v>20</v>
      </c>
      <c r="M1840" s="9">
        <v>39229</v>
      </c>
      <c r="N1840" t="s">
        <v>3477</v>
      </c>
      <c r="O1840">
        <v>18</v>
      </c>
      <c r="P1840" t="s">
        <v>3477</v>
      </c>
      <c r="Q1840">
        <v>18</v>
      </c>
      <c r="R1840" s="13">
        <v>3740</v>
      </c>
      <c r="S1840" s="13">
        <v>2618</v>
      </c>
    </row>
    <row r="1841" spans="1:19">
      <c r="A1841" s="9" t="s">
        <v>22</v>
      </c>
      <c r="B1841" s="9" t="s">
        <v>26</v>
      </c>
      <c r="C1841" s="9" t="s">
        <v>127</v>
      </c>
      <c r="D1841" t="s">
        <v>204</v>
      </c>
      <c r="F1841" s="12" t="s">
        <v>3341</v>
      </c>
      <c r="G1841" s="10" t="s">
        <v>1410</v>
      </c>
      <c r="H1841" s="10" t="s">
        <v>1410</v>
      </c>
      <c r="K1841" t="s">
        <v>19</v>
      </c>
      <c r="L1841" t="s">
        <v>20</v>
      </c>
      <c r="M1841" s="9">
        <v>39229</v>
      </c>
      <c r="N1841" t="s">
        <v>3477</v>
      </c>
      <c r="O1841">
        <v>18</v>
      </c>
      <c r="P1841" t="s">
        <v>3477</v>
      </c>
      <c r="Q1841">
        <v>18</v>
      </c>
      <c r="R1841" s="13">
        <v>4500</v>
      </c>
      <c r="S1841" s="13">
        <v>3150</v>
      </c>
    </row>
    <row r="1842" spans="1:19">
      <c r="A1842" s="9" t="s">
        <v>22</v>
      </c>
      <c r="B1842" s="9" t="s">
        <v>26</v>
      </c>
      <c r="C1842" s="9" t="s">
        <v>127</v>
      </c>
      <c r="D1842" t="s">
        <v>204</v>
      </c>
      <c r="F1842" s="12" t="s">
        <v>3342</v>
      </c>
      <c r="G1842" s="10" t="s">
        <v>1411</v>
      </c>
      <c r="H1842" s="10" t="s">
        <v>1411</v>
      </c>
      <c r="K1842" t="s">
        <v>19</v>
      </c>
      <c r="L1842" t="s">
        <v>20</v>
      </c>
      <c r="M1842" s="9">
        <v>39229</v>
      </c>
      <c r="N1842" t="s">
        <v>3477</v>
      </c>
      <c r="O1842">
        <v>18</v>
      </c>
      <c r="P1842" t="s">
        <v>3477</v>
      </c>
      <c r="Q1842">
        <v>18</v>
      </c>
      <c r="R1842" s="13">
        <v>4140</v>
      </c>
      <c r="S1842" s="13">
        <v>2898</v>
      </c>
    </row>
    <row r="1843" spans="1:19">
      <c r="A1843" s="9" t="s">
        <v>22</v>
      </c>
      <c r="B1843" s="9" t="s">
        <v>26</v>
      </c>
      <c r="C1843" s="9" t="s">
        <v>127</v>
      </c>
      <c r="D1843" t="s">
        <v>204</v>
      </c>
      <c r="F1843" s="12" t="s">
        <v>3343</v>
      </c>
      <c r="G1843" s="10" t="s">
        <v>1412</v>
      </c>
      <c r="H1843" s="10" t="s">
        <v>1412</v>
      </c>
      <c r="K1843" t="s">
        <v>19</v>
      </c>
      <c r="L1843" t="s">
        <v>20</v>
      </c>
      <c r="M1843" s="9">
        <v>39229</v>
      </c>
      <c r="N1843" t="s">
        <v>3477</v>
      </c>
      <c r="O1843">
        <v>18</v>
      </c>
      <c r="P1843" t="s">
        <v>3477</v>
      </c>
      <c r="Q1843">
        <v>18</v>
      </c>
      <c r="R1843" s="13">
        <v>13000</v>
      </c>
      <c r="S1843" s="13">
        <v>9100</v>
      </c>
    </row>
    <row r="1844" spans="1:19">
      <c r="A1844" s="9" t="s">
        <v>22</v>
      </c>
      <c r="B1844" s="9" t="s">
        <v>26</v>
      </c>
      <c r="C1844" s="9" t="s">
        <v>127</v>
      </c>
      <c r="D1844" t="s">
        <v>204</v>
      </c>
      <c r="F1844" s="12" t="s">
        <v>3344</v>
      </c>
      <c r="G1844" s="10" t="s">
        <v>1413</v>
      </c>
      <c r="H1844" s="10" t="s">
        <v>1413</v>
      </c>
      <c r="K1844" t="s">
        <v>19</v>
      </c>
      <c r="L1844" t="s">
        <v>20</v>
      </c>
      <c r="M1844" s="9">
        <v>39229</v>
      </c>
      <c r="N1844" t="s">
        <v>3477</v>
      </c>
      <c r="O1844">
        <v>18</v>
      </c>
      <c r="P1844" t="s">
        <v>3477</v>
      </c>
      <c r="Q1844">
        <v>18</v>
      </c>
      <c r="R1844" s="13">
        <v>9000</v>
      </c>
      <c r="S1844" s="13">
        <v>6300</v>
      </c>
    </row>
    <row r="1845" spans="1:19">
      <c r="A1845" s="9" t="s">
        <v>22</v>
      </c>
      <c r="B1845" s="9" t="s">
        <v>26</v>
      </c>
      <c r="C1845" s="9" t="s">
        <v>127</v>
      </c>
      <c r="D1845" t="s">
        <v>204</v>
      </c>
      <c r="F1845" s="12" t="s">
        <v>3345</v>
      </c>
      <c r="G1845" s="10" t="s">
        <v>1414</v>
      </c>
      <c r="H1845" s="10" t="s">
        <v>1414</v>
      </c>
      <c r="K1845" t="s">
        <v>19</v>
      </c>
      <c r="L1845" t="s">
        <v>20</v>
      </c>
      <c r="M1845" s="9">
        <v>39229</v>
      </c>
      <c r="N1845" t="s">
        <v>3477</v>
      </c>
      <c r="O1845">
        <v>18</v>
      </c>
      <c r="P1845" t="s">
        <v>3477</v>
      </c>
      <c r="Q1845">
        <v>18</v>
      </c>
      <c r="R1845" s="13">
        <v>4000</v>
      </c>
      <c r="S1845" s="13">
        <v>2800</v>
      </c>
    </row>
    <row r="1846" spans="1:19">
      <c r="A1846" s="9" t="s">
        <v>22</v>
      </c>
      <c r="B1846" s="9" t="s">
        <v>26</v>
      </c>
      <c r="C1846" s="9" t="s">
        <v>127</v>
      </c>
      <c r="D1846" t="s">
        <v>204</v>
      </c>
      <c r="F1846" s="12" t="s">
        <v>3346</v>
      </c>
      <c r="G1846" s="10" t="s">
        <v>1415</v>
      </c>
      <c r="H1846" s="10" t="s">
        <v>1415</v>
      </c>
      <c r="K1846" t="s">
        <v>19</v>
      </c>
      <c r="L1846" t="s">
        <v>20</v>
      </c>
      <c r="M1846" s="9">
        <v>39229</v>
      </c>
      <c r="N1846" t="s">
        <v>3477</v>
      </c>
      <c r="O1846">
        <v>18</v>
      </c>
      <c r="P1846" t="s">
        <v>3477</v>
      </c>
      <c r="Q1846">
        <v>18</v>
      </c>
      <c r="R1846" s="13">
        <v>8500</v>
      </c>
      <c r="S1846" s="13">
        <v>5950</v>
      </c>
    </row>
    <row r="1847" spans="1:19">
      <c r="A1847" s="9" t="s">
        <v>22</v>
      </c>
      <c r="B1847" s="9" t="s">
        <v>26</v>
      </c>
      <c r="C1847" s="9" t="s">
        <v>98</v>
      </c>
      <c r="D1847" t="s">
        <v>204</v>
      </c>
      <c r="F1847" s="12" t="s">
        <v>3347</v>
      </c>
      <c r="G1847" s="10" t="s">
        <v>1416</v>
      </c>
      <c r="H1847" s="10" t="s">
        <v>1416</v>
      </c>
      <c r="K1847" t="s">
        <v>19</v>
      </c>
      <c r="L1847" t="s">
        <v>20</v>
      </c>
      <c r="M1847" s="9">
        <v>39229</v>
      </c>
      <c r="N1847" t="s">
        <v>3477</v>
      </c>
      <c r="O1847">
        <v>18</v>
      </c>
      <c r="P1847" t="s">
        <v>3477</v>
      </c>
      <c r="Q1847">
        <v>18</v>
      </c>
      <c r="R1847" s="13">
        <v>7380</v>
      </c>
      <c r="S1847" s="13">
        <v>5166</v>
      </c>
    </row>
    <row r="1848" spans="1:19">
      <c r="A1848" s="9" t="s">
        <v>24</v>
      </c>
      <c r="B1848" s="9" t="s">
        <v>27</v>
      </c>
      <c r="C1848" s="9" t="s">
        <v>64</v>
      </c>
      <c r="D1848" t="s">
        <v>204</v>
      </c>
      <c r="F1848" s="12" t="s">
        <v>3348</v>
      </c>
      <c r="G1848" s="10" t="s">
        <v>1417</v>
      </c>
      <c r="H1848" s="10" t="s">
        <v>1417</v>
      </c>
      <c r="K1848" t="s">
        <v>19</v>
      </c>
      <c r="L1848" t="s">
        <v>20</v>
      </c>
      <c r="M1848" s="9">
        <v>39229</v>
      </c>
      <c r="N1848" t="s">
        <v>3477</v>
      </c>
      <c r="O1848">
        <v>18</v>
      </c>
      <c r="P1848" t="s">
        <v>3477</v>
      </c>
      <c r="Q1848">
        <v>18</v>
      </c>
      <c r="R1848" s="13">
        <v>4750</v>
      </c>
      <c r="S1848" s="13">
        <v>3562.5</v>
      </c>
    </row>
    <row r="1849" spans="1:19">
      <c r="A1849" s="9" t="s">
        <v>24</v>
      </c>
      <c r="B1849" s="9" t="s">
        <v>27</v>
      </c>
      <c r="C1849" s="9" t="s">
        <v>64</v>
      </c>
      <c r="D1849" t="s">
        <v>204</v>
      </c>
      <c r="F1849" s="12" t="s">
        <v>3349</v>
      </c>
      <c r="G1849" s="10" t="s">
        <v>1418</v>
      </c>
      <c r="H1849" s="10" t="s">
        <v>1418</v>
      </c>
      <c r="K1849" t="s">
        <v>19</v>
      </c>
      <c r="L1849" t="s">
        <v>20</v>
      </c>
      <c r="M1849" s="9">
        <v>39229</v>
      </c>
      <c r="N1849" t="s">
        <v>3477</v>
      </c>
      <c r="O1849">
        <v>18</v>
      </c>
      <c r="P1849" t="s">
        <v>3477</v>
      </c>
      <c r="Q1849">
        <v>18</v>
      </c>
      <c r="R1849" s="13">
        <v>3800</v>
      </c>
      <c r="S1849" s="13">
        <v>2850</v>
      </c>
    </row>
    <row r="1850" spans="1:19">
      <c r="A1850" s="9" t="s">
        <v>23</v>
      </c>
      <c r="B1850" s="9" t="s">
        <v>27</v>
      </c>
      <c r="C1850" s="9" t="s">
        <v>160</v>
      </c>
      <c r="D1850" t="s">
        <v>204</v>
      </c>
      <c r="F1850" s="12" t="s">
        <v>3350</v>
      </c>
      <c r="G1850" s="10" t="s">
        <v>1419</v>
      </c>
      <c r="H1850" s="10" t="s">
        <v>1419</v>
      </c>
      <c r="K1850" t="s">
        <v>19</v>
      </c>
      <c r="L1850" t="s">
        <v>20</v>
      </c>
      <c r="M1850" s="9">
        <v>7418202</v>
      </c>
      <c r="N1850" t="s">
        <v>3477</v>
      </c>
      <c r="O1850">
        <v>18</v>
      </c>
      <c r="P1850" t="s">
        <v>3477</v>
      </c>
      <c r="Q1850">
        <v>18</v>
      </c>
      <c r="R1850" s="13">
        <v>358000</v>
      </c>
      <c r="S1850" s="13">
        <v>214800</v>
      </c>
    </row>
    <row r="1851" spans="1:19">
      <c r="A1851" s="9" t="s">
        <v>22</v>
      </c>
      <c r="B1851" s="9" t="s">
        <v>26</v>
      </c>
      <c r="C1851" s="9" t="s">
        <v>85</v>
      </c>
      <c r="D1851" t="s">
        <v>204</v>
      </c>
      <c r="F1851" s="12" t="s">
        <v>3351</v>
      </c>
      <c r="G1851" s="10" t="s">
        <v>1420</v>
      </c>
      <c r="H1851" s="10" t="s">
        <v>1420</v>
      </c>
      <c r="K1851" t="s">
        <v>19</v>
      </c>
      <c r="L1851" t="s">
        <v>20</v>
      </c>
      <c r="M1851" s="9">
        <v>69101</v>
      </c>
      <c r="N1851" t="s">
        <v>3477</v>
      </c>
      <c r="O1851">
        <v>18</v>
      </c>
      <c r="P1851" t="s">
        <v>3477</v>
      </c>
      <c r="Q1851">
        <v>18</v>
      </c>
      <c r="R1851" s="13">
        <v>34000</v>
      </c>
      <c r="S1851" s="13">
        <v>23800</v>
      </c>
    </row>
    <row r="1852" spans="1:19">
      <c r="A1852" s="9" t="s">
        <v>22</v>
      </c>
      <c r="B1852" s="9" t="s">
        <v>27</v>
      </c>
      <c r="C1852" s="9" t="s">
        <v>50</v>
      </c>
      <c r="D1852" t="s">
        <v>204</v>
      </c>
      <c r="F1852" s="12" t="s">
        <v>3352</v>
      </c>
      <c r="G1852" s="10" t="s">
        <v>1420</v>
      </c>
      <c r="H1852" s="10" t="s">
        <v>1420</v>
      </c>
      <c r="K1852" t="s">
        <v>19</v>
      </c>
      <c r="L1852" t="s">
        <v>20</v>
      </c>
      <c r="M1852" s="9">
        <v>8481809</v>
      </c>
      <c r="N1852" t="s">
        <v>3477</v>
      </c>
      <c r="O1852">
        <v>18</v>
      </c>
      <c r="P1852" t="s">
        <v>3477</v>
      </c>
      <c r="Q1852">
        <v>18</v>
      </c>
      <c r="R1852" s="13">
        <v>2602</v>
      </c>
      <c r="S1852" s="13">
        <v>1821.3999999999999</v>
      </c>
    </row>
    <row r="1853" spans="1:19">
      <c r="A1853" s="9" t="s">
        <v>22</v>
      </c>
      <c r="B1853" s="9" t="s">
        <v>27</v>
      </c>
      <c r="C1853" s="9" t="s">
        <v>50</v>
      </c>
      <c r="D1853" t="s">
        <v>204</v>
      </c>
      <c r="F1853" s="12" t="s">
        <v>3353</v>
      </c>
      <c r="G1853" s="10" t="s">
        <v>1421</v>
      </c>
      <c r="H1853" s="10" t="s">
        <v>1421</v>
      </c>
      <c r="K1853" t="s">
        <v>19</v>
      </c>
      <c r="L1853" t="s">
        <v>20</v>
      </c>
      <c r="M1853" s="9">
        <v>8481809</v>
      </c>
      <c r="N1853" t="s">
        <v>3477</v>
      </c>
      <c r="O1853">
        <v>18</v>
      </c>
      <c r="P1853" t="s">
        <v>3477</v>
      </c>
      <c r="Q1853">
        <v>18</v>
      </c>
      <c r="R1853" s="13">
        <v>2341</v>
      </c>
      <c r="S1853" s="13">
        <v>1638.6999999999998</v>
      </c>
    </row>
    <row r="1854" spans="1:19">
      <c r="A1854" s="9" t="s">
        <v>22</v>
      </c>
      <c r="B1854" s="9" t="s">
        <v>26</v>
      </c>
      <c r="C1854" s="9" t="s">
        <v>76</v>
      </c>
      <c r="D1854" t="s">
        <v>204</v>
      </c>
      <c r="F1854" s="12" t="s">
        <v>3354</v>
      </c>
      <c r="G1854" s="10" t="s">
        <v>250</v>
      </c>
      <c r="H1854" s="10" t="s">
        <v>250</v>
      </c>
      <c r="K1854" t="s">
        <v>19</v>
      </c>
      <c r="L1854" t="s">
        <v>20</v>
      </c>
      <c r="M1854" s="9">
        <v>39222</v>
      </c>
      <c r="N1854" t="s">
        <v>3477</v>
      </c>
      <c r="O1854">
        <v>18</v>
      </c>
      <c r="P1854" t="s">
        <v>3477</v>
      </c>
      <c r="Q1854">
        <v>18</v>
      </c>
      <c r="R1854" s="13">
        <v>4610</v>
      </c>
      <c r="S1854" s="13">
        <v>3227</v>
      </c>
    </row>
    <row r="1855" spans="1:19">
      <c r="A1855" s="9" t="s">
        <v>22</v>
      </c>
      <c r="B1855" s="9" t="s">
        <v>27</v>
      </c>
      <c r="C1855" s="9" t="s">
        <v>50</v>
      </c>
      <c r="D1855" t="s">
        <v>204</v>
      </c>
      <c r="F1855" s="12" t="s">
        <v>3355</v>
      </c>
      <c r="G1855" s="10" t="s">
        <v>59</v>
      </c>
      <c r="H1855" s="10" t="s">
        <v>59</v>
      </c>
      <c r="K1855" t="s">
        <v>19</v>
      </c>
      <c r="L1855" t="s">
        <v>20</v>
      </c>
      <c r="M1855" s="9">
        <v>8481809</v>
      </c>
      <c r="N1855" t="s">
        <v>3477</v>
      </c>
      <c r="O1855">
        <v>18</v>
      </c>
      <c r="P1855" t="s">
        <v>3477</v>
      </c>
      <c r="Q1855">
        <v>18</v>
      </c>
      <c r="R1855" s="13">
        <v>1528</v>
      </c>
      <c r="S1855" s="13">
        <v>1069.5999999999999</v>
      </c>
    </row>
    <row r="1856" spans="1:19">
      <c r="A1856" s="9" t="s">
        <v>22</v>
      </c>
      <c r="B1856" s="9" t="s">
        <v>27</v>
      </c>
      <c r="C1856" s="9" t="s">
        <v>59</v>
      </c>
      <c r="D1856" t="s">
        <v>204</v>
      </c>
      <c r="F1856" s="12" t="s">
        <v>3356</v>
      </c>
      <c r="G1856" s="10" t="s">
        <v>1422</v>
      </c>
      <c r="H1856" s="10" t="s">
        <v>1422</v>
      </c>
      <c r="K1856" t="s">
        <v>19</v>
      </c>
      <c r="L1856" t="s">
        <v>20</v>
      </c>
      <c r="M1856" s="9">
        <v>8481802</v>
      </c>
      <c r="N1856" t="s">
        <v>3477</v>
      </c>
      <c r="O1856">
        <v>18</v>
      </c>
      <c r="P1856" t="s">
        <v>3477</v>
      </c>
      <c r="Q1856">
        <v>18</v>
      </c>
      <c r="R1856" s="13">
        <v>1320</v>
      </c>
      <c r="S1856" s="13">
        <v>923.99999999999989</v>
      </c>
    </row>
    <row r="1857" spans="1:19">
      <c r="A1857" s="9" t="s">
        <v>23</v>
      </c>
      <c r="B1857" s="9" t="s">
        <v>26</v>
      </c>
      <c r="C1857" s="9" t="s">
        <v>156</v>
      </c>
      <c r="D1857" t="s">
        <v>204</v>
      </c>
      <c r="F1857" s="12" t="s">
        <v>3357</v>
      </c>
      <c r="G1857" s="10" t="s">
        <v>1423</v>
      </c>
      <c r="H1857" s="10" t="s">
        <v>1423</v>
      </c>
      <c r="K1857" t="s">
        <v>19</v>
      </c>
      <c r="L1857" t="s">
        <v>20</v>
      </c>
      <c r="M1857" s="9">
        <v>69101</v>
      </c>
      <c r="N1857" t="s">
        <v>3477</v>
      </c>
      <c r="O1857">
        <v>18</v>
      </c>
      <c r="P1857" t="s">
        <v>3477</v>
      </c>
      <c r="Q1857">
        <v>18</v>
      </c>
      <c r="R1857" s="13">
        <v>630000</v>
      </c>
      <c r="S1857" s="13">
        <v>378000</v>
      </c>
    </row>
    <row r="1858" spans="1:19">
      <c r="A1858" s="9" t="s">
        <v>23</v>
      </c>
      <c r="B1858" s="9" t="s">
        <v>26</v>
      </c>
      <c r="C1858" s="9" t="s">
        <v>156</v>
      </c>
      <c r="D1858" t="s">
        <v>204</v>
      </c>
      <c r="F1858" s="12" t="s">
        <v>3358</v>
      </c>
      <c r="G1858" s="10" t="s">
        <v>1424</v>
      </c>
      <c r="H1858" s="10" t="s">
        <v>1424</v>
      </c>
      <c r="K1858" t="s">
        <v>19</v>
      </c>
      <c r="L1858" t="s">
        <v>20</v>
      </c>
      <c r="M1858" s="9">
        <v>69101</v>
      </c>
      <c r="N1858" t="s">
        <v>3477</v>
      </c>
      <c r="O1858">
        <v>18</v>
      </c>
      <c r="P1858" t="s">
        <v>3477</v>
      </c>
      <c r="Q1858">
        <v>18</v>
      </c>
      <c r="R1858" s="13">
        <v>420000</v>
      </c>
      <c r="S1858" s="13">
        <v>252000</v>
      </c>
    </row>
    <row r="1859" spans="1:19">
      <c r="A1859" s="9" t="s">
        <v>22</v>
      </c>
      <c r="B1859" s="9" t="s">
        <v>30</v>
      </c>
      <c r="C1859" s="9" t="s">
        <v>50</v>
      </c>
      <c r="D1859" t="s">
        <v>204</v>
      </c>
      <c r="F1859" s="12" t="s">
        <v>3359</v>
      </c>
      <c r="G1859" s="10" t="s">
        <v>1425</v>
      </c>
      <c r="H1859" s="10" t="s">
        <v>1425</v>
      </c>
      <c r="K1859" t="s">
        <v>19</v>
      </c>
      <c r="L1859" t="s">
        <v>20</v>
      </c>
      <c r="M1859" s="9">
        <v>8481802</v>
      </c>
      <c r="N1859" t="s">
        <v>3477</v>
      </c>
      <c r="O1859">
        <v>18</v>
      </c>
      <c r="P1859" t="s">
        <v>3477</v>
      </c>
      <c r="Q1859">
        <v>18</v>
      </c>
      <c r="R1859" s="13">
        <v>27451</v>
      </c>
      <c r="S1859" s="13">
        <v>19215.699999999997</v>
      </c>
    </row>
    <row r="1860" spans="1:19">
      <c r="A1860" s="9" t="s">
        <v>22</v>
      </c>
      <c r="B1860" s="9" t="s">
        <v>27</v>
      </c>
      <c r="C1860" s="9" t="s">
        <v>50</v>
      </c>
      <c r="D1860" t="s">
        <v>204</v>
      </c>
      <c r="F1860" s="12" t="s">
        <v>3360</v>
      </c>
      <c r="G1860" s="10" t="s">
        <v>1426</v>
      </c>
      <c r="H1860" s="10" t="s">
        <v>1426</v>
      </c>
      <c r="K1860" t="s">
        <v>19</v>
      </c>
      <c r="L1860" t="s">
        <v>20</v>
      </c>
      <c r="M1860" s="9">
        <v>8481802</v>
      </c>
      <c r="N1860" t="s">
        <v>3477</v>
      </c>
      <c r="O1860">
        <v>18</v>
      </c>
      <c r="P1860" t="s">
        <v>3477</v>
      </c>
      <c r="Q1860">
        <v>18</v>
      </c>
      <c r="R1860" s="13">
        <v>15126</v>
      </c>
      <c r="S1860" s="13">
        <v>10588.199999999999</v>
      </c>
    </row>
    <row r="1861" spans="1:19">
      <c r="A1861" s="9" t="s">
        <v>23</v>
      </c>
      <c r="B1861" s="9" t="s">
        <v>29</v>
      </c>
      <c r="C1861" s="9" t="s">
        <v>99</v>
      </c>
      <c r="D1861" t="s">
        <v>204</v>
      </c>
      <c r="F1861" s="12" t="s">
        <v>3361</v>
      </c>
      <c r="G1861" s="10" t="s">
        <v>324</v>
      </c>
      <c r="H1861" s="10" t="s">
        <v>324</v>
      </c>
      <c r="K1861" t="s">
        <v>19</v>
      </c>
      <c r="L1861" t="s">
        <v>20</v>
      </c>
      <c r="M1861" s="9">
        <v>9019102</v>
      </c>
      <c r="N1861" t="s">
        <v>3477</v>
      </c>
      <c r="O1861">
        <v>18</v>
      </c>
      <c r="P1861" t="s">
        <v>3477</v>
      </c>
      <c r="Q1861">
        <v>18</v>
      </c>
      <c r="R1861" s="13">
        <v>609380</v>
      </c>
      <c r="S1861" s="13">
        <v>365628</v>
      </c>
    </row>
    <row r="1862" spans="1:19">
      <c r="A1862" s="9" t="s">
        <v>22</v>
      </c>
      <c r="B1862" s="9" t="s">
        <v>27</v>
      </c>
      <c r="C1862" s="9" t="s">
        <v>90</v>
      </c>
      <c r="D1862" t="s">
        <v>204</v>
      </c>
      <c r="F1862" s="12" t="s">
        <v>3362</v>
      </c>
      <c r="G1862" s="10" t="s">
        <v>1427</v>
      </c>
      <c r="H1862" s="10" t="s">
        <v>1427</v>
      </c>
      <c r="K1862" t="s">
        <v>19</v>
      </c>
      <c r="L1862" t="s">
        <v>20</v>
      </c>
      <c r="M1862" s="9">
        <v>7418202</v>
      </c>
      <c r="N1862" t="s">
        <v>3477</v>
      </c>
      <c r="O1862">
        <v>18</v>
      </c>
      <c r="P1862" t="s">
        <v>3477</v>
      </c>
      <c r="Q1862">
        <v>18</v>
      </c>
      <c r="R1862" s="13">
        <v>34700</v>
      </c>
      <c r="S1862" s="13">
        <v>24290</v>
      </c>
    </row>
    <row r="1863" spans="1:19">
      <c r="A1863" s="9" t="s">
        <v>23</v>
      </c>
      <c r="B1863" s="9" t="s">
        <v>37</v>
      </c>
      <c r="C1863" s="9" t="s">
        <v>73</v>
      </c>
      <c r="D1863" t="s">
        <v>204</v>
      </c>
      <c r="F1863" s="12" t="s">
        <v>3363</v>
      </c>
      <c r="G1863" s="10" t="s">
        <v>1428</v>
      </c>
      <c r="H1863" s="10" t="s">
        <v>1428</v>
      </c>
      <c r="K1863" t="s">
        <v>19</v>
      </c>
      <c r="L1863" t="s">
        <v>20</v>
      </c>
      <c r="M1863" s="9">
        <v>700992</v>
      </c>
      <c r="N1863" t="s">
        <v>3477</v>
      </c>
      <c r="O1863">
        <v>18</v>
      </c>
      <c r="P1863" t="s">
        <v>3477</v>
      </c>
      <c r="Q1863">
        <v>18</v>
      </c>
      <c r="R1863" s="13">
        <v>448800</v>
      </c>
      <c r="S1863" s="13">
        <v>269280</v>
      </c>
    </row>
    <row r="1864" spans="1:19">
      <c r="A1864" s="9" t="s">
        <v>22</v>
      </c>
      <c r="B1864" s="9" t="s">
        <v>26</v>
      </c>
      <c r="C1864" s="9" t="s">
        <v>80</v>
      </c>
      <c r="D1864" t="s">
        <v>204</v>
      </c>
      <c r="F1864" s="12" t="s">
        <v>3364</v>
      </c>
      <c r="G1864" s="10" t="s">
        <v>1429</v>
      </c>
      <c r="H1864" s="10" t="s">
        <v>1429</v>
      </c>
      <c r="K1864" t="s">
        <v>19</v>
      </c>
      <c r="L1864" t="s">
        <v>20</v>
      </c>
      <c r="M1864" s="9">
        <v>69101</v>
      </c>
      <c r="N1864" t="s">
        <v>3477</v>
      </c>
      <c r="O1864">
        <v>18</v>
      </c>
      <c r="P1864" t="s">
        <v>3477</v>
      </c>
      <c r="Q1864">
        <v>18</v>
      </c>
      <c r="R1864" s="13">
        <v>16000</v>
      </c>
      <c r="S1864" s="13">
        <v>11200</v>
      </c>
    </row>
    <row r="1865" spans="1:19">
      <c r="A1865" s="9" t="s">
        <v>22</v>
      </c>
      <c r="B1865" s="9" t="s">
        <v>26</v>
      </c>
      <c r="C1865" s="9" t="s">
        <v>80</v>
      </c>
      <c r="D1865" t="s">
        <v>204</v>
      </c>
      <c r="F1865" s="12" t="s">
        <v>3365</v>
      </c>
      <c r="G1865" s="10" t="s">
        <v>1430</v>
      </c>
      <c r="H1865" s="10" t="s">
        <v>1430</v>
      </c>
      <c r="K1865" t="s">
        <v>19</v>
      </c>
      <c r="L1865" t="s">
        <v>20</v>
      </c>
      <c r="M1865" s="9">
        <v>69101</v>
      </c>
      <c r="N1865" t="s">
        <v>3477</v>
      </c>
      <c r="O1865">
        <v>18</v>
      </c>
      <c r="P1865" t="s">
        <v>3477</v>
      </c>
      <c r="Q1865">
        <v>18</v>
      </c>
      <c r="R1865" s="13">
        <v>17000</v>
      </c>
      <c r="S1865" s="13">
        <v>11900</v>
      </c>
    </row>
    <row r="1866" spans="1:19">
      <c r="A1866" s="9" t="s">
        <v>22</v>
      </c>
      <c r="B1866" s="9" t="s">
        <v>26</v>
      </c>
      <c r="C1866" s="9" t="s">
        <v>80</v>
      </c>
      <c r="D1866" t="s">
        <v>204</v>
      </c>
      <c r="F1866" s="12" t="s">
        <v>3366</v>
      </c>
      <c r="G1866" s="10" t="s">
        <v>1431</v>
      </c>
      <c r="H1866" s="10" t="s">
        <v>1431</v>
      </c>
      <c r="K1866" t="s">
        <v>19</v>
      </c>
      <c r="L1866" t="s">
        <v>20</v>
      </c>
      <c r="M1866" s="9">
        <v>69101</v>
      </c>
      <c r="N1866" t="s">
        <v>3477</v>
      </c>
      <c r="O1866">
        <v>18</v>
      </c>
      <c r="P1866" t="s">
        <v>3477</v>
      </c>
      <c r="Q1866">
        <v>18</v>
      </c>
      <c r="R1866" s="13">
        <v>17490</v>
      </c>
      <c r="S1866" s="13">
        <v>12243</v>
      </c>
    </row>
    <row r="1867" spans="1:19">
      <c r="A1867" s="9" t="s">
        <v>22</v>
      </c>
      <c r="B1867" s="9" t="s">
        <v>26</v>
      </c>
      <c r="C1867" s="9" t="s">
        <v>80</v>
      </c>
      <c r="D1867" t="s">
        <v>204</v>
      </c>
      <c r="F1867" s="12" t="s">
        <v>3367</v>
      </c>
      <c r="G1867" s="10" t="s">
        <v>1432</v>
      </c>
      <c r="H1867" s="10" t="s">
        <v>1432</v>
      </c>
      <c r="K1867" t="s">
        <v>19</v>
      </c>
      <c r="L1867" t="s">
        <v>20</v>
      </c>
      <c r="M1867" s="9">
        <v>69101</v>
      </c>
      <c r="N1867" t="s">
        <v>3477</v>
      </c>
      <c r="O1867">
        <v>18</v>
      </c>
      <c r="P1867" t="s">
        <v>3477</v>
      </c>
      <c r="Q1867">
        <v>18</v>
      </c>
      <c r="R1867" s="13">
        <v>19550</v>
      </c>
      <c r="S1867" s="13">
        <v>13685</v>
      </c>
    </row>
    <row r="1868" spans="1:19">
      <c r="A1868" s="9" t="s">
        <v>22</v>
      </c>
      <c r="B1868" s="9" t="s">
        <v>26</v>
      </c>
      <c r="C1868" s="9" t="s">
        <v>80</v>
      </c>
      <c r="D1868" t="s">
        <v>204</v>
      </c>
      <c r="F1868" s="12" t="s">
        <v>3368</v>
      </c>
      <c r="G1868" s="10" t="s">
        <v>1433</v>
      </c>
      <c r="H1868" s="10" t="s">
        <v>1433</v>
      </c>
      <c r="K1868" t="s">
        <v>19</v>
      </c>
      <c r="L1868" t="s">
        <v>20</v>
      </c>
      <c r="M1868" s="9">
        <v>69101</v>
      </c>
      <c r="N1868" t="s">
        <v>3477</v>
      </c>
      <c r="O1868">
        <v>18</v>
      </c>
      <c r="P1868" t="s">
        <v>3477</v>
      </c>
      <c r="Q1868">
        <v>18</v>
      </c>
      <c r="R1868" s="13">
        <v>19550</v>
      </c>
      <c r="S1868" s="13">
        <v>13685</v>
      </c>
    </row>
    <row r="1869" spans="1:19">
      <c r="A1869" s="9" t="s">
        <v>22</v>
      </c>
      <c r="B1869" s="9" t="s">
        <v>26</v>
      </c>
      <c r="C1869" s="9" t="s">
        <v>80</v>
      </c>
      <c r="D1869" t="s">
        <v>204</v>
      </c>
      <c r="F1869" s="12" t="s">
        <v>3369</v>
      </c>
      <c r="G1869" s="10" t="s">
        <v>1434</v>
      </c>
      <c r="H1869" s="10" t="s">
        <v>1434</v>
      </c>
      <c r="K1869" t="s">
        <v>19</v>
      </c>
      <c r="L1869" t="s">
        <v>20</v>
      </c>
      <c r="M1869" s="9">
        <v>69101</v>
      </c>
      <c r="N1869" t="s">
        <v>3477</v>
      </c>
      <c r="O1869">
        <v>18</v>
      </c>
      <c r="P1869" t="s">
        <v>3477</v>
      </c>
      <c r="Q1869">
        <v>18</v>
      </c>
      <c r="R1869" s="13">
        <v>19550</v>
      </c>
      <c r="S1869" s="13">
        <v>13685</v>
      </c>
    </row>
    <row r="1870" spans="1:19">
      <c r="A1870" s="9" t="s">
        <v>22</v>
      </c>
      <c r="B1870" s="9" t="s">
        <v>26</v>
      </c>
      <c r="C1870" s="9" t="s">
        <v>86</v>
      </c>
      <c r="D1870" t="s">
        <v>204</v>
      </c>
      <c r="F1870" s="12" t="s">
        <v>3370</v>
      </c>
      <c r="G1870" s="10" t="s">
        <v>1435</v>
      </c>
      <c r="H1870" s="10" t="s">
        <v>1435</v>
      </c>
      <c r="K1870" t="s">
        <v>19</v>
      </c>
      <c r="L1870" t="s">
        <v>20</v>
      </c>
      <c r="M1870" s="9">
        <v>69101</v>
      </c>
      <c r="N1870" t="s">
        <v>3477</v>
      </c>
      <c r="O1870">
        <v>18</v>
      </c>
      <c r="P1870" t="s">
        <v>3477</v>
      </c>
      <c r="Q1870">
        <v>18</v>
      </c>
      <c r="R1870" s="13">
        <v>12500</v>
      </c>
      <c r="S1870" s="13">
        <v>8750</v>
      </c>
    </row>
    <row r="1871" spans="1:19">
      <c r="A1871" s="9" t="s">
        <v>22</v>
      </c>
      <c r="B1871" s="9" t="s">
        <v>27</v>
      </c>
      <c r="C1871" s="9" t="s">
        <v>50</v>
      </c>
      <c r="D1871" t="s">
        <v>204</v>
      </c>
      <c r="F1871" s="12" t="s">
        <v>3371</v>
      </c>
      <c r="G1871" s="10" t="s">
        <v>1436</v>
      </c>
      <c r="H1871" s="10" t="s">
        <v>1436</v>
      </c>
      <c r="K1871" t="s">
        <v>19</v>
      </c>
      <c r="L1871" t="s">
        <v>20</v>
      </c>
      <c r="M1871" s="9">
        <v>7418202</v>
      </c>
      <c r="N1871" t="s">
        <v>3477</v>
      </c>
      <c r="O1871">
        <v>18</v>
      </c>
      <c r="P1871" t="s">
        <v>3477</v>
      </c>
      <c r="Q1871">
        <v>18</v>
      </c>
      <c r="R1871" s="13">
        <v>1995</v>
      </c>
      <c r="S1871" s="13">
        <v>1396.5</v>
      </c>
    </row>
    <row r="1872" spans="1:19">
      <c r="A1872" s="9" t="s">
        <v>22</v>
      </c>
      <c r="B1872" s="9" t="s">
        <v>30</v>
      </c>
      <c r="C1872" s="9" t="s">
        <v>50</v>
      </c>
      <c r="D1872" t="s">
        <v>204</v>
      </c>
      <c r="F1872" s="12" t="s">
        <v>3372</v>
      </c>
      <c r="G1872" s="10" t="s">
        <v>1437</v>
      </c>
      <c r="H1872" s="10" t="s">
        <v>1437</v>
      </c>
      <c r="K1872" t="s">
        <v>19</v>
      </c>
      <c r="L1872" t="s">
        <v>20</v>
      </c>
      <c r="M1872" s="9">
        <v>7418202</v>
      </c>
      <c r="N1872" t="s">
        <v>3477</v>
      </c>
      <c r="O1872">
        <v>18</v>
      </c>
      <c r="P1872" t="s">
        <v>3477</v>
      </c>
      <c r="Q1872">
        <v>18</v>
      </c>
      <c r="R1872" s="13">
        <v>6667</v>
      </c>
      <c r="S1872" s="13">
        <v>4666.8999999999996</v>
      </c>
    </row>
    <row r="1873" spans="1:19">
      <c r="A1873" s="9" t="s">
        <v>23</v>
      </c>
      <c r="B1873" s="9" t="s">
        <v>27</v>
      </c>
      <c r="C1873" s="9" t="s">
        <v>134</v>
      </c>
      <c r="D1873" t="s">
        <v>204</v>
      </c>
      <c r="F1873" s="12" t="s">
        <v>3373</v>
      </c>
      <c r="G1873" s="10" t="s">
        <v>1438</v>
      </c>
      <c r="H1873" s="10" t="s">
        <v>1438</v>
      </c>
      <c r="K1873" t="s">
        <v>19</v>
      </c>
      <c r="L1873" t="s">
        <v>20</v>
      </c>
      <c r="M1873" s="9">
        <v>8481802</v>
      </c>
      <c r="N1873" t="s">
        <v>3477</v>
      </c>
      <c r="O1873">
        <v>18</v>
      </c>
      <c r="P1873" t="s">
        <v>3477</v>
      </c>
      <c r="Q1873">
        <v>18</v>
      </c>
      <c r="R1873" s="13">
        <v>61740</v>
      </c>
      <c r="S1873" s="13">
        <v>37044</v>
      </c>
    </row>
    <row r="1874" spans="1:19">
      <c r="A1874" s="9" t="s">
        <v>23</v>
      </c>
      <c r="B1874" s="9" t="s">
        <v>27</v>
      </c>
      <c r="C1874" s="9" t="s">
        <v>84</v>
      </c>
      <c r="D1874" t="s">
        <v>204</v>
      </c>
      <c r="F1874" s="12" t="s">
        <v>3374</v>
      </c>
      <c r="G1874" s="10" t="s">
        <v>1439</v>
      </c>
      <c r="H1874" s="10" t="s">
        <v>1439</v>
      </c>
      <c r="K1874" t="s">
        <v>19</v>
      </c>
      <c r="L1874" t="s">
        <v>20</v>
      </c>
      <c r="M1874" s="9">
        <v>39229</v>
      </c>
      <c r="N1874" t="s">
        <v>3477</v>
      </c>
      <c r="O1874">
        <v>18</v>
      </c>
      <c r="P1874" t="s">
        <v>3477</v>
      </c>
      <c r="Q1874">
        <v>18</v>
      </c>
      <c r="R1874" s="13">
        <v>74890</v>
      </c>
      <c r="S1874" s="13">
        <v>44934</v>
      </c>
    </row>
    <row r="1875" spans="1:19">
      <c r="A1875" s="9" t="s">
        <v>22</v>
      </c>
      <c r="B1875" s="9" t="s">
        <v>30</v>
      </c>
      <c r="C1875" s="9" t="s">
        <v>50</v>
      </c>
      <c r="D1875" t="s">
        <v>204</v>
      </c>
      <c r="F1875" s="12" t="s">
        <v>3375</v>
      </c>
      <c r="G1875" s="10" t="s">
        <v>1360</v>
      </c>
      <c r="H1875" s="10" t="s">
        <v>1360</v>
      </c>
      <c r="K1875" t="s">
        <v>19</v>
      </c>
      <c r="L1875" t="s">
        <v>20</v>
      </c>
      <c r="M1875" s="9">
        <v>39229</v>
      </c>
      <c r="N1875" t="s">
        <v>3477</v>
      </c>
      <c r="O1875">
        <v>18</v>
      </c>
      <c r="P1875" t="s">
        <v>3477</v>
      </c>
      <c r="Q1875">
        <v>18</v>
      </c>
      <c r="R1875" s="13">
        <v>2500</v>
      </c>
      <c r="S1875" s="13">
        <v>1750</v>
      </c>
    </row>
    <row r="1876" spans="1:19">
      <c r="A1876" s="9" t="s">
        <v>22</v>
      </c>
      <c r="B1876" s="9" t="s">
        <v>27</v>
      </c>
      <c r="C1876" s="9" t="s">
        <v>50</v>
      </c>
      <c r="D1876" t="s">
        <v>204</v>
      </c>
      <c r="F1876" s="12" t="s">
        <v>3376</v>
      </c>
      <c r="G1876" s="10" t="s">
        <v>1360</v>
      </c>
      <c r="H1876" s="10" t="s">
        <v>1360</v>
      </c>
      <c r="K1876" t="s">
        <v>19</v>
      </c>
      <c r="L1876" t="s">
        <v>20</v>
      </c>
      <c r="M1876" s="9">
        <v>8481809</v>
      </c>
      <c r="N1876" t="s">
        <v>3477</v>
      </c>
      <c r="O1876">
        <v>18</v>
      </c>
      <c r="P1876" t="s">
        <v>3477</v>
      </c>
      <c r="Q1876">
        <v>18</v>
      </c>
      <c r="R1876" s="13">
        <v>7207</v>
      </c>
      <c r="S1876" s="13">
        <v>5044.8999999999996</v>
      </c>
    </row>
    <row r="1877" spans="1:19">
      <c r="A1877" s="9" t="s">
        <v>22</v>
      </c>
      <c r="B1877" s="9" t="s">
        <v>27</v>
      </c>
      <c r="C1877" s="9" t="s">
        <v>50</v>
      </c>
      <c r="D1877" t="s">
        <v>204</v>
      </c>
      <c r="F1877" s="12" t="s">
        <v>3377</v>
      </c>
      <c r="G1877" s="10" t="s">
        <v>1361</v>
      </c>
      <c r="H1877" s="10" t="s">
        <v>1361</v>
      </c>
      <c r="K1877" t="s">
        <v>19</v>
      </c>
      <c r="L1877" t="s">
        <v>20</v>
      </c>
      <c r="M1877" s="9">
        <v>8481809</v>
      </c>
      <c r="N1877" t="s">
        <v>3477</v>
      </c>
      <c r="O1877">
        <v>18</v>
      </c>
      <c r="P1877" t="s">
        <v>3477</v>
      </c>
      <c r="Q1877">
        <v>18</v>
      </c>
      <c r="R1877" s="13">
        <v>7833</v>
      </c>
      <c r="S1877" s="13">
        <v>5483.0999999999995</v>
      </c>
    </row>
    <row r="1878" spans="1:19">
      <c r="A1878" s="9" t="s">
        <v>22</v>
      </c>
      <c r="B1878" s="9" t="s">
        <v>27</v>
      </c>
      <c r="C1878" s="9" t="s">
        <v>50</v>
      </c>
      <c r="D1878" t="s">
        <v>204</v>
      </c>
      <c r="F1878" s="12" t="s">
        <v>3378</v>
      </c>
      <c r="G1878" s="10" t="s">
        <v>1361</v>
      </c>
      <c r="H1878" s="10" t="s">
        <v>1361</v>
      </c>
      <c r="K1878" t="s">
        <v>19</v>
      </c>
      <c r="L1878" t="s">
        <v>20</v>
      </c>
      <c r="M1878" s="9">
        <v>8481809</v>
      </c>
      <c r="N1878" t="s">
        <v>3477</v>
      </c>
      <c r="O1878">
        <v>18</v>
      </c>
      <c r="P1878" t="s">
        <v>3477</v>
      </c>
      <c r="Q1878">
        <v>18</v>
      </c>
      <c r="R1878" s="13">
        <v>6832</v>
      </c>
      <c r="S1878" s="13">
        <v>4782.3999999999996</v>
      </c>
    </row>
    <row r="1879" spans="1:19">
      <c r="A1879" s="9" t="s">
        <v>22</v>
      </c>
      <c r="B1879" s="9" t="s">
        <v>27</v>
      </c>
      <c r="C1879" s="9" t="s">
        <v>50</v>
      </c>
      <c r="D1879" t="s">
        <v>204</v>
      </c>
      <c r="F1879" s="12" t="s">
        <v>3379</v>
      </c>
      <c r="G1879" s="10" t="s">
        <v>1440</v>
      </c>
      <c r="H1879" s="10" t="s">
        <v>1440</v>
      </c>
      <c r="K1879" t="s">
        <v>19</v>
      </c>
      <c r="L1879" t="s">
        <v>20</v>
      </c>
      <c r="M1879" s="9">
        <v>8481809</v>
      </c>
      <c r="N1879" t="s">
        <v>3477</v>
      </c>
      <c r="O1879">
        <v>18</v>
      </c>
      <c r="P1879" t="s">
        <v>3477</v>
      </c>
      <c r="Q1879">
        <v>18</v>
      </c>
      <c r="R1879" s="13">
        <v>6832</v>
      </c>
      <c r="S1879" s="13">
        <v>4782.3999999999996</v>
      </c>
    </row>
    <row r="1880" spans="1:19">
      <c r="A1880" s="9" t="s">
        <v>23</v>
      </c>
      <c r="B1880" s="9" t="s">
        <v>27</v>
      </c>
      <c r="C1880" s="9" t="s">
        <v>95</v>
      </c>
      <c r="D1880" t="s">
        <v>204</v>
      </c>
      <c r="F1880" s="12" t="s">
        <v>3380</v>
      </c>
      <c r="G1880" s="10" t="s">
        <v>1441</v>
      </c>
      <c r="H1880" s="10" t="s">
        <v>1441</v>
      </c>
      <c r="K1880" t="s">
        <v>19</v>
      </c>
      <c r="L1880" t="s">
        <v>20</v>
      </c>
      <c r="M1880" s="9">
        <v>8481909</v>
      </c>
      <c r="N1880" t="s">
        <v>3477</v>
      </c>
      <c r="O1880">
        <v>18</v>
      </c>
      <c r="P1880" t="s">
        <v>3477</v>
      </c>
      <c r="Q1880">
        <v>18</v>
      </c>
      <c r="R1880" s="13">
        <v>11160</v>
      </c>
      <c r="S1880" s="13">
        <v>6696</v>
      </c>
    </row>
    <row r="1881" spans="1:19">
      <c r="A1881" s="9" t="s">
        <v>23</v>
      </c>
      <c r="B1881" s="9" t="s">
        <v>27</v>
      </c>
      <c r="C1881" s="9" t="s">
        <v>95</v>
      </c>
      <c r="D1881" t="s">
        <v>204</v>
      </c>
      <c r="F1881" s="12" t="s">
        <v>3381</v>
      </c>
      <c r="G1881" s="10" t="s">
        <v>1442</v>
      </c>
      <c r="H1881" s="10" t="s">
        <v>1442</v>
      </c>
      <c r="K1881" t="s">
        <v>19</v>
      </c>
      <c r="L1881" t="s">
        <v>20</v>
      </c>
      <c r="M1881" s="9">
        <v>8481909</v>
      </c>
      <c r="N1881" t="s">
        <v>3477</v>
      </c>
      <c r="O1881">
        <v>18</v>
      </c>
      <c r="P1881" t="s">
        <v>3477</v>
      </c>
      <c r="Q1881">
        <v>18</v>
      </c>
      <c r="R1881" s="13">
        <v>18160</v>
      </c>
      <c r="S1881" s="13">
        <v>10896</v>
      </c>
    </row>
    <row r="1882" spans="1:19">
      <c r="A1882" s="9" t="s">
        <v>22</v>
      </c>
      <c r="B1882" s="9" t="s">
        <v>26</v>
      </c>
      <c r="C1882" s="9" t="s">
        <v>80</v>
      </c>
      <c r="D1882" t="s">
        <v>204</v>
      </c>
      <c r="F1882" s="12" t="s">
        <v>3382</v>
      </c>
      <c r="G1882" s="10" t="s">
        <v>1443</v>
      </c>
      <c r="H1882" s="10" t="s">
        <v>1443</v>
      </c>
      <c r="K1882" t="s">
        <v>19</v>
      </c>
      <c r="L1882" t="s">
        <v>20</v>
      </c>
      <c r="M1882" s="9">
        <v>69101</v>
      </c>
      <c r="N1882" t="s">
        <v>3477</v>
      </c>
      <c r="O1882">
        <v>18</v>
      </c>
      <c r="P1882" t="s">
        <v>3477</v>
      </c>
      <c r="Q1882">
        <v>18</v>
      </c>
      <c r="R1882" s="13">
        <v>12190</v>
      </c>
      <c r="S1882" s="13">
        <v>8533</v>
      </c>
    </row>
    <row r="1883" spans="1:19">
      <c r="A1883" s="9" t="s">
        <v>22</v>
      </c>
      <c r="B1883" s="9" t="s">
        <v>26</v>
      </c>
      <c r="C1883" s="9" t="s">
        <v>80</v>
      </c>
      <c r="D1883" t="s">
        <v>204</v>
      </c>
      <c r="F1883" s="12" t="s">
        <v>3383</v>
      </c>
      <c r="G1883" s="10" t="s">
        <v>1444</v>
      </c>
      <c r="H1883" s="10" t="s">
        <v>1444</v>
      </c>
      <c r="K1883" t="s">
        <v>19</v>
      </c>
      <c r="L1883" t="s">
        <v>20</v>
      </c>
      <c r="M1883" s="9">
        <v>69101</v>
      </c>
      <c r="N1883" t="s">
        <v>3477</v>
      </c>
      <c r="O1883">
        <v>18</v>
      </c>
      <c r="P1883" t="s">
        <v>3477</v>
      </c>
      <c r="Q1883">
        <v>18</v>
      </c>
      <c r="R1883" s="13">
        <v>12190</v>
      </c>
      <c r="S1883" s="13">
        <v>8533</v>
      </c>
    </row>
    <row r="1884" spans="1:19">
      <c r="A1884" s="9" t="s">
        <v>22</v>
      </c>
      <c r="B1884" s="9" t="s">
        <v>26</v>
      </c>
      <c r="C1884" s="9" t="s">
        <v>86</v>
      </c>
      <c r="D1884" t="s">
        <v>204</v>
      </c>
      <c r="F1884" s="12" t="s">
        <v>3384</v>
      </c>
      <c r="G1884" s="10" t="s">
        <v>1445</v>
      </c>
      <c r="H1884" s="10" t="s">
        <v>1445</v>
      </c>
      <c r="K1884" t="s">
        <v>19</v>
      </c>
      <c r="L1884" t="s">
        <v>20</v>
      </c>
      <c r="M1884" s="9">
        <v>69101</v>
      </c>
      <c r="N1884" t="s">
        <v>3477</v>
      </c>
      <c r="O1884">
        <v>18</v>
      </c>
      <c r="P1884" t="s">
        <v>3477</v>
      </c>
      <c r="Q1884">
        <v>18</v>
      </c>
      <c r="R1884" s="13">
        <v>15000</v>
      </c>
      <c r="S1884" s="13">
        <v>10500</v>
      </c>
    </row>
    <row r="1885" spans="1:19">
      <c r="A1885" s="9" t="s">
        <v>22</v>
      </c>
      <c r="B1885" s="9" t="s">
        <v>26</v>
      </c>
      <c r="C1885" s="9" t="s">
        <v>98</v>
      </c>
      <c r="D1885" t="s">
        <v>204</v>
      </c>
      <c r="F1885" s="12" t="s">
        <v>3385</v>
      </c>
      <c r="G1885" s="10" t="s">
        <v>1446</v>
      </c>
      <c r="H1885" s="10" t="s">
        <v>1446</v>
      </c>
      <c r="K1885" t="s">
        <v>19</v>
      </c>
      <c r="L1885" t="s">
        <v>20</v>
      </c>
      <c r="M1885" s="9">
        <v>39229</v>
      </c>
      <c r="N1885" t="s">
        <v>3477</v>
      </c>
      <c r="O1885">
        <v>18</v>
      </c>
      <c r="P1885" t="s">
        <v>3477</v>
      </c>
      <c r="Q1885">
        <v>18</v>
      </c>
      <c r="R1885" s="13">
        <v>6400</v>
      </c>
      <c r="S1885" s="13">
        <v>4480</v>
      </c>
    </row>
    <row r="1886" spans="1:19">
      <c r="A1886" s="9" t="s">
        <v>22</v>
      </c>
      <c r="B1886" s="9" t="s">
        <v>26</v>
      </c>
      <c r="C1886" s="9" t="s">
        <v>98</v>
      </c>
      <c r="D1886" t="s">
        <v>204</v>
      </c>
      <c r="F1886" s="12" t="s">
        <v>3386</v>
      </c>
      <c r="G1886" s="10" t="s">
        <v>1447</v>
      </c>
      <c r="H1886" s="10" t="s">
        <v>1447</v>
      </c>
      <c r="K1886" t="s">
        <v>19</v>
      </c>
      <c r="L1886" t="s">
        <v>20</v>
      </c>
      <c r="M1886" s="9">
        <v>39229</v>
      </c>
      <c r="N1886" t="s">
        <v>3477</v>
      </c>
      <c r="O1886">
        <v>18</v>
      </c>
      <c r="P1886" t="s">
        <v>3477</v>
      </c>
      <c r="Q1886">
        <v>18</v>
      </c>
      <c r="R1886" s="13">
        <v>6400</v>
      </c>
      <c r="S1886" s="13">
        <v>4480</v>
      </c>
    </row>
    <row r="1887" spans="1:19">
      <c r="A1887" s="9" t="s">
        <v>22</v>
      </c>
      <c r="B1887" s="9" t="s">
        <v>26</v>
      </c>
      <c r="C1887" s="9" t="s">
        <v>98</v>
      </c>
      <c r="D1887" t="s">
        <v>204</v>
      </c>
      <c r="F1887" s="12" t="s">
        <v>3387</v>
      </c>
      <c r="G1887" s="10" t="s">
        <v>1448</v>
      </c>
      <c r="H1887" s="10" t="s">
        <v>1448</v>
      </c>
      <c r="K1887" t="s">
        <v>19</v>
      </c>
      <c r="L1887" t="s">
        <v>20</v>
      </c>
      <c r="M1887" s="9">
        <v>39229</v>
      </c>
      <c r="N1887" t="s">
        <v>3477</v>
      </c>
      <c r="O1887">
        <v>18</v>
      </c>
      <c r="P1887" t="s">
        <v>3477</v>
      </c>
      <c r="Q1887">
        <v>18</v>
      </c>
      <c r="R1887" s="13">
        <v>7640</v>
      </c>
      <c r="S1887" s="13">
        <v>5348</v>
      </c>
    </row>
    <row r="1888" spans="1:19">
      <c r="A1888" s="9" t="s">
        <v>22</v>
      </c>
      <c r="B1888" s="9" t="s">
        <v>26</v>
      </c>
      <c r="C1888" s="9" t="s">
        <v>80</v>
      </c>
      <c r="D1888" t="s">
        <v>204</v>
      </c>
      <c r="F1888" s="12" t="s">
        <v>3388</v>
      </c>
      <c r="G1888" s="10" t="s">
        <v>1360</v>
      </c>
      <c r="H1888" s="10" t="s">
        <v>1360</v>
      </c>
      <c r="K1888" t="s">
        <v>19</v>
      </c>
      <c r="L1888" t="s">
        <v>20</v>
      </c>
      <c r="M1888" s="9">
        <v>69101</v>
      </c>
      <c r="N1888" t="s">
        <v>3477</v>
      </c>
      <c r="O1888">
        <v>18</v>
      </c>
      <c r="P1888" t="s">
        <v>3477</v>
      </c>
      <c r="Q1888">
        <v>18</v>
      </c>
      <c r="R1888" s="13">
        <v>15500</v>
      </c>
      <c r="S1888" s="13">
        <v>10850</v>
      </c>
    </row>
    <row r="1889" spans="1:19">
      <c r="A1889" s="9" t="s">
        <v>22</v>
      </c>
      <c r="B1889" s="9" t="s">
        <v>27</v>
      </c>
      <c r="C1889" s="9" t="s">
        <v>50</v>
      </c>
      <c r="D1889" t="s">
        <v>204</v>
      </c>
      <c r="F1889" s="12" t="s">
        <v>3389</v>
      </c>
      <c r="G1889" s="10" t="s">
        <v>1360</v>
      </c>
      <c r="H1889" s="10" t="s">
        <v>1360</v>
      </c>
      <c r="K1889" t="s">
        <v>19</v>
      </c>
      <c r="L1889" t="s">
        <v>20</v>
      </c>
      <c r="M1889" s="9">
        <v>8481809</v>
      </c>
      <c r="N1889" t="s">
        <v>3477</v>
      </c>
      <c r="O1889">
        <v>18</v>
      </c>
      <c r="P1889" t="s">
        <v>3477</v>
      </c>
      <c r="Q1889">
        <v>18</v>
      </c>
      <c r="R1889" s="13">
        <v>5439</v>
      </c>
      <c r="S1889" s="13">
        <v>3807.2999999999997</v>
      </c>
    </row>
    <row r="1890" spans="1:19">
      <c r="A1890" s="9" t="s">
        <v>22</v>
      </c>
      <c r="B1890" s="9" t="s">
        <v>27</v>
      </c>
      <c r="C1890" s="9" t="s">
        <v>50</v>
      </c>
      <c r="D1890" t="s">
        <v>204</v>
      </c>
      <c r="F1890" s="12" t="s">
        <v>3390</v>
      </c>
      <c r="G1890" s="10" t="s">
        <v>1361</v>
      </c>
      <c r="H1890" s="10" t="s">
        <v>1361</v>
      </c>
      <c r="K1890" t="s">
        <v>19</v>
      </c>
      <c r="L1890" t="s">
        <v>20</v>
      </c>
      <c r="M1890" s="9">
        <v>8481809</v>
      </c>
      <c r="N1890" t="s">
        <v>3477</v>
      </c>
      <c r="O1890">
        <v>18</v>
      </c>
      <c r="P1890" t="s">
        <v>3477</v>
      </c>
      <c r="Q1890">
        <v>18</v>
      </c>
      <c r="R1890" s="13">
        <v>5439</v>
      </c>
      <c r="S1890" s="13">
        <v>3807.2999999999997</v>
      </c>
    </row>
    <row r="1891" spans="1:19">
      <c r="A1891" s="9" t="s">
        <v>22</v>
      </c>
      <c r="B1891" s="9" t="s">
        <v>27</v>
      </c>
      <c r="C1891" s="9" t="s">
        <v>50</v>
      </c>
      <c r="D1891" t="s">
        <v>204</v>
      </c>
      <c r="F1891" s="12" t="s">
        <v>3391</v>
      </c>
      <c r="G1891" s="10" t="s">
        <v>1361</v>
      </c>
      <c r="H1891" s="10" t="s">
        <v>1361</v>
      </c>
      <c r="K1891" t="s">
        <v>19</v>
      </c>
      <c r="L1891" t="s">
        <v>20</v>
      </c>
      <c r="M1891" s="9">
        <v>8481809</v>
      </c>
      <c r="N1891" t="s">
        <v>3477</v>
      </c>
      <c r="O1891">
        <v>18</v>
      </c>
      <c r="P1891" t="s">
        <v>3477</v>
      </c>
      <c r="Q1891">
        <v>18</v>
      </c>
      <c r="R1891" s="13">
        <v>4035</v>
      </c>
      <c r="S1891" s="13">
        <v>2824.5</v>
      </c>
    </row>
    <row r="1892" spans="1:19">
      <c r="A1892" s="9" t="s">
        <v>22</v>
      </c>
      <c r="B1892" s="9" t="s">
        <v>27</v>
      </c>
      <c r="C1892" s="9" t="s">
        <v>50</v>
      </c>
      <c r="D1892" t="s">
        <v>204</v>
      </c>
      <c r="F1892" s="12" t="s">
        <v>3392</v>
      </c>
      <c r="G1892" s="10" t="s">
        <v>1449</v>
      </c>
      <c r="H1892" s="10" t="s">
        <v>1449</v>
      </c>
      <c r="K1892" t="s">
        <v>19</v>
      </c>
      <c r="L1892" t="s">
        <v>20</v>
      </c>
      <c r="M1892" s="9">
        <v>8481809</v>
      </c>
      <c r="N1892" t="s">
        <v>3477</v>
      </c>
      <c r="O1892">
        <v>18</v>
      </c>
      <c r="P1892" t="s">
        <v>3477</v>
      </c>
      <c r="Q1892">
        <v>18</v>
      </c>
      <c r="R1892" s="13">
        <v>4384</v>
      </c>
      <c r="S1892" s="13">
        <v>3068.7999999999997</v>
      </c>
    </row>
    <row r="1893" spans="1:19">
      <c r="A1893" s="9" t="s">
        <v>23</v>
      </c>
      <c r="B1893" s="9" t="s">
        <v>26</v>
      </c>
      <c r="C1893" s="9" t="s">
        <v>76</v>
      </c>
      <c r="D1893" t="s">
        <v>204</v>
      </c>
      <c r="F1893" s="12" t="s">
        <v>3393</v>
      </c>
      <c r="G1893" s="10" t="s">
        <v>1450</v>
      </c>
      <c r="H1893" s="10" t="s">
        <v>1450</v>
      </c>
      <c r="K1893" t="s">
        <v>19</v>
      </c>
      <c r="L1893" t="s">
        <v>20</v>
      </c>
      <c r="M1893" s="9">
        <v>39222</v>
      </c>
      <c r="N1893" t="s">
        <v>3477</v>
      </c>
      <c r="O1893">
        <v>18</v>
      </c>
      <c r="P1893" t="s">
        <v>3477</v>
      </c>
      <c r="Q1893">
        <v>18</v>
      </c>
      <c r="R1893" s="13">
        <v>8000</v>
      </c>
      <c r="S1893" s="13">
        <v>4800</v>
      </c>
    </row>
    <row r="1894" spans="1:19">
      <c r="A1894" s="9" t="s">
        <v>22</v>
      </c>
      <c r="B1894" s="9" t="s">
        <v>27</v>
      </c>
      <c r="C1894" s="9" t="s">
        <v>50</v>
      </c>
      <c r="D1894" t="s">
        <v>204</v>
      </c>
      <c r="F1894" s="12" t="s">
        <v>3394</v>
      </c>
      <c r="G1894" s="10" t="s">
        <v>1451</v>
      </c>
      <c r="H1894" s="10" t="s">
        <v>1451</v>
      </c>
      <c r="K1894" t="s">
        <v>19</v>
      </c>
      <c r="L1894" t="s">
        <v>20</v>
      </c>
      <c r="M1894" s="9">
        <v>39229</v>
      </c>
      <c r="N1894" t="s">
        <v>3477</v>
      </c>
      <c r="O1894">
        <v>18</v>
      </c>
      <c r="P1894" t="s">
        <v>3477</v>
      </c>
      <c r="Q1894">
        <v>18</v>
      </c>
      <c r="R1894" s="13">
        <v>3273</v>
      </c>
      <c r="S1894" s="13">
        <v>2291.1</v>
      </c>
    </row>
    <row r="1895" spans="1:19">
      <c r="A1895" s="9" t="s">
        <v>23</v>
      </c>
      <c r="B1895" s="9" t="s">
        <v>33</v>
      </c>
      <c r="C1895" s="9" t="s">
        <v>202</v>
      </c>
      <c r="D1895" t="s">
        <v>204</v>
      </c>
      <c r="F1895" s="12" t="s">
        <v>3395</v>
      </c>
      <c r="G1895" s="10" t="s">
        <v>1452</v>
      </c>
      <c r="H1895" s="10" t="s">
        <v>1452</v>
      </c>
      <c r="K1895" t="s">
        <v>19</v>
      </c>
      <c r="L1895" t="s">
        <v>20</v>
      </c>
      <c r="M1895" s="9">
        <v>700991</v>
      </c>
      <c r="N1895" t="s">
        <v>3477</v>
      </c>
      <c r="O1895">
        <v>18</v>
      </c>
      <c r="P1895" t="s">
        <v>3477</v>
      </c>
      <c r="Q1895">
        <v>18</v>
      </c>
      <c r="R1895" s="13">
        <v>65900</v>
      </c>
      <c r="S1895" s="13">
        <v>39540</v>
      </c>
    </row>
    <row r="1896" spans="1:19">
      <c r="A1896" s="9" t="s">
        <v>23</v>
      </c>
      <c r="B1896" s="9" t="s">
        <v>26</v>
      </c>
      <c r="C1896" s="9" t="s">
        <v>43</v>
      </c>
      <c r="D1896" t="s">
        <v>204</v>
      </c>
      <c r="F1896" s="12" t="s">
        <v>3396</v>
      </c>
      <c r="G1896" s="10" t="s">
        <v>1453</v>
      </c>
      <c r="H1896" s="10" t="s">
        <v>1453</v>
      </c>
      <c r="K1896" t="s">
        <v>19</v>
      </c>
      <c r="L1896" t="s">
        <v>20</v>
      </c>
      <c r="M1896" s="9">
        <v>69101</v>
      </c>
      <c r="N1896" t="s">
        <v>3477</v>
      </c>
      <c r="O1896">
        <v>18</v>
      </c>
      <c r="P1896" t="s">
        <v>3477</v>
      </c>
      <c r="Q1896">
        <v>18</v>
      </c>
      <c r="R1896" s="13">
        <v>56250</v>
      </c>
      <c r="S1896" s="13">
        <v>33750</v>
      </c>
    </row>
    <row r="1897" spans="1:19">
      <c r="A1897" s="9" t="s">
        <v>23</v>
      </c>
      <c r="B1897" s="9" t="s">
        <v>26</v>
      </c>
      <c r="C1897" s="9" t="s">
        <v>43</v>
      </c>
      <c r="D1897" t="s">
        <v>204</v>
      </c>
      <c r="F1897" s="12" t="s">
        <v>3397</v>
      </c>
      <c r="G1897" s="10" t="s">
        <v>1454</v>
      </c>
      <c r="H1897" s="10" t="s">
        <v>1454</v>
      </c>
      <c r="K1897" t="s">
        <v>19</v>
      </c>
      <c r="L1897" t="s">
        <v>20</v>
      </c>
      <c r="M1897" s="9">
        <v>69101</v>
      </c>
      <c r="N1897" t="s">
        <v>3477</v>
      </c>
      <c r="O1897">
        <v>18</v>
      </c>
      <c r="P1897" t="s">
        <v>3477</v>
      </c>
      <c r="Q1897">
        <v>18</v>
      </c>
      <c r="R1897" s="13">
        <v>56250</v>
      </c>
      <c r="S1897" s="13">
        <v>33750</v>
      </c>
    </row>
    <row r="1898" spans="1:19">
      <c r="A1898" s="9" t="s">
        <v>23</v>
      </c>
      <c r="B1898" s="9" t="s">
        <v>26</v>
      </c>
      <c r="C1898" s="9" t="s">
        <v>76</v>
      </c>
      <c r="D1898" t="s">
        <v>204</v>
      </c>
      <c r="F1898" s="12" t="s">
        <v>3398</v>
      </c>
      <c r="G1898" s="10" t="s">
        <v>1455</v>
      </c>
      <c r="H1898" s="10" t="s">
        <v>1455</v>
      </c>
      <c r="K1898" t="s">
        <v>19</v>
      </c>
      <c r="L1898" t="s">
        <v>20</v>
      </c>
      <c r="M1898" s="9">
        <v>39222</v>
      </c>
      <c r="N1898" t="s">
        <v>3477</v>
      </c>
      <c r="O1898">
        <v>18</v>
      </c>
      <c r="P1898" t="s">
        <v>3477</v>
      </c>
      <c r="Q1898">
        <v>18</v>
      </c>
      <c r="R1898" s="13">
        <v>11700</v>
      </c>
      <c r="S1898" s="13">
        <v>7020</v>
      </c>
    </row>
    <row r="1899" spans="1:19">
      <c r="A1899" s="9" t="s">
        <v>23</v>
      </c>
      <c r="B1899" s="9" t="s">
        <v>26</v>
      </c>
      <c r="C1899" s="9" t="s">
        <v>76</v>
      </c>
      <c r="D1899" t="s">
        <v>204</v>
      </c>
      <c r="F1899" s="12" t="s">
        <v>3399</v>
      </c>
      <c r="G1899" s="10" t="s">
        <v>1456</v>
      </c>
      <c r="H1899" s="10" t="s">
        <v>1456</v>
      </c>
      <c r="K1899" t="s">
        <v>19</v>
      </c>
      <c r="L1899" t="s">
        <v>20</v>
      </c>
      <c r="M1899" s="9">
        <v>39222</v>
      </c>
      <c r="N1899" t="s">
        <v>3477</v>
      </c>
      <c r="O1899">
        <v>18</v>
      </c>
      <c r="P1899" t="s">
        <v>3477</v>
      </c>
      <c r="Q1899">
        <v>18</v>
      </c>
      <c r="R1899" s="13">
        <v>15000</v>
      </c>
      <c r="S1899" s="13">
        <v>9000</v>
      </c>
    </row>
    <row r="1900" spans="1:19">
      <c r="A1900" s="9" t="s">
        <v>23</v>
      </c>
      <c r="B1900" s="9" t="s">
        <v>26</v>
      </c>
      <c r="C1900" s="9" t="s">
        <v>76</v>
      </c>
      <c r="D1900" t="s">
        <v>204</v>
      </c>
      <c r="F1900" s="12" t="s">
        <v>3400</v>
      </c>
      <c r="G1900" s="10" t="s">
        <v>1457</v>
      </c>
      <c r="H1900" s="10" t="s">
        <v>1457</v>
      </c>
      <c r="K1900" t="s">
        <v>19</v>
      </c>
      <c r="L1900" t="s">
        <v>20</v>
      </c>
      <c r="M1900" s="9">
        <v>39222</v>
      </c>
      <c r="N1900" t="s">
        <v>3477</v>
      </c>
      <c r="O1900">
        <v>18</v>
      </c>
      <c r="P1900" t="s">
        <v>3477</v>
      </c>
      <c r="Q1900">
        <v>18</v>
      </c>
      <c r="R1900" s="13">
        <v>15000</v>
      </c>
      <c r="S1900" s="13">
        <v>9000</v>
      </c>
    </row>
    <row r="1901" spans="1:19">
      <c r="A1901" s="9" t="s">
        <v>22</v>
      </c>
      <c r="B1901" s="9" t="s">
        <v>26</v>
      </c>
      <c r="C1901" s="9" t="s">
        <v>80</v>
      </c>
      <c r="D1901" t="s">
        <v>204</v>
      </c>
      <c r="F1901" s="12" t="s">
        <v>3401</v>
      </c>
      <c r="G1901" s="10" t="s">
        <v>1458</v>
      </c>
      <c r="H1901" s="10" t="s">
        <v>1458</v>
      </c>
      <c r="K1901" t="s">
        <v>19</v>
      </c>
      <c r="L1901" t="s">
        <v>20</v>
      </c>
      <c r="M1901" s="9">
        <v>69101</v>
      </c>
      <c r="N1901" t="s">
        <v>3477</v>
      </c>
      <c r="O1901">
        <v>18</v>
      </c>
      <c r="P1901" t="s">
        <v>3477</v>
      </c>
      <c r="Q1901">
        <v>18</v>
      </c>
      <c r="R1901" s="13">
        <v>20000</v>
      </c>
      <c r="S1901" s="13">
        <v>14000</v>
      </c>
    </row>
    <row r="1902" spans="1:19">
      <c r="A1902" s="9" t="s">
        <v>22</v>
      </c>
      <c r="B1902" s="9" t="s">
        <v>26</v>
      </c>
      <c r="C1902" s="9" t="s">
        <v>80</v>
      </c>
      <c r="D1902" t="s">
        <v>204</v>
      </c>
      <c r="F1902" s="12" t="s">
        <v>3402</v>
      </c>
      <c r="G1902" s="10" t="s">
        <v>1459</v>
      </c>
      <c r="H1902" s="10" t="s">
        <v>1459</v>
      </c>
      <c r="K1902" t="s">
        <v>19</v>
      </c>
      <c r="L1902" t="s">
        <v>20</v>
      </c>
      <c r="M1902" s="9">
        <v>69101</v>
      </c>
      <c r="N1902" t="s">
        <v>3477</v>
      </c>
      <c r="O1902">
        <v>18</v>
      </c>
      <c r="P1902" t="s">
        <v>3477</v>
      </c>
      <c r="Q1902">
        <v>18</v>
      </c>
      <c r="R1902" s="13">
        <v>23000</v>
      </c>
      <c r="S1902" s="13">
        <v>16099.999999999998</v>
      </c>
    </row>
    <row r="1903" spans="1:19">
      <c r="A1903" s="9" t="s">
        <v>22</v>
      </c>
      <c r="B1903" s="9" t="s">
        <v>26</v>
      </c>
      <c r="C1903" s="9" t="s">
        <v>80</v>
      </c>
      <c r="D1903" t="s">
        <v>204</v>
      </c>
      <c r="F1903" s="12" t="s">
        <v>3403</v>
      </c>
      <c r="G1903" s="10" t="s">
        <v>250</v>
      </c>
      <c r="H1903" s="10" t="s">
        <v>250</v>
      </c>
      <c r="K1903" t="s">
        <v>19</v>
      </c>
      <c r="L1903" t="s">
        <v>20</v>
      </c>
      <c r="M1903" s="9">
        <v>69101</v>
      </c>
      <c r="N1903" t="s">
        <v>3477</v>
      </c>
      <c r="O1903">
        <v>18</v>
      </c>
      <c r="P1903" t="s">
        <v>3477</v>
      </c>
      <c r="Q1903">
        <v>18</v>
      </c>
      <c r="R1903" s="13">
        <v>23000</v>
      </c>
      <c r="S1903" s="13">
        <v>16099.999999999998</v>
      </c>
    </row>
    <row r="1904" spans="1:19">
      <c r="A1904" s="9" t="s">
        <v>22</v>
      </c>
      <c r="B1904" s="9" t="s">
        <v>31</v>
      </c>
      <c r="C1904" s="9" t="s">
        <v>50</v>
      </c>
      <c r="D1904" t="s">
        <v>204</v>
      </c>
      <c r="F1904" s="12" t="s">
        <v>3404</v>
      </c>
      <c r="G1904" s="10" t="s">
        <v>1460</v>
      </c>
      <c r="H1904" s="10" t="s">
        <v>1460</v>
      </c>
      <c r="K1904" t="s">
        <v>19</v>
      </c>
      <c r="L1904" t="s">
        <v>20</v>
      </c>
      <c r="M1904" s="9">
        <v>7418202</v>
      </c>
      <c r="N1904" t="s">
        <v>3477</v>
      </c>
      <c r="O1904">
        <v>18</v>
      </c>
      <c r="P1904" t="s">
        <v>3477</v>
      </c>
      <c r="Q1904">
        <v>18</v>
      </c>
      <c r="R1904" s="13">
        <v>2947</v>
      </c>
      <c r="S1904" s="13">
        <v>2062.9</v>
      </c>
    </row>
    <row r="1905" spans="1:19">
      <c r="A1905" s="9" t="s">
        <v>22</v>
      </c>
      <c r="B1905" s="9" t="s">
        <v>27</v>
      </c>
      <c r="C1905" s="9" t="s">
        <v>50</v>
      </c>
      <c r="D1905" t="s">
        <v>204</v>
      </c>
      <c r="F1905" s="12" t="s">
        <v>3405</v>
      </c>
      <c r="G1905" s="10" t="s">
        <v>1461</v>
      </c>
      <c r="H1905" s="10" t="s">
        <v>1461</v>
      </c>
      <c r="K1905" t="s">
        <v>19</v>
      </c>
      <c r="L1905" t="s">
        <v>20</v>
      </c>
      <c r="M1905" s="9">
        <v>39229</v>
      </c>
      <c r="N1905" t="s">
        <v>3477</v>
      </c>
      <c r="O1905">
        <v>18</v>
      </c>
      <c r="P1905" t="s">
        <v>3477</v>
      </c>
      <c r="Q1905">
        <v>18</v>
      </c>
      <c r="R1905" s="13">
        <v>1282</v>
      </c>
      <c r="S1905" s="13">
        <v>897.4</v>
      </c>
    </row>
    <row r="1906" spans="1:19">
      <c r="A1906" s="9" t="s">
        <v>22</v>
      </c>
      <c r="B1906" s="9" t="s">
        <v>27</v>
      </c>
      <c r="C1906" s="9" t="s">
        <v>50</v>
      </c>
      <c r="D1906" t="s">
        <v>204</v>
      </c>
      <c r="F1906" s="12" t="s">
        <v>3406</v>
      </c>
      <c r="G1906" s="10" t="s">
        <v>1462</v>
      </c>
      <c r="H1906" s="10" t="s">
        <v>1462</v>
      </c>
      <c r="K1906" t="s">
        <v>19</v>
      </c>
      <c r="L1906" t="s">
        <v>20</v>
      </c>
      <c r="M1906" s="9">
        <v>8481809</v>
      </c>
      <c r="N1906" t="s">
        <v>3477</v>
      </c>
      <c r="O1906">
        <v>18</v>
      </c>
      <c r="P1906" t="s">
        <v>3477</v>
      </c>
      <c r="Q1906">
        <v>18</v>
      </c>
      <c r="R1906" s="13">
        <v>2086</v>
      </c>
      <c r="S1906" s="13">
        <v>1460.1999999999998</v>
      </c>
    </row>
    <row r="1907" spans="1:19">
      <c r="A1907" s="9" t="s">
        <v>23</v>
      </c>
      <c r="B1907" s="9" t="s">
        <v>27</v>
      </c>
      <c r="C1907" s="9" t="s">
        <v>63</v>
      </c>
      <c r="D1907" t="s">
        <v>204</v>
      </c>
      <c r="F1907" s="12" t="s">
        <v>3407</v>
      </c>
      <c r="G1907" s="10" t="s">
        <v>1462</v>
      </c>
      <c r="H1907" s="10" t="s">
        <v>1462</v>
      </c>
      <c r="K1907" t="s">
        <v>19</v>
      </c>
      <c r="L1907" t="s">
        <v>20</v>
      </c>
      <c r="M1907" s="9">
        <v>8481802</v>
      </c>
      <c r="N1907" t="s">
        <v>3477</v>
      </c>
      <c r="O1907">
        <v>18</v>
      </c>
      <c r="P1907" t="s">
        <v>3477</v>
      </c>
      <c r="Q1907">
        <v>18</v>
      </c>
      <c r="R1907" s="13">
        <v>170440</v>
      </c>
      <c r="S1907" s="13">
        <v>102264</v>
      </c>
    </row>
    <row r="1908" spans="1:19">
      <c r="A1908" s="9" t="s">
        <v>23</v>
      </c>
      <c r="B1908" s="9" t="s">
        <v>27</v>
      </c>
      <c r="C1908" s="9" t="s">
        <v>63</v>
      </c>
      <c r="D1908" t="s">
        <v>204</v>
      </c>
      <c r="F1908" s="12" t="s">
        <v>3408</v>
      </c>
      <c r="G1908" s="10" t="s">
        <v>1463</v>
      </c>
      <c r="H1908" s="10" t="s">
        <v>1463</v>
      </c>
      <c r="K1908" t="s">
        <v>19</v>
      </c>
      <c r="L1908" t="s">
        <v>20</v>
      </c>
      <c r="M1908" s="9">
        <v>8481802</v>
      </c>
      <c r="N1908" t="s">
        <v>3477</v>
      </c>
      <c r="O1908">
        <v>18</v>
      </c>
      <c r="P1908" t="s">
        <v>3477</v>
      </c>
      <c r="Q1908">
        <v>18</v>
      </c>
      <c r="R1908" s="13">
        <v>118750</v>
      </c>
      <c r="S1908" s="13">
        <v>71250</v>
      </c>
    </row>
    <row r="1909" spans="1:19">
      <c r="A1909" s="9" t="s">
        <v>22</v>
      </c>
      <c r="B1909" s="9" t="s">
        <v>26</v>
      </c>
      <c r="C1909" s="9" t="s">
        <v>76</v>
      </c>
      <c r="D1909" t="s">
        <v>204</v>
      </c>
      <c r="F1909" s="12" t="s">
        <v>3409</v>
      </c>
      <c r="G1909" s="10" t="s">
        <v>1463</v>
      </c>
      <c r="H1909" s="10" t="s">
        <v>1463</v>
      </c>
      <c r="K1909" t="s">
        <v>19</v>
      </c>
      <c r="L1909" t="s">
        <v>20</v>
      </c>
      <c r="M1909" s="9">
        <v>3924901</v>
      </c>
      <c r="N1909" t="s">
        <v>3477</v>
      </c>
      <c r="O1909">
        <v>18</v>
      </c>
      <c r="P1909" t="s">
        <v>3477</v>
      </c>
      <c r="Q1909">
        <v>18</v>
      </c>
      <c r="R1909" s="13">
        <v>1</v>
      </c>
      <c r="S1909" s="13">
        <v>0.7</v>
      </c>
    </row>
    <row r="1910" spans="1:19">
      <c r="A1910" s="9" t="s">
        <v>22</v>
      </c>
      <c r="B1910" s="9" t="s">
        <v>26</v>
      </c>
      <c r="C1910" s="9" t="s">
        <v>50</v>
      </c>
      <c r="D1910" t="s">
        <v>204</v>
      </c>
      <c r="F1910" s="12" t="s">
        <v>3410</v>
      </c>
      <c r="G1910" s="10" t="s">
        <v>1464</v>
      </c>
      <c r="H1910" s="10" t="s">
        <v>1464</v>
      </c>
      <c r="K1910" t="s">
        <v>19</v>
      </c>
      <c r="L1910" t="s">
        <v>20</v>
      </c>
      <c r="M1910" s="9">
        <v>3303009</v>
      </c>
      <c r="N1910" t="s">
        <v>3477</v>
      </c>
      <c r="O1910">
        <v>18</v>
      </c>
      <c r="P1910" t="s">
        <v>3477</v>
      </c>
      <c r="Q1910">
        <v>18</v>
      </c>
      <c r="R1910" s="13">
        <v>520</v>
      </c>
      <c r="S1910" s="13">
        <v>364</v>
      </c>
    </row>
    <row r="1911" spans="1:19">
      <c r="A1911" s="9" t="s">
        <v>23</v>
      </c>
      <c r="B1911" s="9" t="s">
        <v>27</v>
      </c>
      <c r="C1911" s="9" t="s">
        <v>95</v>
      </c>
      <c r="D1911" t="s">
        <v>204</v>
      </c>
      <c r="F1911" s="12" t="s">
        <v>3411</v>
      </c>
      <c r="G1911" s="10" t="s">
        <v>1464</v>
      </c>
      <c r="H1911" s="10" t="s">
        <v>1464</v>
      </c>
      <c r="K1911" t="s">
        <v>19</v>
      </c>
      <c r="L1911" t="s">
        <v>20</v>
      </c>
      <c r="M1911" s="9">
        <v>8481802</v>
      </c>
      <c r="N1911" t="s">
        <v>3477</v>
      </c>
      <c r="O1911">
        <v>18</v>
      </c>
      <c r="P1911" t="s">
        <v>3477</v>
      </c>
      <c r="Q1911">
        <v>18</v>
      </c>
      <c r="R1911" s="13">
        <v>69440</v>
      </c>
      <c r="S1911" s="13">
        <v>41664</v>
      </c>
    </row>
    <row r="1912" spans="1:19">
      <c r="A1912" s="9" t="s">
        <v>23</v>
      </c>
      <c r="B1912" s="9" t="s">
        <v>27</v>
      </c>
      <c r="C1912" s="9" t="s">
        <v>95</v>
      </c>
      <c r="D1912" t="s">
        <v>204</v>
      </c>
      <c r="F1912" s="12" t="s">
        <v>3412</v>
      </c>
      <c r="G1912" s="10" t="s">
        <v>1464</v>
      </c>
      <c r="H1912" s="10" t="s">
        <v>1464</v>
      </c>
      <c r="K1912" t="s">
        <v>19</v>
      </c>
      <c r="L1912" t="s">
        <v>20</v>
      </c>
      <c r="M1912" s="9">
        <v>8481802</v>
      </c>
      <c r="N1912" t="s">
        <v>3477</v>
      </c>
      <c r="O1912">
        <v>18</v>
      </c>
      <c r="P1912" t="s">
        <v>3477</v>
      </c>
      <c r="Q1912">
        <v>18</v>
      </c>
      <c r="R1912" s="13">
        <v>43750</v>
      </c>
      <c r="S1912" s="13">
        <v>26250</v>
      </c>
    </row>
    <row r="1913" spans="1:19">
      <c r="A1913" s="9" t="s">
        <v>23</v>
      </c>
      <c r="B1913" s="9" t="s">
        <v>27</v>
      </c>
      <c r="C1913" s="9" t="s">
        <v>95</v>
      </c>
      <c r="D1913" t="s">
        <v>204</v>
      </c>
      <c r="F1913" s="12" t="s">
        <v>3413</v>
      </c>
      <c r="G1913" s="10" t="s">
        <v>1465</v>
      </c>
      <c r="H1913" s="10" t="s">
        <v>1465</v>
      </c>
      <c r="K1913" t="s">
        <v>19</v>
      </c>
      <c r="L1913" t="s">
        <v>20</v>
      </c>
      <c r="M1913" s="9">
        <v>8481802</v>
      </c>
      <c r="N1913" t="s">
        <v>3477</v>
      </c>
      <c r="O1913">
        <v>18</v>
      </c>
      <c r="P1913" t="s">
        <v>3477</v>
      </c>
      <c r="Q1913">
        <v>18</v>
      </c>
      <c r="R1913" s="13">
        <v>55550</v>
      </c>
      <c r="S1913" s="13">
        <v>33330</v>
      </c>
    </row>
    <row r="1914" spans="1:19">
      <c r="A1914" s="9" t="s">
        <v>23</v>
      </c>
      <c r="B1914" s="9" t="s">
        <v>27</v>
      </c>
      <c r="C1914" s="9" t="s">
        <v>160</v>
      </c>
      <c r="D1914" t="s">
        <v>204</v>
      </c>
      <c r="F1914" s="12" t="s">
        <v>3414</v>
      </c>
      <c r="G1914" s="10" t="s">
        <v>1466</v>
      </c>
      <c r="H1914" s="10" t="s">
        <v>1466</v>
      </c>
      <c r="K1914" t="s">
        <v>19</v>
      </c>
      <c r="L1914" t="s">
        <v>20</v>
      </c>
      <c r="M1914" s="9">
        <v>7418202</v>
      </c>
      <c r="N1914" t="s">
        <v>3477</v>
      </c>
      <c r="O1914">
        <v>18</v>
      </c>
      <c r="P1914" t="s">
        <v>3477</v>
      </c>
      <c r="Q1914">
        <v>18</v>
      </c>
      <c r="R1914" s="13">
        <v>495000</v>
      </c>
      <c r="S1914" s="13">
        <v>297000</v>
      </c>
    </row>
    <row r="1915" spans="1:19">
      <c r="A1915" s="9" t="s">
        <v>22</v>
      </c>
      <c r="B1915" s="9" t="s">
        <v>27</v>
      </c>
      <c r="C1915" s="9" t="s">
        <v>95</v>
      </c>
      <c r="D1915" t="s">
        <v>204</v>
      </c>
      <c r="F1915" s="12" t="s">
        <v>3415</v>
      </c>
      <c r="G1915" s="10" t="s">
        <v>1466</v>
      </c>
      <c r="H1915" s="10" t="s">
        <v>1466</v>
      </c>
      <c r="K1915" t="s">
        <v>19</v>
      </c>
      <c r="L1915" t="s">
        <v>20</v>
      </c>
      <c r="M1915" s="9">
        <v>8481909</v>
      </c>
      <c r="N1915" t="s">
        <v>3477</v>
      </c>
      <c r="O1915">
        <v>18</v>
      </c>
      <c r="P1915" t="s">
        <v>3477</v>
      </c>
      <c r="Q1915">
        <v>18</v>
      </c>
      <c r="R1915" s="13">
        <v>13500</v>
      </c>
      <c r="S1915" s="13">
        <v>9450</v>
      </c>
    </row>
    <row r="1916" spans="1:19">
      <c r="A1916" s="9" t="s">
        <v>23</v>
      </c>
      <c r="B1916" s="9" t="s">
        <v>27</v>
      </c>
      <c r="C1916" s="9" t="s">
        <v>95</v>
      </c>
      <c r="D1916" t="s">
        <v>204</v>
      </c>
      <c r="F1916" s="12" t="s">
        <v>3416</v>
      </c>
      <c r="G1916" s="10" t="s">
        <v>1467</v>
      </c>
      <c r="H1916" s="10" t="s">
        <v>1467</v>
      </c>
      <c r="K1916" t="s">
        <v>19</v>
      </c>
      <c r="L1916" t="s">
        <v>20</v>
      </c>
      <c r="M1916" s="9">
        <v>8481802</v>
      </c>
      <c r="N1916" t="s">
        <v>3477</v>
      </c>
      <c r="O1916">
        <v>18</v>
      </c>
      <c r="P1916" t="s">
        <v>3477</v>
      </c>
      <c r="Q1916">
        <v>18</v>
      </c>
      <c r="R1916" s="13">
        <v>11960</v>
      </c>
      <c r="S1916" s="13">
        <v>7176</v>
      </c>
    </row>
    <row r="1917" spans="1:19">
      <c r="A1917" s="9" t="s">
        <v>22</v>
      </c>
      <c r="B1917" s="9" t="s">
        <v>27</v>
      </c>
      <c r="C1917" s="9" t="s">
        <v>95</v>
      </c>
      <c r="D1917" t="s">
        <v>204</v>
      </c>
      <c r="F1917" s="12" t="s">
        <v>3417</v>
      </c>
      <c r="G1917" s="10" t="s">
        <v>1467</v>
      </c>
      <c r="H1917" s="10" t="s">
        <v>1467</v>
      </c>
      <c r="K1917" t="s">
        <v>19</v>
      </c>
      <c r="L1917" t="s">
        <v>20</v>
      </c>
      <c r="M1917" s="9">
        <v>8481909</v>
      </c>
      <c r="N1917" t="s">
        <v>3477</v>
      </c>
      <c r="O1917">
        <v>18</v>
      </c>
      <c r="P1917" t="s">
        <v>3477</v>
      </c>
      <c r="Q1917">
        <v>18</v>
      </c>
      <c r="R1917" s="13">
        <v>18100</v>
      </c>
      <c r="S1917" s="13">
        <v>12670</v>
      </c>
    </row>
    <row r="1918" spans="1:19">
      <c r="A1918" s="9" t="s">
        <v>22</v>
      </c>
      <c r="B1918" s="9" t="s">
        <v>27</v>
      </c>
      <c r="C1918" s="9" t="s">
        <v>95</v>
      </c>
      <c r="D1918" t="s">
        <v>204</v>
      </c>
      <c r="F1918" s="12" t="s">
        <v>3418</v>
      </c>
      <c r="G1918" s="10" t="s">
        <v>1467</v>
      </c>
      <c r="H1918" s="10" t="s">
        <v>1467</v>
      </c>
      <c r="K1918" t="s">
        <v>19</v>
      </c>
      <c r="L1918" t="s">
        <v>20</v>
      </c>
      <c r="M1918" s="9">
        <v>8481909</v>
      </c>
      <c r="N1918" t="s">
        <v>3477</v>
      </c>
      <c r="O1918">
        <v>18</v>
      </c>
      <c r="P1918" t="s">
        <v>3477</v>
      </c>
      <c r="Q1918">
        <v>18</v>
      </c>
      <c r="R1918" s="13">
        <v>20300</v>
      </c>
      <c r="S1918" s="13">
        <v>14210</v>
      </c>
    </row>
    <row r="1919" spans="1:19">
      <c r="A1919" s="9" t="s">
        <v>22</v>
      </c>
      <c r="B1919" s="9" t="s">
        <v>27</v>
      </c>
      <c r="C1919" s="9" t="s">
        <v>95</v>
      </c>
      <c r="D1919" t="s">
        <v>204</v>
      </c>
      <c r="F1919" s="12" t="s">
        <v>3419</v>
      </c>
      <c r="G1919" s="10" t="s">
        <v>1467</v>
      </c>
      <c r="H1919" s="10" t="s">
        <v>1467</v>
      </c>
      <c r="K1919" t="s">
        <v>19</v>
      </c>
      <c r="L1919" t="s">
        <v>20</v>
      </c>
      <c r="M1919" s="9">
        <v>8481909</v>
      </c>
      <c r="N1919" t="s">
        <v>3477</v>
      </c>
      <c r="O1919">
        <v>18</v>
      </c>
      <c r="P1919" t="s">
        <v>3477</v>
      </c>
      <c r="Q1919">
        <v>18</v>
      </c>
      <c r="R1919" s="13">
        <v>14500</v>
      </c>
      <c r="S1919" s="13">
        <v>10150</v>
      </c>
    </row>
    <row r="1920" spans="1:19">
      <c r="A1920" s="9" t="s">
        <v>23</v>
      </c>
      <c r="B1920" s="9" t="s">
        <v>27</v>
      </c>
      <c r="C1920" s="9" t="s">
        <v>95</v>
      </c>
      <c r="D1920" t="s">
        <v>204</v>
      </c>
      <c r="F1920" s="12" t="s">
        <v>3420</v>
      </c>
      <c r="G1920" s="10" t="s">
        <v>1468</v>
      </c>
      <c r="H1920" s="10" t="s">
        <v>1468</v>
      </c>
      <c r="K1920" t="s">
        <v>19</v>
      </c>
      <c r="L1920" t="s">
        <v>20</v>
      </c>
      <c r="M1920" s="9">
        <v>8481802</v>
      </c>
      <c r="N1920" t="s">
        <v>3477</v>
      </c>
      <c r="O1920">
        <v>18</v>
      </c>
      <c r="P1920" t="s">
        <v>3477</v>
      </c>
      <c r="Q1920">
        <v>18</v>
      </c>
      <c r="R1920" s="13">
        <v>14000</v>
      </c>
      <c r="S1920" s="13">
        <v>8400</v>
      </c>
    </row>
    <row r="1921" spans="1:19">
      <c r="A1921" s="9" t="s">
        <v>22</v>
      </c>
      <c r="B1921" s="9" t="s">
        <v>27</v>
      </c>
      <c r="C1921" s="9" t="s">
        <v>50</v>
      </c>
      <c r="D1921" t="s">
        <v>204</v>
      </c>
      <c r="F1921" s="12" t="s">
        <v>3421</v>
      </c>
      <c r="G1921" s="10" t="s">
        <v>250</v>
      </c>
      <c r="H1921" s="10" t="s">
        <v>250</v>
      </c>
      <c r="K1921" t="s">
        <v>19</v>
      </c>
      <c r="L1921" t="s">
        <v>20</v>
      </c>
      <c r="M1921" s="9">
        <v>39229</v>
      </c>
      <c r="N1921" t="s">
        <v>3477</v>
      </c>
      <c r="O1921">
        <v>18</v>
      </c>
      <c r="P1921" t="s">
        <v>3477</v>
      </c>
      <c r="Q1921">
        <v>18</v>
      </c>
      <c r="R1921" s="13">
        <v>4727</v>
      </c>
      <c r="S1921" s="13">
        <v>3308.8999999999996</v>
      </c>
    </row>
    <row r="1922" spans="1:19">
      <c r="A1922" s="9" t="s">
        <v>22</v>
      </c>
      <c r="B1922" s="9" t="s">
        <v>27</v>
      </c>
      <c r="C1922" s="9" t="s">
        <v>50</v>
      </c>
      <c r="D1922" t="s">
        <v>204</v>
      </c>
      <c r="F1922" s="12" t="s">
        <v>3422</v>
      </c>
      <c r="G1922" s="10" t="s">
        <v>1469</v>
      </c>
      <c r="H1922" s="10" t="s">
        <v>1469</v>
      </c>
      <c r="K1922" t="s">
        <v>19</v>
      </c>
      <c r="L1922" t="s">
        <v>20</v>
      </c>
      <c r="M1922" s="9">
        <v>8481802</v>
      </c>
      <c r="N1922" t="s">
        <v>3477</v>
      </c>
      <c r="O1922">
        <v>18</v>
      </c>
      <c r="P1922" t="s">
        <v>3477</v>
      </c>
      <c r="Q1922">
        <v>18</v>
      </c>
      <c r="R1922" s="13">
        <v>1014</v>
      </c>
      <c r="S1922" s="13">
        <v>709.8</v>
      </c>
    </row>
    <row r="1923" spans="1:19">
      <c r="A1923" s="9" t="s">
        <v>22</v>
      </c>
      <c r="B1923" s="9" t="s">
        <v>27</v>
      </c>
      <c r="C1923" s="9" t="s">
        <v>50</v>
      </c>
      <c r="D1923" t="s">
        <v>204</v>
      </c>
      <c r="F1923" s="12" t="s">
        <v>3423</v>
      </c>
      <c r="G1923" s="10" t="s">
        <v>1470</v>
      </c>
      <c r="H1923" s="10" t="s">
        <v>1470</v>
      </c>
      <c r="K1923" t="s">
        <v>19</v>
      </c>
      <c r="L1923" t="s">
        <v>20</v>
      </c>
      <c r="M1923" s="9">
        <v>39229</v>
      </c>
      <c r="N1923" t="s">
        <v>3477</v>
      </c>
      <c r="O1923">
        <v>18</v>
      </c>
      <c r="P1923" t="s">
        <v>3477</v>
      </c>
      <c r="Q1923">
        <v>18</v>
      </c>
      <c r="R1923" s="13">
        <v>863</v>
      </c>
      <c r="S1923" s="13">
        <v>604.09999999999991</v>
      </c>
    </row>
    <row r="1924" spans="1:19">
      <c r="A1924" s="9" t="s">
        <v>22</v>
      </c>
      <c r="B1924" s="9" t="s">
        <v>27</v>
      </c>
      <c r="C1924" s="9" t="s">
        <v>203</v>
      </c>
      <c r="D1924" t="s">
        <v>204</v>
      </c>
      <c r="F1924" s="12" t="s">
        <v>3424</v>
      </c>
      <c r="G1924" s="10" t="s">
        <v>1471</v>
      </c>
      <c r="H1924" s="10" t="s">
        <v>1471</v>
      </c>
      <c r="K1924" t="s">
        <v>19</v>
      </c>
      <c r="L1924" t="s">
        <v>20</v>
      </c>
      <c r="M1924" s="9">
        <v>39229</v>
      </c>
      <c r="N1924" t="s">
        <v>3477</v>
      </c>
      <c r="O1924">
        <v>18</v>
      </c>
      <c r="P1924" t="s">
        <v>3477</v>
      </c>
      <c r="Q1924">
        <v>18</v>
      </c>
      <c r="R1924" s="13">
        <v>4840</v>
      </c>
      <c r="S1924" s="13">
        <v>3388</v>
      </c>
    </row>
    <row r="1925" spans="1:19">
      <c r="A1925" s="9" t="s">
        <v>23</v>
      </c>
      <c r="B1925" s="9" t="s">
        <v>27</v>
      </c>
      <c r="C1925" s="9" t="s">
        <v>203</v>
      </c>
      <c r="D1925" t="s">
        <v>204</v>
      </c>
      <c r="F1925" s="12" t="s">
        <v>3425</v>
      </c>
      <c r="G1925" s="10" t="s">
        <v>1472</v>
      </c>
      <c r="H1925" s="10" t="s">
        <v>1472</v>
      </c>
      <c r="K1925" t="s">
        <v>19</v>
      </c>
      <c r="L1925" t="s">
        <v>20</v>
      </c>
      <c r="M1925" s="9">
        <v>39229</v>
      </c>
      <c r="N1925" t="s">
        <v>3477</v>
      </c>
      <c r="O1925">
        <v>18</v>
      </c>
      <c r="P1925" t="s">
        <v>3477</v>
      </c>
      <c r="Q1925">
        <v>18</v>
      </c>
      <c r="R1925" s="13">
        <v>20000</v>
      </c>
      <c r="S1925" s="13">
        <v>12000</v>
      </c>
    </row>
    <row r="1926" spans="1:19">
      <c r="A1926" s="9" t="s">
        <v>22</v>
      </c>
      <c r="B1926" s="9" t="s">
        <v>27</v>
      </c>
      <c r="C1926" s="9" t="s">
        <v>50</v>
      </c>
      <c r="D1926" t="s">
        <v>204</v>
      </c>
      <c r="F1926" s="12" t="s">
        <v>3426</v>
      </c>
      <c r="G1926" s="10" t="s">
        <v>1473</v>
      </c>
      <c r="H1926" s="10" t="s">
        <v>1473</v>
      </c>
      <c r="K1926" t="s">
        <v>19</v>
      </c>
      <c r="L1926" t="s">
        <v>20</v>
      </c>
      <c r="M1926" s="9">
        <v>8481909</v>
      </c>
      <c r="N1926" t="s">
        <v>3477</v>
      </c>
      <c r="O1926">
        <v>18</v>
      </c>
      <c r="P1926" t="s">
        <v>3477</v>
      </c>
      <c r="Q1926">
        <v>18</v>
      </c>
      <c r="R1926" s="13">
        <v>2090</v>
      </c>
      <c r="S1926" s="13">
        <v>1463</v>
      </c>
    </row>
    <row r="1927" spans="1:19">
      <c r="A1927" s="9" t="s">
        <v>22</v>
      </c>
      <c r="B1927" s="9" t="s">
        <v>27</v>
      </c>
      <c r="C1927" s="9" t="s">
        <v>50</v>
      </c>
      <c r="D1927" t="s">
        <v>204</v>
      </c>
      <c r="F1927" s="12" t="s">
        <v>3427</v>
      </c>
      <c r="G1927" s="10" t="s">
        <v>1474</v>
      </c>
      <c r="H1927" s="10" t="s">
        <v>1474</v>
      </c>
      <c r="K1927" t="s">
        <v>19</v>
      </c>
      <c r="L1927" t="s">
        <v>20</v>
      </c>
      <c r="M1927" s="9">
        <v>8481802</v>
      </c>
      <c r="N1927" t="s">
        <v>3477</v>
      </c>
      <c r="O1927">
        <v>18</v>
      </c>
      <c r="P1927" t="s">
        <v>3477</v>
      </c>
      <c r="Q1927">
        <v>18</v>
      </c>
      <c r="R1927" s="13">
        <v>2705</v>
      </c>
      <c r="S1927" s="13">
        <v>1893.4999999999998</v>
      </c>
    </row>
    <row r="1928" spans="1:19">
      <c r="A1928" s="9" t="s">
        <v>22</v>
      </c>
      <c r="B1928" s="9" t="s">
        <v>27</v>
      </c>
      <c r="C1928" s="9" t="s">
        <v>50</v>
      </c>
      <c r="D1928" t="s">
        <v>204</v>
      </c>
      <c r="F1928" s="12" t="s">
        <v>3428</v>
      </c>
      <c r="G1928" s="10" t="s">
        <v>1475</v>
      </c>
      <c r="H1928" s="10" t="s">
        <v>1475</v>
      </c>
      <c r="K1928" t="s">
        <v>19</v>
      </c>
      <c r="L1928" t="s">
        <v>20</v>
      </c>
      <c r="M1928" s="9">
        <v>4016935</v>
      </c>
      <c r="N1928" t="s">
        <v>3477</v>
      </c>
      <c r="O1928">
        <v>18</v>
      </c>
      <c r="P1928" t="s">
        <v>3477</v>
      </c>
      <c r="Q1928">
        <v>18</v>
      </c>
      <c r="R1928" s="13">
        <v>115</v>
      </c>
      <c r="S1928" s="13">
        <v>80.5</v>
      </c>
    </row>
    <row r="1929" spans="1:19">
      <c r="A1929" s="9" t="s">
        <v>23</v>
      </c>
      <c r="B1929" s="9" t="s">
        <v>26</v>
      </c>
      <c r="C1929" s="9" t="s">
        <v>76</v>
      </c>
      <c r="D1929" t="s">
        <v>204</v>
      </c>
      <c r="F1929" s="12" t="s">
        <v>3429</v>
      </c>
      <c r="G1929" s="10" t="s">
        <v>1476</v>
      </c>
      <c r="H1929" s="10" t="s">
        <v>1476</v>
      </c>
      <c r="K1929" t="s">
        <v>19</v>
      </c>
      <c r="L1929" t="s">
        <v>20</v>
      </c>
      <c r="M1929" s="9">
        <v>69101</v>
      </c>
      <c r="N1929" t="s">
        <v>3477</v>
      </c>
      <c r="O1929">
        <v>18</v>
      </c>
      <c r="P1929" t="s">
        <v>3477</v>
      </c>
      <c r="Q1929">
        <v>18</v>
      </c>
      <c r="R1929" s="13">
        <v>9200</v>
      </c>
      <c r="S1929" s="13">
        <v>5520</v>
      </c>
    </row>
    <row r="1930" spans="1:19">
      <c r="A1930" s="9" t="s">
        <v>23</v>
      </c>
      <c r="B1930" s="9" t="s">
        <v>26</v>
      </c>
      <c r="C1930" s="9" t="s">
        <v>76</v>
      </c>
      <c r="D1930" t="s">
        <v>204</v>
      </c>
      <c r="F1930" s="12" t="s">
        <v>3430</v>
      </c>
      <c r="G1930" s="10" t="s">
        <v>1477</v>
      </c>
      <c r="H1930" s="10" t="s">
        <v>1477</v>
      </c>
      <c r="K1930" t="s">
        <v>19</v>
      </c>
      <c r="L1930" t="s">
        <v>20</v>
      </c>
      <c r="M1930" s="9">
        <v>39222</v>
      </c>
      <c r="N1930" t="s">
        <v>3477</v>
      </c>
      <c r="O1930">
        <v>18</v>
      </c>
      <c r="P1930" t="s">
        <v>3477</v>
      </c>
      <c r="Q1930">
        <v>18</v>
      </c>
      <c r="R1930" s="13">
        <v>9200</v>
      </c>
      <c r="S1930" s="13">
        <v>5520</v>
      </c>
    </row>
    <row r="1931" spans="1:19">
      <c r="A1931" s="9" t="s">
        <v>23</v>
      </c>
      <c r="B1931" s="9" t="s">
        <v>26</v>
      </c>
      <c r="C1931" s="9" t="s">
        <v>80</v>
      </c>
      <c r="D1931" t="s">
        <v>204</v>
      </c>
      <c r="F1931" s="12" t="s">
        <v>3431</v>
      </c>
      <c r="G1931" s="10" t="s">
        <v>1478</v>
      </c>
      <c r="H1931" s="10" t="s">
        <v>1478</v>
      </c>
      <c r="K1931" t="s">
        <v>19</v>
      </c>
      <c r="L1931" t="s">
        <v>20</v>
      </c>
      <c r="M1931" s="9">
        <v>69101</v>
      </c>
      <c r="N1931" t="s">
        <v>3477</v>
      </c>
      <c r="O1931">
        <v>18</v>
      </c>
      <c r="P1931" t="s">
        <v>3477</v>
      </c>
      <c r="Q1931">
        <v>18</v>
      </c>
      <c r="R1931" s="13">
        <v>75000</v>
      </c>
      <c r="S1931" s="13">
        <v>45000</v>
      </c>
    </row>
    <row r="1932" spans="1:19">
      <c r="A1932" s="9" t="s">
        <v>23</v>
      </c>
      <c r="B1932" s="9" t="s">
        <v>26</v>
      </c>
      <c r="C1932" s="9" t="s">
        <v>82</v>
      </c>
      <c r="D1932" t="s">
        <v>204</v>
      </c>
      <c r="F1932" s="12" t="s">
        <v>3432</v>
      </c>
      <c r="G1932" s="10" t="s">
        <v>1478</v>
      </c>
      <c r="H1932" s="10" t="s">
        <v>1478</v>
      </c>
      <c r="K1932" t="s">
        <v>19</v>
      </c>
      <c r="L1932" t="s">
        <v>20</v>
      </c>
      <c r="M1932" s="9">
        <v>69101</v>
      </c>
      <c r="N1932" t="s">
        <v>3477</v>
      </c>
      <c r="O1932">
        <v>18</v>
      </c>
      <c r="P1932" t="s">
        <v>3477</v>
      </c>
      <c r="Q1932">
        <v>18</v>
      </c>
      <c r="R1932" s="13">
        <v>100000</v>
      </c>
      <c r="S1932" s="13">
        <v>60000</v>
      </c>
    </row>
    <row r="1933" spans="1:19">
      <c r="A1933" s="9" t="s">
        <v>23</v>
      </c>
      <c r="B1933" s="9" t="s">
        <v>26</v>
      </c>
      <c r="C1933" s="9" t="s">
        <v>82</v>
      </c>
      <c r="D1933" t="s">
        <v>204</v>
      </c>
      <c r="F1933" s="12" t="s">
        <v>3433</v>
      </c>
      <c r="G1933" s="10" t="s">
        <v>1479</v>
      </c>
      <c r="H1933" s="10" t="s">
        <v>1479</v>
      </c>
      <c r="K1933" t="s">
        <v>19</v>
      </c>
      <c r="L1933" t="s">
        <v>20</v>
      </c>
      <c r="M1933" s="9">
        <v>69101</v>
      </c>
      <c r="N1933" t="s">
        <v>3477</v>
      </c>
      <c r="O1933">
        <v>18</v>
      </c>
      <c r="P1933" t="s">
        <v>3477</v>
      </c>
      <c r="Q1933">
        <v>18</v>
      </c>
      <c r="R1933" s="13">
        <v>100000</v>
      </c>
      <c r="S1933" s="13">
        <v>60000</v>
      </c>
    </row>
    <row r="1934" spans="1:19">
      <c r="A1934" s="9" t="s">
        <v>23</v>
      </c>
      <c r="B1934" s="9" t="s">
        <v>26</v>
      </c>
      <c r="C1934" s="9" t="s">
        <v>82</v>
      </c>
      <c r="D1934" t="s">
        <v>204</v>
      </c>
      <c r="F1934" s="12" t="s">
        <v>3434</v>
      </c>
      <c r="G1934" s="10" t="s">
        <v>1479</v>
      </c>
      <c r="H1934" s="10" t="s">
        <v>1479</v>
      </c>
      <c r="K1934" t="s">
        <v>19</v>
      </c>
      <c r="L1934" t="s">
        <v>20</v>
      </c>
      <c r="M1934" s="9">
        <v>69101</v>
      </c>
      <c r="N1934" t="s">
        <v>3477</v>
      </c>
      <c r="O1934">
        <v>18</v>
      </c>
      <c r="P1934" t="s">
        <v>3477</v>
      </c>
      <c r="Q1934">
        <v>18</v>
      </c>
      <c r="R1934" s="13">
        <v>110000</v>
      </c>
      <c r="S1934" s="13">
        <v>66000</v>
      </c>
    </row>
    <row r="1935" spans="1:19">
      <c r="A1935" s="9" t="s">
        <v>23</v>
      </c>
      <c r="B1935" s="9" t="s">
        <v>26</v>
      </c>
      <c r="C1935" s="9" t="s">
        <v>82</v>
      </c>
      <c r="D1935" t="s">
        <v>204</v>
      </c>
      <c r="F1935" s="12" t="s">
        <v>3435</v>
      </c>
      <c r="G1935" s="10" t="s">
        <v>1480</v>
      </c>
      <c r="H1935" s="10" t="s">
        <v>1480</v>
      </c>
      <c r="K1935" t="s">
        <v>19</v>
      </c>
      <c r="L1935" t="s">
        <v>20</v>
      </c>
      <c r="M1935" s="9">
        <v>69101</v>
      </c>
      <c r="N1935" t="s">
        <v>3477</v>
      </c>
      <c r="O1935">
        <v>18</v>
      </c>
      <c r="P1935" t="s">
        <v>3477</v>
      </c>
      <c r="Q1935">
        <v>18</v>
      </c>
      <c r="R1935" s="13">
        <v>110000</v>
      </c>
      <c r="S1935" s="13">
        <v>66000</v>
      </c>
    </row>
    <row r="1936" spans="1:19">
      <c r="A1936" s="9" t="s">
        <v>23</v>
      </c>
      <c r="B1936" s="9" t="s">
        <v>26</v>
      </c>
      <c r="C1936" s="9" t="s">
        <v>103</v>
      </c>
      <c r="D1936" t="s">
        <v>204</v>
      </c>
      <c r="F1936" s="12" t="s">
        <v>3436</v>
      </c>
      <c r="G1936" s="10" t="s">
        <v>1481</v>
      </c>
      <c r="H1936" s="10" t="s">
        <v>1481</v>
      </c>
      <c r="K1936" t="s">
        <v>19</v>
      </c>
      <c r="L1936" t="s">
        <v>20</v>
      </c>
      <c r="M1936" s="9">
        <v>69101</v>
      </c>
      <c r="N1936" t="s">
        <v>3477</v>
      </c>
      <c r="O1936">
        <v>18</v>
      </c>
      <c r="P1936" t="s">
        <v>3477</v>
      </c>
      <c r="Q1936">
        <v>18</v>
      </c>
      <c r="R1936" s="13">
        <v>41250</v>
      </c>
      <c r="S1936" s="13">
        <v>24750</v>
      </c>
    </row>
    <row r="1937" spans="1:19">
      <c r="A1937" s="9" t="s">
        <v>23</v>
      </c>
      <c r="B1937" s="9" t="s">
        <v>26</v>
      </c>
      <c r="C1937" s="9" t="s">
        <v>103</v>
      </c>
      <c r="D1937" t="s">
        <v>204</v>
      </c>
      <c r="F1937" s="12" t="s">
        <v>3437</v>
      </c>
      <c r="G1937" s="10" t="s">
        <v>1482</v>
      </c>
      <c r="H1937" s="10" t="s">
        <v>1482</v>
      </c>
      <c r="K1937" t="s">
        <v>19</v>
      </c>
      <c r="L1937" t="s">
        <v>20</v>
      </c>
      <c r="M1937" s="9">
        <v>69101</v>
      </c>
      <c r="N1937" t="s">
        <v>3477</v>
      </c>
      <c r="O1937">
        <v>18</v>
      </c>
      <c r="P1937" t="s">
        <v>3477</v>
      </c>
      <c r="Q1937">
        <v>18</v>
      </c>
      <c r="R1937" s="13">
        <v>41250</v>
      </c>
      <c r="S1937" s="13">
        <v>24750</v>
      </c>
    </row>
    <row r="1938" spans="1:19">
      <c r="A1938" s="9" t="s">
        <v>23</v>
      </c>
      <c r="B1938" s="9" t="s">
        <v>26</v>
      </c>
      <c r="C1938" s="9" t="s">
        <v>103</v>
      </c>
      <c r="D1938" t="s">
        <v>204</v>
      </c>
      <c r="F1938" s="12" t="s">
        <v>3438</v>
      </c>
      <c r="G1938" s="10" t="s">
        <v>1483</v>
      </c>
      <c r="H1938" s="10" t="s">
        <v>1483</v>
      </c>
      <c r="K1938" t="s">
        <v>19</v>
      </c>
      <c r="L1938" t="s">
        <v>20</v>
      </c>
      <c r="M1938" s="9">
        <v>69101</v>
      </c>
      <c r="N1938" t="s">
        <v>3477</v>
      </c>
      <c r="O1938">
        <v>18</v>
      </c>
      <c r="P1938" t="s">
        <v>3477</v>
      </c>
      <c r="Q1938">
        <v>18</v>
      </c>
      <c r="R1938" s="13">
        <v>35100</v>
      </c>
      <c r="S1938" s="13">
        <v>21060</v>
      </c>
    </row>
    <row r="1939" spans="1:19">
      <c r="A1939" s="9" t="s">
        <v>22</v>
      </c>
      <c r="B1939" s="9" t="s">
        <v>26</v>
      </c>
      <c r="C1939" s="9" t="s">
        <v>176</v>
      </c>
      <c r="D1939" t="s">
        <v>204</v>
      </c>
      <c r="F1939" s="12" t="s">
        <v>3439</v>
      </c>
      <c r="G1939" s="10" t="s">
        <v>1484</v>
      </c>
      <c r="H1939" s="10" t="s">
        <v>1484</v>
      </c>
      <c r="K1939" t="s">
        <v>19</v>
      </c>
      <c r="L1939" t="s">
        <v>20</v>
      </c>
      <c r="M1939" s="9">
        <v>8481802</v>
      </c>
      <c r="N1939" t="s">
        <v>3477</v>
      </c>
      <c r="O1939">
        <v>18</v>
      </c>
      <c r="P1939" t="s">
        <v>3477</v>
      </c>
      <c r="Q1939">
        <v>18</v>
      </c>
      <c r="R1939" s="13">
        <v>46000</v>
      </c>
      <c r="S1939" s="13">
        <v>32199.999999999996</v>
      </c>
    </row>
    <row r="1940" spans="1:19">
      <c r="A1940" s="9" t="s">
        <v>23</v>
      </c>
      <c r="B1940" s="9" t="s">
        <v>27</v>
      </c>
      <c r="C1940" s="9" t="s">
        <v>194</v>
      </c>
      <c r="D1940" t="s">
        <v>204</v>
      </c>
      <c r="F1940" s="12" t="s">
        <v>3440</v>
      </c>
      <c r="G1940" s="10" t="s">
        <v>1484</v>
      </c>
      <c r="H1940" s="10" t="s">
        <v>1484</v>
      </c>
      <c r="K1940" t="s">
        <v>19</v>
      </c>
      <c r="L1940" t="s">
        <v>20</v>
      </c>
      <c r="M1940" s="9">
        <v>8481802</v>
      </c>
      <c r="N1940" t="s">
        <v>3477</v>
      </c>
      <c r="O1940">
        <v>18</v>
      </c>
      <c r="P1940" t="s">
        <v>3477</v>
      </c>
      <c r="Q1940">
        <v>18</v>
      </c>
      <c r="R1940" s="13">
        <v>32000</v>
      </c>
      <c r="S1940" s="13">
        <v>19200</v>
      </c>
    </row>
    <row r="1941" spans="1:19">
      <c r="A1941" s="9" t="s">
        <v>23</v>
      </c>
      <c r="B1941" s="9" t="s">
        <v>27</v>
      </c>
      <c r="C1941" s="9" t="s">
        <v>194</v>
      </c>
      <c r="D1941" t="s">
        <v>204</v>
      </c>
      <c r="F1941" s="12" t="s">
        <v>3441</v>
      </c>
      <c r="G1941" s="10" t="s">
        <v>1485</v>
      </c>
      <c r="H1941" s="10" t="s">
        <v>1485</v>
      </c>
      <c r="K1941" t="s">
        <v>19</v>
      </c>
      <c r="L1941" t="s">
        <v>20</v>
      </c>
      <c r="M1941" s="9">
        <v>8481802</v>
      </c>
      <c r="N1941" t="s">
        <v>3477</v>
      </c>
      <c r="O1941">
        <v>18</v>
      </c>
      <c r="P1941" t="s">
        <v>3477</v>
      </c>
      <c r="Q1941">
        <v>18</v>
      </c>
      <c r="R1941" s="13">
        <v>34000</v>
      </c>
      <c r="S1941" s="13">
        <v>20400</v>
      </c>
    </row>
    <row r="1942" spans="1:19">
      <c r="A1942" s="9" t="s">
        <v>23</v>
      </c>
      <c r="B1942" s="9" t="s">
        <v>27</v>
      </c>
      <c r="C1942" s="9" t="s">
        <v>194</v>
      </c>
      <c r="D1942" t="s">
        <v>204</v>
      </c>
      <c r="F1942" s="12" t="s">
        <v>3442</v>
      </c>
      <c r="G1942" s="10" t="s">
        <v>1486</v>
      </c>
      <c r="H1942" s="10" t="s">
        <v>1486</v>
      </c>
      <c r="K1942" t="s">
        <v>19</v>
      </c>
      <c r="L1942" t="s">
        <v>20</v>
      </c>
      <c r="M1942" s="9">
        <v>8481802</v>
      </c>
      <c r="N1942" t="s">
        <v>3477</v>
      </c>
      <c r="O1942">
        <v>18</v>
      </c>
      <c r="P1942" t="s">
        <v>3477</v>
      </c>
      <c r="Q1942">
        <v>18</v>
      </c>
      <c r="R1942" s="13">
        <v>36000</v>
      </c>
      <c r="S1942" s="13">
        <v>21600</v>
      </c>
    </row>
    <row r="1943" spans="1:19">
      <c r="A1943" s="9" t="s">
        <v>22</v>
      </c>
      <c r="B1943" s="9" t="s">
        <v>26</v>
      </c>
      <c r="C1943" s="9" t="s">
        <v>80</v>
      </c>
      <c r="D1943" t="s">
        <v>204</v>
      </c>
      <c r="F1943" s="12" t="s">
        <v>3443</v>
      </c>
      <c r="G1943" s="10" t="s">
        <v>1487</v>
      </c>
      <c r="H1943" s="10" t="s">
        <v>1487</v>
      </c>
      <c r="K1943" t="s">
        <v>19</v>
      </c>
      <c r="L1943" t="s">
        <v>20</v>
      </c>
      <c r="M1943" s="9">
        <v>69101</v>
      </c>
      <c r="N1943" t="s">
        <v>3477</v>
      </c>
      <c r="O1943">
        <v>18</v>
      </c>
      <c r="P1943" t="s">
        <v>3477</v>
      </c>
      <c r="Q1943">
        <v>18</v>
      </c>
      <c r="R1943" s="13">
        <v>13930</v>
      </c>
      <c r="S1943" s="13">
        <v>9751</v>
      </c>
    </row>
    <row r="1944" spans="1:19">
      <c r="A1944" s="9" t="s">
        <v>22</v>
      </c>
      <c r="B1944" s="9" t="s">
        <v>27</v>
      </c>
      <c r="C1944" s="9" t="s">
        <v>194</v>
      </c>
      <c r="D1944" t="s">
        <v>204</v>
      </c>
      <c r="F1944" s="12" t="s">
        <v>3444</v>
      </c>
      <c r="G1944" s="10" t="s">
        <v>1488</v>
      </c>
      <c r="H1944" s="10" t="s">
        <v>1488</v>
      </c>
      <c r="K1944" t="s">
        <v>19</v>
      </c>
      <c r="L1944" t="s">
        <v>20</v>
      </c>
      <c r="M1944" s="9">
        <v>8481802</v>
      </c>
      <c r="N1944" t="s">
        <v>3477</v>
      </c>
      <c r="O1944">
        <v>18</v>
      </c>
      <c r="P1944" t="s">
        <v>3477</v>
      </c>
      <c r="Q1944">
        <v>18</v>
      </c>
      <c r="R1944" s="13">
        <v>23000</v>
      </c>
      <c r="S1944" s="13">
        <v>16099.999999999998</v>
      </c>
    </row>
    <row r="1945" spans="1:19">
      <c r="A1945" s="9" t="s">
        <v>22</v>
      </c>
      <c r="B1945" s="9" t="s">
        <v>26</v>
      </c>
      <c r="C1945" s="9" t="s">
        <v>70</v>
      </c>
      <c r="D1945" t="s">
        <v>204</v>
      </c>
      <c r="F1945" s="12" t="s">
        <v>3445</v>
      </c>
      <c r="G1945" s="10" t="s">
        <v>1486</v>
      </c>
      <c r="H1945" s="10" t="s">
        <v>1486</v>
      </c>
      <c r="K1945" t="s">
        <v>19</v>
      </c>
      <c r="L1945" t="s">
        <v>20</v>
      </c>
      <c r="M1945" s="9">
        <v>69101</v>
      </c>
      <c r="N1945" t="s">
        <v>3477</v>
      </c>
      <c r="O1945">
        <v>18</v>
      </c>
      <c r="P1945" t="s">
        <v>3477</v>
      </c>
      <c r="Q1945">
        <v>18</v>
      </c>
      <c r="R1945" s="13">
        <v>14000</v>
      </c>
      <c r="S1945" s="13">
        <v>9800</v>
      </c>
    </row>
    <row r="1946" spans="1:19">
      <c r="A1946" s="9" t="s">
        <v>22</v>
      </c>
      <c r="B1946" s="9" t="s">
        <v>26</v>
      </c>
      <c r="C1946" s="9" t="s">
        <v>80</v>
      </c>
      <c r="D1946" t="s">
        <v>204</v>
      </c>
      <c r="F1946" s="12" t="s">
        <v>3446</v>
      </c>
      <c r="G1946" s="10" t="s">
        <v>1489</v>
      </c>
      <c r="H1946" s="10" t="s">
        <v>1489</v>
      </c>
      <c r="K1946" t="s">
        <v>19</v>
      </c>
      <c r="L1946" t="s">
        <v>20</v>
      </c>
      <c r="M1946" s="9">
        <v>69101</v>
      </c>
      <c r="N1946" t="s">
        <v>3477</v>
      </c>
      <c r="O1946">
        <v>18</v>
      </c>
      <c r="P1946" t="s">
        <v>3477</v>
      </c>
      <c r="Q1946">
        <v>18</v>
      </c>
      <c r="R1946" s="13">
        <v>57000</v>
      </c>
      <c r="S1946" s="13">
        <v>39900</v>
      </c>
    </row>
    <row r="1947" spans="1:19">
      <c r="A1947" s="9" t="s">
        <v>23</v>
      </c>
      <c r="B1947" s="9" t="s">
        <v>27</v>
      </c>
      <c r="C1947" s="9" t="s">
        <v>48</v>
      </c>
      <c r="D1947" t="s">
        <v>204</v>
      </c>
      <c r="F1947" s="12" t="s">
        <v>3447</v>
      </c>
      <c r="G1947" s="10" t="s">
        <v>1490</v>
      </c>
      <c r="H1947" s="10" t="s">
        <v>1490</v>
      </c>
      <c r="K1947" t="s">
        <v>19</v>
      </c>
      <c r="L1947" t="s">
        <v>20</v>
      </c>
      <c r="M1947" s="9">
        <v>8481802</v>
      </c>
      <c r="N1947" t="s">
        <v>3477</v>
      </c>
      <c r="O1947">
        <v>18</v>
      </c>
      <c r="P1947" t="s">
        <v>3477</v>
      </c>
      <c r="Q1947">
        <v>18</v>
      </c>
      <c r="R1947" s="13">
        <v>30000</v>
      </c>
      <c r="S1947" s="13">
        <v>18000</v>
      </c>
    </row>
    <row r="1948" spans="1:19">
      <c r="A1948" s="9" t="s">
        <v>23</v>
      </c>
      <c r="B1948" s="9" t="s">
        <v>27</v>
      </c>
      <c r="C1948" s="9" t="s">
        <v>49</v>
      </c>
      <c r="D1948" t="s">
        <v>204</v>
      </c>
      <c r="F1948" s="12" t="s">
        <v>3448</v>
      </c>
      <c r="G1948" s="10" t="s">
        <v>1491</v>
      </c>
      <c r="H1948" s="10" t="s">
        <v>1491</v>
      </c>
      <c r="K1948" t="s">
        <v>19</v>
      </c>
      <c r="L1948" t="s">
        <v>20</v>
      </c>
      <c r="M1948" s="9">
        <v>8481802</v>
      </c>
      <c r="N1948" t="s">
        <v>3477</v>
      </c>
      <c r="O1948">
        <v>18</v>
      </c>
      <c r="P1948" t="s">
        <v>3477</v>
      </c>
      <c r="Q1948">
        <v>18</v>
      </c>
      <c r="R1948" s="13">
        <v>36000</v>
      </c>
      <c r="S1948" s="13">
        <v>21600</v>
      </c>
    </row>
    <row r="1949" spans="1:19">
      <c r="A1949" s="9" t="s">
        <v>23</v>
      </c>
      <c r="B1949" s="9" t="s">
        <v>27</v>
      </c>
      <c r="C1949" s="9" t="s">
        <v>190</v>
      </c>
      <c r="D1949" t="s">
        <v>204</v>
      </c>
      <c r="F1949" s="12" t="s">
        <v>3449</v>
      </c>
      <c r="G1949" s="10" t="s">
        <v>1492</v>
      </c>
      <c r="H1949" s="10" t="s">
        <v>1492</v>
      </c>
      <c r="K1949" t="s">
        <v>19</v>
      </c>
      <c r="L1949" t="s">
        <v>20</v>
      </c>
      <c r="M1949" s="9">
        <v>8481909</v>
      </c>
      <c r="N1949" t="s">
        <v>3477</v>
      </c>
      <c r="O1949">
        <v>18</v>
      </c>
      <c r="P1949" t="s">
        <v>3477</v>
      </c>
      <c r="Q1949">
        <v>18</v>
      </c>
      <c r="R1949" s="13">
        <v>15000</v>
      </c>
      <c r="S1949" s="13">
        <v>9000</v>
      </c>
    </row>
    <row r="1950" spans="1:19">
      <c r="A1950" s="9" t="s">
        <v>23</v>
      </c>
      <c r="B1950" s="9" t="s">
        <v>27</v>
      </c>
      <c r="C1950" s="9" t="s">
        <v>100</v>
      </c>
      <c r="D1950" t="s">
        <v>204</v>
      </c>
      <c r="F1950" s="12" t="s">
        <v>3450</v>
      </c>
      <c r="G1950" s="10" t="s">
        <v>1492</v>
      </c>
      <c r="H1950" s="10" t="s">
        <v>1492</v>
      </c>
      <c r="K1950" t="s">
        <v>19</v>
      </c>
      <c r="L1950" t="s">
        <v>20</v>
      </c>
      <c r="M1950" s="9">
        <v>8481909</v>
      </c>
      <c r="N1950" t="s">
        <v>3477</v>
      </c>
      <c r="O1950">
        <v>18</v>
      </c>
      <c r="P1950" t="s">
        <v>3477</v>
      </c>
      <c r="Q1950">
        <v>18</v>
      </c>
      <c r="R1950" s="13">
        <v>18350</v>
      </c>
      <c r="S1950" s="13">
        <v>11010</v>
      </c>
    </row>
    <row r="1951" spans="1:19">
      <c r="A1951" s="9" t="s">
        <v>23</v>
      </c>
      <c r="B1951" s="9" t="s">
        <v>27</v>
      </c>
      <c r="C1951" s="9" t="s">
        <v>100</v>
      </c>
      <c r="D1951" t="s">
        <v>204</v>
      </c>
      <c r="F1951" s="12" t="s">
        <v>3451</v>
      </c>
      <c r="G1951" s="10" t="s">
        <v>1493</v>
      </c>
      <c r="H1951" s="10" t="s">
        <v>1493</v>
      </c>
      <c r="K1951" t="s">
        <v>19</v>
      </c>
      <c r="L1951" t="s">
        <v>20</v>
      </c>
      <c r="M1951" s="9">
        <v>8481802</v>
      </c>
      <c r="N1951" t="s">
        <v>3477</v>
      </c>
      <c r="O1951">
        <v>18</v>
      </c>
      <c r="P1951" t="s">
        <v>3477</v>
      </c>
      <c r="Q1951">
        <v>18</v>
      </c>
      <c r="R1951" s="13">
        <v>105000</v>
      </c>
      <c r="S1951" s="13">
        <v>63000</v>
      </c>
    </row>
    <row r="1952" spans="1:19">
      <c r="A1952" s="9" t="s">
        <v>23</v>
      </c>
      <c r="B1952" s="9" t="s">
        <v>27</v>
      </c>
      <c r="C1952" s="9" t="s">
        <v>100</v>
      </c>
      <c r="D1952" t="s">
        <v>204</v>
      </c>
      <c r="F1952" s="12" t="s">
        <v>3452</v>
      </c>
      <c r="G1952" s="10" t="s">
        <v>1494</v>
      </c>
      <c r="H1952" s="10" t="s">
        <v>1494</v>
      </c>
      <c r="K1952" t="s">
        <v>19</v>
      </c>
      <c r="L1952" t="s">
        <v>20</v>
      </c>
      <c r="M1952" s="9">
        <v>8481909</v>
      </c>
      <c r="N1952" t="s">
        <v>3477</v>
      </c>
      <c r="O1952">
        <v>18</v>
      </c>
      <c r="P1952" t="s">
        <v>3477</v>
      </c>
      <c r="Q1952">
        <v>18</v>
      </c>
      <c r="R1952" s="13">
        <v>19430</v>
      </c>
      <c r="S1952" s="13">
        <v>11658</v>
      </c>
    </row>
    <row r="1953" spans="1:19">
      <c r="A1953" s="9" t="s">
        <v>23</v>
      </c>
      <c r="B1953" s="9" t="s">
        <v>27</v>
      </c>
      <c r="C1953" s="9" t="s">
        <v>100</v>
      </c>
      <c r="D1953" t="s">
        <v>204</v>
      </c>
      <c r="F1953" s="12" t="s">
        <v>3453</v>
      </c>
      <c r="G1953" s="10" t="s">
        <v>1495</v>
      </c>
      <c r="H1953" s="10" t="s">
        <v>1495</v>
      </c>
      <c r="K1953" t="s">
        <v>19</v>
      </c>
      <c r="L1953" t="s">
        <v>20</v>
      </c>
      <c r="M1953" s="9">
        <v>8481802</v>
      </c>
      <c r="N1953" t="s">
        <v>3477</v>
      </c>
      <c r="O1953">
        <v>18</v>
      </c>
      <c r="P1953" t="s">
        <v>3477</v>
      </c>
      <c r="Q1953">
        <v>18</v>
      </c>
      <c r="R1953" s="13">
        <v>200000</v>
      </c>
      <c r="S1953" s="13">
        <v>120000</v>
      </c>
    </row>
    <row r="1954" spans="1:19">
      <c r="A1954" s="9" t="s">
        <v>23</v>
      </c>
      <c r="B1954" s="9" t="s">
        <v>27</v>
      </c>
      <c r="C1954" s="9" t="s">
        <v>100</v>
      </c>
      <c r="D1954" t="s">
        <v>204</v>
      </c>
      <c r="F1954" s="12" t="s">
        <v>3454</v>
      </c>
      <c r="G1954" s="10" t="s">
        <v>1492</v>
      </c>
      <c r="H1954" s="10" t="s">
        <v>1492</v>
      </c>
      <c r="K1954" t="s">
        <v>19</v>
      </c>
      <c r="L1954" t="s">
        <v>20</v>
      </c>
      <c r="M1954" s="9">
        <v>8481802</v>
      </c>
      <c r="N1954" t="s">
        <v>3477</v>
      </c>
      <c r="O1954">
        <v>18</v>
      </c>
      <c r="P1954" t="s">
        <v>3477</v>
      </c>
      <c r="Q1954">
        <v>18</v>
      </c>
      <c r="R1954" s="13">
        <v>55000</v>
      </c>
      <c r="S1954" s="13">
        <v>33000</v>
      </c>
    </row>
    <row r="1955" spans="1:19">
      <c r="A1955" s="9" t="s">
        <v>23</v>
      </c>
      <c r="B1955" s="9" t="s">
        <v>27</v>
      </c>
      <c r="C1955" s="9" t="s">
        <v>100</v>
      </c>
      <c r="D1955" t="s">
        <v>204</v>
      </c>
      <c r="F1955" s="12" t="s">
        <v>3455</v>
      </c>
      <c r="G1955" s="10" t="s">
        <v>1492</v>
      </c>
      <c r="H1955" s="10" t="s">
        <v>1492</v>
      </c>
      <c r="K1955" t="s">
        <v>19</v>
      </c>
      <c r="L1955" t="s">
        <v>20</v>
      </c>
      <c r="M1955" s="9">
        <v>8481802</v>
      </c>
      <c r="N1955" t="s">
        <v>3477</v>
      </c>
      <c r="O1955">
        <v>18</v>
      </c>
      <c r="P1955" t="s">
        <v>3477</v>
      </c>
      <c r="Q1955">
        <v>18</v>
      </c>
      <c r="R1955" s="13">
        <v>75000</v>
      </c>
      <c r="S1955" s="13">
        <v>45000</v>
      </c>
    </row>
    <row r="1956" spans="1:19">
      <c r="A1956" s="9" t="s">
        <v>23</v>
      </c>
      <c r="B1956" s="9" t="s">
        <v>27</v>
      </c>
      <c r="C1956" s="9" t="s">
        <v>100</v>
      </c>
      <c r="D1956" t="s">
        <v>204</v>
      </c>
      <c r="F1956" s="12" t="s">
        <v>3456</v>
      </c>
      <c r="G1956" s="10" t="s">
        <v>1496</v>
      </c>
      <c r="H1956" s="10" t="s">
        <v>1496</v>
      </c>
      <c r="K1956" t="s">
        <v>19</v>
      </c>
      <c r="L1956" t="s">
        <v>20</v>
      </c>
      <c r="M1956" s="9">
        <v>8481909</v>
      </c>
      <c r="N1956" t="s">
        <v>3477</v>
      </c>
      <c r="O1956">
        <v>18</v>
      </c>
      <c r="P1956" t="s">
        <v>3477</v>
      </c>
      <c r="Q1956">
        <v>18</v>
      </c>
      <c r="R1956" s="13">
        <v>24000</v>
      </c>
      <c r="S1956" s="13">
        <v>14400</v>
      </c>
    </row>
    <row r="1957" spans="1:19">
      <c r="A1957" s="9" t="s">
        <v>23</v>
      </c>
      <c r="B1957" s="9" t="s">
        <v>27</v>
      </c>
      <c r="C1957" s="9" t="s">
        <v>100</v>
      </c>
      <c r="D1957" t="s">
        <v>204</v>
      </c>
      <c r="F1957" s="12" t="s">
        <v>3457</v>
      </c>
      <c r="G1957" s="10" t="s">
        <v>1493</v>
      </c>
      <c r="H1957" s="10" t="s">
        <v>1493</v>
      </c>
      <c r="K1957" t="s">
        <v>19</v>
      </c>
      <c r="L1957" t="s">
        <v>20</v>
      </c>
      <c r="M1957" s="9">
        <v>8481802</v>
      </c>
      <c r="N1957" t="s">
        <v>3477</v>
      </c>
      <c r="O1957">
        <v>18</v>
      </c>
      <c r="P1957" t="s">
        <v>3477</v>
      </c>
      <c r="Q1957">
        <v>18</v>
      </c>
      <c r="R1957" s="13">
        <v>55000</v>
      </c>
      <c r="S1957" s="13">
        <v>33000</v>
      </c>
    </row>
    <row r="1958" spans="1:19">
      <c r="A1958" s="9" t="s">
        <v>23</v>
      </c>
      <c r="B1958" s="9" t="s">
        <v>27</v>
      </c>
      <c r="C1958" s="9" t="s">
        <v>100</v>
      </c>
      <c r="D1958" t="s">
        <v>204</v>
      </c>
      <c r="F1958" s="12" t="s">
        <v>3458</v>
      </c>
      <c r="G1958" s="10" t="s">
        <v>569</v>
      </c>
      <c r="H1958" s="10" t="s">
        <v>569</v>
      </c>
      <c r="K1958" t="s">
        <v>19</v>
      </c>
      <c r="L1958" t="s">
        <v>20</v>
      </c>
      <c r="M1958" s="9">
        <v>8481909</v>
      </c>
      <c r="N1958" t="s">
        <v>3477</v>
      </c>
      <c r="O1958">
        <v>18</v>
      </c>
      <c r="P1958" t="s">
        <v>3477</v>
      </c>
      <c r="Q1958">
        <v>18</v>
      </c>
      <c r="R1958" s="13">
        <v>26000</v>
      </c>
      <c r="S1958" s="13">
        <v>15600</v>
      </c>
    </row>
    <row r="1959" spans="1:19">
      <c r="A1959" s="9" t="s">
        <v>23</v>
      </c>
      <c r="B1959" s="9" t="s">
        <v>27</v>
      </c>
      <c r="C1959" s="9" t="s">
        <v>100</v>
      </c>
      <c r="D1959" t="s">
        <v>204</v>
      </c>
      <c r="F1959" s="12" t="s">
        <v>3459</v>
      </c>
      <c r="G1959" s="10" t="s">
        <v>569</v>
      </c>
      <c r="H1959" s="10" t="s">
        <v>569</v>
      </c>
      <c r="K1959" t="s">
        <v>19</v>
      </c>
      <c r="L1959" t="s">
        <v>20</v>
      </c>
      <c r="M1959" s="9">
        <v>8481909</v>
      </c>
      <c r="N1959" t="s">
        <v>3477</v>
      </c>
      <c r="O1959">
        <v>18</v>
      </c>
      <c r="P1959" t="s">
        <v>3477</v>
      </c>
      <c r="Q1959">
        <v>18</v>
      </c>
      <c r="R1959" s="13">
        <v>28000</v>
      </c>
      <c r="S1959" s="13">
        <v>16800</v>
      </c>
    </row>
    <row r="1960" spans="1:19">
      <c r="A1960" s="9" t="s">
        <v>23</v>
      </c>
      <c r="B1960" s="9" t="s">
        <v>27</v>
      </c>
      <c r="C1960" s="9" t="s">
        <v>100</v>
      </c>
      <c r="D1960" t="s">
        <v>204</v>
      </c>
      <c r="F1960" s="12" t="s">
        <v>3460</v>
      </c>
      <c r="G1960" s="10" t="s">
        <v>1497</v>
      </c>
      <c r="H1960" s="10" t="s">
        <v>1497</v>
      </c>
      <c r="K1960" t="s">
        <v>19</v>
      </c>
      <c r="L1960" t="s">
        <v>20</v>
      </c>
      <c r="M1960" s="9">
        <v>8481909</v>
      </c>
      <c r="N1960" t="s">
        <v>3477</v>
      </c>
      <c r="O1960">
        <v>18</v>
      </c>
      <c r="P1960" t="s">
        <v>3477</v>
      </c>
      <c r="Q1960">
        <v>18</v>
      </c>
      <c r="R1960" s="13">
        <v>52500</v>
      </c>
      <c r="S1960" s="13">
        <v>31500</v>
      </c>
    </row>
    <row r="1961" spans="1:19">
      <c r="A1961" s="9" t="s">
        <v>23</v>
      </c>
      <c r="B1961" s="9" t="s">
        <v>27</v>
      </c>
      <c r="C1961" s="9" t="s">
        <v>190</v>
      </c>
      <c r="D1961" t="s">
        <v>204</v>
      </c>
      <c r="F1961" s="12" t="s">
        <v>3461</v>
      </c>
      <c r="G1961" s="10" t="s">
        <v>1498</v>
      </c>
      <c r="H1961" s="10" t="s">
        <v>1498</v>
      </c>
      <c r="K1961" t="s">
        <v>19</v>
      </c>
      <c r="L1961" t="s">
        <v>20</v>
      </c>
      <c r="M1961" s="9">
        <v>8481909</v>
      </c>
      <c r="N1961" t="s">
        <v>3477</v>
      </c>
      <c r="O1961">
        <v>18</v>
      </c>
      <c r="P1961" t="s">
        <v>3477</v>
      </c>
      <c r="Q1961">
        <v>18</v>
      </c>
      <c r="R1961" s="13">
        <v>80000</v>
      </c>
      <c r="S1961" s="13">
        <v>48000</v>
      </c>
    </row>
    <row r="1962" spans="1:19">
      <c r="A1962" s="9" t="s">
        <v>23</v>
      </c>
      <c r="B1962" s="9" t="s">
        <v>27</v>
      </c>
      <c r="C1962" s="9" t="s">
        <v>190</v>
      </c>
      <c r="D1962" t="s">
        <v>204</v>
      </c>
      <c r="F1962" s="12" t="s">
        <v>3462</v>
      </c>
      <c r="G1962" s="10" t="s">
        <v>1498</v>
      </c>
      <c r="H1962" s="10" t="s">
        <v>1498</v>
      </c>
      <c r="K1962" t="s">
        <v>19</v>
      </c>
      <c r="L1962" t="s">
        <v>20</v>
      </c>
      <c r="M1962" s="9">
        <v>8481802</v>
      </c>
      <c r="N1962" t="s">
        <v>3477</v>
      </c>
      <c r="O1962">
        <v>18</v>
      </c>
      <c r="P1962" t="s">
        <v>3477</v>
      </c>
      <c r="Q1962">
        <v>18</v>
      </c>
      <c r="R1962" s="13">
        <v>50000</v>
      </c>
      <c r="S1962" s="13">
        <v>30000</v>
      </c>
    </row>
    <row r="1963" spans="1:19">
      <c r="A1963" s="9" t="s">
        <v>23</v>
      </c>
      <c r="B1963" s="9" t="s">
        <v>27</v>
      </c>
      <c r="C1963" s="9" t="s">
        <v>190</v>
      </c>
      <c r="D1963" t="s">
        <v>204</v>
      </c>
      <c r="F1963" s="12" t="s">
        <v>3463</v>
      </c>
      <c r="G1963" s="10" t="s">
        <v>1499</v>
      </c>
      <c r="H1963" s="10" t="s">
        <v>1499</v>
      </c>
      <c r="K1963" t="s">
        <v>19</v>
      </c>
      <c r="L1963" t="s">
        <v>20</v>
      </c>
      <c r="M1963" s="9">
        <v>8481909</v>
      </c>
      <c r="N1963" t="s">
        <v>3477</v>
      </c>
      <c r="O1963">
        <v>18</v>
      </c>
      <c r="P1963" t="s">
        <v>3477</v>
      </c>
      <c r="Q1963">
        <v>18</v>
      </c>
      <c r="R1963" s="13">
        <v>21000</v>
      </c>
      <c r="S1963" s="13">
        <v>12600</v>
      </c>
    </row>
    <row r="1964" spans="1:19">
      <c r="A1964" s="9" t="s">
        <v>23</v>
      </c>
      <c r="B1964" s="9" t="s">
        <v>27</v>
      </c>
      <c r="C1964" s="9" t="s">
        <v>190</v>
      </c>
      <c r="D1964" t="s">
        <v>204</v>
      </c>
      <c r="F1964" s="12" t="s">
        <v>3464</v>
      </c>
      <c r="G1964" s="10" t="s">
        <v>1500</v>
      </c>
      <c r="H1964" s="10" t="s">
        <v>1500</v>
      </c>
      <c r="K1964" t="s">
        <v>19</v>
      </c>
      <c r="L1964" t="s">
        <v>20</v>
      </c>
      <c r="M1964" s="9">
        <v>8481909</v>
      </c>
      <c r="N1964" t="s">
        <v>3477</v>
      </c>
      <c r="O1964">
        <v>18</v>
      </c>
      <c r="P1964" t="s">
        <v>3477</v>
      </c>
      <c r="Q1964">
        <v>18</v>
      </c>
      <c r="R1964" s="13">
        <v>25000</v>
      </c>
      <c r="S1964" s="13">
        <v>15000</v>
      </c>
    </row>
    <row r="1965" spans="1:19">
      <c r="A1965" s="9" t="s">
        <v>23</v>
      </c>
      <c r="B1965" s="9" t="s">
        <v>27</v>
      </c>
      <c r="C1965" s="9" t="s">
        <v>190</v>
      </c>
      <c r="D1965" t="s">
        <v>204</v>
      </c>
      <c r="F1965" s="12" t="s">
        <v>3465</v>
      </c>
      <c r="G1965" s="10" t="s">
        <v>1501</v>
      </c>
      <c r="H1965" s="10" t="s">
        <v>1501</v>
      </c>
      <c r="K1965" t="s">
        <v>19</v>
      </c>
      <c r="L1965" t="s">
        <v>20</v>
      </c>
      <c r="M1965" s="9">
        <v>8481909</v>
      </c>
      <c r="N1965" t="s">
        <v>3477</v>
      </c>
      <c r="O1965">
        <v>18</v>
      </c>
      <c r="P1965" t="s">
        <v>3477</v>
      </c>
      <c r="Q1965">
        <v>18</v>
      </c>
      <c r="R1965" s="13">
        <v>23000</v>
      </c>
      <c r="S1965" s="13">
        <v>13800</v>
      </c>
    </row>
    <row r="1966" spans="1:19">
      <c r="A1966" s="9" t="s">
        <v>23</v>
      </c>
      <c r="B1966" s="9" t="s">
        <v>26</v>
      </c>
      <c r="C1966" s="9" t="s">
        <v>80</v>
      </c>
      <c r="D1966" t="s">
        <v>204</v>
      </c>
      <c r="F1966" s="12" t="s">
        <v>3466</v>
      </c>
      <c r="G1966" s="10" t="s">
        <v>1502</v>
      </c>
      <c r="H1966" s="10" t="s">
        <v>1502</v>
      </c>
      <c r="K1966" t="s">
        <v>19</v>
      </c>
      <c r="L1966" t="s">
        <v>20</v>
      </c>
      <c r="M1966" s="9">
        <v>69101</v>
      </c>
      <c r="N1966" t="s">
        <v>3477</v>
      </c>
      <c r="O1966">
        <v>18</v>
      </c>
      <c r="P1966" t="s">
        <v>3477</v>
      </c>
      <c r="Q1966">
        <v>18</v>
      </c>
      <c r="R1966" s="13">
        <v>149000</v>
      </c>
      <c r="S1966" s="13">
        <v>89400</v>
      </c>
    </row>
    <row r="1967" spans="1:19">
      <c r="A1967" s="9" t="s">
        <v>23</v>
      </c>
      <c r="B1967" s="9" t="s">
        <v>27</v>
      </c>
      <c r="C1967" s="9" t="s">
        <v>190</v>
      </c>
      <c r="D1967" t="s">
        <v>204</v>
      </c>
      <c r="F1967" s="12" t="s">
        <v>3467</v>
      </c>
      <c r="G1967" s="10" t="s">
        <v>1503</v>
      </c>
      <c r="H1967" s="10" t="s">
        <v>1503</v>
      </c>
      <c r="K1967" t="s">
        <v>19</v>
      </c>
      <c r="L1967" t="s">
        <v>20</v>
      </c>
      <c r="M1967" s="9">
        <v>8481909</v>
      </c>
      <c r="N1967" t="s">
        <v>3477</v>
      </c>
      <c r="O1967">
        <v>18</v>
      </c>
      <c r="P1967" t="s">
        <v>3477</v>
      </c>
      <c r="Q1967">
        <v>18</v>
      </c>
      <c r="R1967" s="13">
        <v>19440</v>
      </c>
      <c r="S1967" s="13">
        <v>11664</v>
      </c>
    </row>
    <row r="1968" spans="1:19">
      <c r="A1968" s="9" t="s">
        <v>22</v>
      </c>
      <c r="B1968" s="9" t="s">
        <v>27</v>
      </c>
      <c r="C1968" s="9" t="s">
        <v>50</v>
      </c>
      <c r="D1968" t="s">
        <v>204</v>
      </c>
      <c r="F1968" s="12" t="s">
        <v>3468</v>
      </c>
      <c r="G1968" s="10" t="s">
        <v>1504</v>
      </c>
      <c r="H1968" s="10" t="s">
        <v>1504</v>
      </c>
      <c r="K1968" t="s">
        <v>19</v>
      </c>
      <c r="L1968" t="s">
        <v>20</v>
      </c>
      <c r="M1968" s="9">
        <v>8481802</v>
      </c>
      <c r="N1968" t="s">
        <v>3477</v>
      </c>
      <c r="O1968">
        <v>18</v>
      </c>
      <c r="P1968" t="s">
        <v>3477</v>
      </c>
      <c r="Q1968">
        <v>18</v>
      </c>
      <c r="R1968" s="13">
        <v>18920</v>
      </c>
      <c r="S1968" s="13">
        <v>13244</v>
      </c>
    </row>
    <row r="1969" spans="1:19">
      <c r="A1969" s="9" t="s">
        <v>22</v>
      </c>
      <c r="B1969" s="9" t="s">
        <v>27</v>
      </c>
      <c r="C1969" s="9" t="s">
        <v>119</v>
      </c>
      <c r="D1969" t="s">
        <v>204</v>
      </c>
      <c r="F1969" s="12" t="s">
        <v>3469</v>
      </c>
      <c r="G1969" s="10" t="s">
        <v>1505</v>
      </c>
      <c r="H1969" s="10" t="s">
        <v>1505</v>
      </c>
      <c r="K1969" t="s">
        <v>19</v>
      </c>
      <c r="L1969" t="s">
        <v>20</v>
      </c>
      <c r="M1969" s="9">
        <v>8481802</v>
      </c>
      <c r="N1969" t="s">
        <v>3477</v>
      </c>
      <c r="O1969">
        <v>18</v>
      </c>
      <c r="P1969" t="s">
        <v>3477</v>
      </c>
      <c r="Q1969">
        <v>18</v>
      </c>
      <c r="R1969" s="13">
        <v>57200</v>
      </c>
      <c r="S1969" s="13">
        <v>40040</v>
      </c>
    </row>
    <row r="1970" spans="1:19">
      <c r="A1970" s="9" t="s">
        <v>23</v>
      </c>
      <c r="B1970" s="9" t="s">
        <v>27</v>
      </c>
      <c r="C1970" s="9" t="s">
        <v>135</v>
      </c>
      <c r="D1970" t="s">
        <v>204</v>
      </c>
      <c r="F1970" s="12" t="s">
        <v>3470</v>
      </c>
      <c r="G1970" s="10" t="s">
        <v>1506</v>
      </c>
      <c r="H1970" s="10" t="s">
        <v>1506</v>
      </c>
      <c r="K1970" t="s">
        <v>19</v>
      </c>
      <c r="L1970" t="s">
        <v>20</v>
      </c>
      <c r="M1970" s="9">
        <v>8481801</v>
      </c>
      <c r="N1970" t="s">
        <v>3477</v>
      </c>
      <c r="O1970">
        <v>18</v>
      </c>
      <c r="P1970" t="s">
        <v>3477</v>
      </c>
      <c r="Q1970">
        <v>18</v>
      </c>
      <c r="R1970" s="13">
        <v>34500</v>
      </c>
      <c r="S1970" s="13">
        <v>20700</v>
      </c>
    </row>
    <row r="1971" spans="1:19">
      <c r="A1971" s="9" t="s">
        <v>22</v>
      </c>
      <c r="B1971" s="9" t="s">
        <v>27</v>
      </c>
      <c r="C1971" s="9" t="s">
        <v>135</v>
      </c>
      <c r="D1971" t="s">
        <v>204</v>
      </c>
      <c r="F1971" s="12" t="s">
        <v>3471</v>
      </c>
      <c r="G1971" s="10" t="s">
        <v>1505</v>
      </c>
      <c r="H1971" s="10" t="s">
        <v>1505</v>
      </c>
      <c r="K1971" t="s">
        <v>19</v>
      </c>
      <c r="L1971" t="s">
        <v>20</v>
      </c>
      <c r="M1971" s="9">
        <v>7418201</v>
      </c>
      <c r="N1971" t="s">
        <v>3477</v>
      </c>
      <c r="O1971">
        <v>18</v>
      </c>
      <c r="P1971" t="s">
        <v>3477</v>
      </c>
      <c r="Q1971">
        <v>18</v>
      </c>
      <c r="R1971" s="13">
        <v>16300</v>
      </c>
      <c r="S1971" s="13">
        <v>11410</v>
      </c>
    </row>
    <row r="1972" spans="1:19">
      <c r="A1972" s="9" t="s">
        <v>22</v>
      </c>
      <c r="B1972" s="9" t="s">
        <v>27</v>
      </c>
      <c r="C1972" s="9" t="s">
        <v>135</v>
      </c>
      <c r="D1972" t="s">
        <v>204</v>
      </c>
      <c r="F1972" s="12" t="s">
        <v>3472</v>
      </c>
      <c r="G1972" s="10" t="s">
        <v>1506</v>
      </c>
      <c r="H1972" s="10" t="s">
        <v>1506</v>
      </c>
      <c r="K1972" t="s">
        <v>19</v>
      </c>
      <c r="L1972" t="s">
        <v>20</v>
      </c>
      <c r="M1972" s="9">
        <v>7418201</v>
      </c>
      <c r="N1972" t="s">
        <v>3477</v>
      </c>
      <c r="O1972">
        <v>18</v>
      </c>
      <c r="P1972" t="s">
        <v>3477</v>
      </c>
      <c r="Q1972">
        <v>18</v>
      </c>
      <c r="R1972" s="13">
        <v>18200</v>
      </c>
      <c r="S1972" s="13">
        <v>12740</v>
      </c>
    </row>
    <row r="1973" spans="1:19">
      <c r="A1973" s="9" t="s">
        <v>22</v>
      </c>
      <c r="B1973" s="9" t="s">
        <v>27</v>
      </c>
      <c r="C1973" s="9" t="s">
        <v>135</v>
      </c>
      <c r="D1973" t="s">
        <v>204</v>
      </c>
      <c r="F1973" s="12" t="s">
        <v>3473</v>
      </c>
      <c r="G1973" s="10" t="s">
        <v>1506</v>
      </c>
      <c r="H1973" s="10" t="s">
        <v>1506</v>
      </c>
      <c r="K1973" t="s">
        <v>19</v>
      </c>
      <c r="L1973" t="s">
        <v>20</v>
      </c>
      <c r="M1973" s="9">
        <v>7418201</v>
      </c>
      <c r="N1973" t="s">
        <v>3477</v>
      </c>
      <c r="O1973">
        <v>18</v>
      </c>
      <c r="P1973" t="s">
        <v>3477</v>
      </c>
      <c r="Q1973">
        <v>18</v>
      </c>
      <c r="R1973" s="13">
        <v>16300</v>
      </c>
      <c r="S1973" s="13">
        <v>11410</v>
      </c>
    </row>
    <row r="1974" spans="1:19">
      <c r="A1974" s="9" t="s">
        <v>22</v>
      </c>
      <c r="B1974" s="9" t="s">
        <v>27</v>
      </c>
      <c r="C1974" s="9" t="s">
        <v>135</v>
      </c>
      <c r="D1974" t="s">
        <v>204</v>
      </c>
      <c r="F1974" s="12" t="s">
        <v>3474</v>
      </c>
      <c r="G1974" s="10" t="s">
        <v>1506</v>
      </c>
      <c r="H1974" s="10" t="s">
        <v>1506</v>
      </c>
      <c r="K1974" t="s">
        <v>19</v>
      </c>
      <c r="L1974" t="s">
        <v>20</v>
      </c>
      <c r="M1974" s="9">
        <v>7418201</v>
      </c>
      <c r="N1974" t="s">
        <v>3477</v>
      </c>
      <c r="O1974">
        <v>18</v>
      </c>
      <c r="P1974" t="s">
        <v>3477</v>
      </c>
      <c r="Q1974">
        <v>18</v>
      </c>
      <c r="R1974" s="13">
        <v>19500</v>
      </c>
      <c r="S1974" s="13">
        <v>13650</v>
      </c>
    </row>
    <row r="1975" spans="1:19">
      <c r="A1975" s="9" t="s">
        <v>22</v>
      </c>
      <c r="B1975" s="9" t="s">
        <v>27</v>
      </c>
      <c r="C1975" s="9" t="s">
        <v>135</v>
      </c>
      <c r="D1975" t="s">
        <v>204</v>
      </c>
      <c r="F1975" s="12" t="s">
        <v>3475</v>
      </c>
      <c r="G1975" s="10" t="s">
        <v>1505</v>
      </c>
      <c r="H1975" s="10" t="s">
        <v>1505</v>
      </c>
      <c r="K1975" t="s">
        <v>19</v>
      </c>
      <c r="L1975" t="s">
        <v>20</v>
      </c>
      <c r="M1975" s="9">
        <v>7418201</v>
      </c>
      <c r="N1975" t="s">
        <v>3477</v>
      </c>
      <c r="O1975">
        <v>18</v>
      </c>
      <c r="P1975" t="s">
        <v>3477</v>
      </c>
      <c r="Q1975">
        <v>18</v>
      </c>
      <c r="R1975" s="13">
        <v>19500</v>
      </c>
      <c r="S1975" s="13">
        <v>13650</v>
      </c>
    </row>
    <row r="1976" spans="1:19">
      <c r="A1976" s="9" t="s">
        <v>22</v>
      </c>
      <c r="B1976" s="9" t="s">
        <v>27</v>
      </c>
      <c r="C1976" s="9" t="s">
        <v>135</v>
      </c>
      <c r="D1976" t="s">
        <v>204</v>
      </c>
      <c r="F1976" s="12" t="s">
        <v>3476</v>
      </c>
      <c r="G1976" s="10" t="s">
        <v>1505</v>
      </c>
      <c r="H1976" s="10" t="s">
        <v>1505</v>
      </c>
      <c r="K1976" t="s">
        <v>19</v>
      </c>
      <c r="L1976" t="s">
        <v>20</v>
      </c>
      <c r="M1976" s="9">
        <v>7418201</v>
      </c>
      <c r="N1976" t="s">
        <v>3477</v>
      </c>
      <c r="O1976">
        <v>18</v>
      </c>
      <c r="P1976" t="s">
        <v>3477</v>
      </c>
      <c r="Q1976">
        <v>18</v>
      </c>
      <c r="R1976" s="13">
        <v>13000</v>
      </c>
      <c r="S1976" s="13">
        <v>9100</v>
      </c>
    </row>
    <row r="1977" spans="1:19">
      <c r="M1977" s="2"/>
    </row>
    <row r="1978" spans="1:19">
      <c r="M1978" s="2"/>
    </row>
    <row r="1979" spans="1:19">
      <c r="M1979" s="2"/>
    </row>
    <row r="1980" spans="1:19">
      <c r="M1980" s="2"/>
    </row>
    <row r="1981" spans="1:19">
      <c r="M1981" s="2"/>
    </row>
    <row r="1982" spans="1:19">
      <c r="M1982" s="2"/>
    </row>
    <row r="1983" spans="1:19">
      <c r="M1983" s="2"/>
    </row>
    <row r="1984" spans="1:19">
      <c r="M1984" s="2"/>
    </row>
    <row r="1985" spans="13:13">
      <c r="M1985" s="2"/>
    </row>
    <row r="1986" spans="13:13">
      <c r="M1986" s="2"/>
    </row>
    <row r="1987" spans="13:13">
      <c r="M1987" s="2"/>
    </row>
    <row r="1988" spans="13:13">
      <c r="M1988" s="2"/>
    </row>
    <row r="1989" spans="13:13">
      <c r="M1989" s="2"/>
    </row>
    <row r="1990" spans="13:13">
      <c r="M1990" s="2"/>
    </row>
    <row r="1991" spans="13:13">
      <c r="M1991" s="2"/>
    </row>
    <row r="1992" spans="13:13">
      <c r="M1992" s="2"/>
    </row>
    <row r="1993" spans="13:13">
      <c r="M1993" s="2"/>
    </row>
    <row r="1994" spans="13:13">
      <c r="M1994" s="2"/>
    </row>
    <row r="1995" spans="13:13">
      <c r="M1995" s="2"/>
    </row>
    <row r="1996" spans="13:13">
      <c r="M1996" s="2"/>
    </row>
    <row r="1997" spans="13:13">
      <c r="M1997" s="2"/>
    </row>
    <row r="1998" spans="13:13">
      <c r="M1998" s="2"/>
    </row>
    <row r="1999" spans="13:13">
      <c r="M1999" s="2"/>
    </row>
    <row r="2000" spans="13:13">
      <c r="M2000" s="2"/>
    </row>
    <row r="2001" spans="13:13">
      <c r="M2001" s="2"/>
    </row>
    <row r="2002" spans="13:13">
      <c r="M2002" s="2"/>
    </row>
    <row r="2003" spans="13:13">
      <c r="M2003" s="2"/>
    </row>
    <row r="2004" spans="13:13">
      <c r="M2004" s="2"/>
    </row>
    <row r="2005" spans="13:13">
      <c r="M2005" s="2"/>
    </row>
    <row r="2006" spans="13:13">
      <c r="M2006" s="2"/>
    </row>
    <row r="2007" spans="13:13">
      <c r="M2007" s="2"/>
    </row>
    <row r="2008" spans="13:13">
      <c r="M2008" s="2"/>
    </row>
    <row r="2009" spans="13:13">
      <c r="M2009" s="2"/>
    </row>
    <row r="2010" spans="13:13">
      <c r="M2010" s="2"/>
    </row>
    <row r="2011" spans="13:13">
      <c r="M2011" s="2"/>
    </row>
    <row r="2012" spans="13:13">
      <c r="M2012" s="2"/>
    </row>
    <row r="2013" spans="13:13">
      <c r="M2013" s="2"/>
    </row>
    <row r="2014" spans="13:13">
      <c r="M2014" s="2"/>
    </row>
    <row r="2015" spans="13:13">
      <c r="M2015" s="2"/>
    </row>
    <row r="2016" spans="13:13">
      <c r="M2016" s="2"/>
    </row>
    <row r="2017" spans="13:13">
      <c r="M2017" s="2"/>
    </row>
    <row r="2018" spans="13:13">
      <c r="M2018" s="2"/>
    </row>
    <row r="2019" spans="13:13">
      <c r="M2019" s="2"/>
    </row>
    <row r="2020" spans="13:13">
      <c r="M2020" s="2"/>
    </row>
    <row r="2021" spans="13:13">
      <c r="M2021" s="2"/>
    </row>
    <row r="2022" spans="13:13">
      <c r="M2022" s="2"/>
    </row>
    <row r="2023" spans="13:13">
      <c r="M2023" s="2"/>
    </row>
    <row r="2024" spans="13:13">
      <c r="M2024" s="2"/>
    </row>
    <row r="2025" spans="13:13">
      <c r="M2025" s="2"/>
    </row>
    <row r="2026" spans="13:13">
      <c r="M2026" s="2"/>
    </row>
    <row r="2027" spans="13:13">
      <c r="M2027" s="2"/>
    </row>
    <row r="2028" spans="13:13">
      <c r="M2028" s="2"/>
    </row>
    <row r="2029" spans="13:13">
      <c r="M2029" s="2"/>
    </row>
    <row r="2030" spans="13:13">
      <c r="M2030" s="2"/>
    </row>
    <row r="2031" spans="13:13">
      <c r="M2031" s="2"/>
    </row>
    <row r="2032" spans="13:13">
      <c r="M2032" s="2"/>
    </row>
    <row r="2033" spans="13:13">
      <c r="M2033" s="2"/>
    </row>
    <row r="2034" spans="13:13">
      <c r="M2034" s="2"/>
    </row>
    <row r="2035" spans="13:13">
      <c r="M2035" s="2"/>
    </row>
    <row r="2036" spans="13:13">
      <c r="M2036" s="2"/>
    </row>
    <row r="2037" spans="13:13">
      <c r="M2037" s="2"/>
    </row>
    <row r="2038" spans="13:13">
      <c r="M2038" s="2"/>
    </row>
    <row r="2039" spans="13:13">
      <c r="M2039" s="2"/>
    </row>
    <row r="2040" spans="13:13">
      <c r="M2040" s="2"/>
    </row>
    <row r="2041" spans="13:13">
      <c r="M2041" s="2"/>
    </row>
    <row r="2042" spans="13:13">
      <c r="M2042" s="2"/>
    </row>
    <row r="2043" spans="13:13">
      <c r="M2043" s="2"/>
    </row>
    <row r="2044" spans="13:13">
      <c r="M2044" s="2"/>
    </row>
    <row r="2045" spans="13:13">
      <c r="M2045" s="2"/>
    </row>
    <row r="2046" spans="13:13">
      <c r="M2046" s="2"/>
    </row>
    <row r="2047" spans="13:13">
      <c r="M2047" s="2"/>
    </row>
    <row r="2048" spans="13:13">
      <c r="M2048" s="2"/>
    </row>
    <row r="2049" spans="13:13">
      <c r="M2049" s="2"/>
    </row>
    <row r="2050" spans="13:13">
      <c r="M2050" s="2"/>
    </row>
    <row r="2051" spans="13:13">
      <c r="M2051" s="2"/>
    </row>
    <row r="2052" spans="13:13">
      <c r="M2052" s="2"/>
    </row>
    <row r="2053" spans="13:13">
      <c r="M2053" s="2"/>
    </row>
    <row r="2054" spans="13:13">
      <c r="M2054" s="2"/>
    </row>
    <row r="2055" spans="13:13">
      <c r="M2055" s="2"/>
    </row>
    <row r="2056" spans="13:13">
      <c r="M2056" s="2"/>
    </row>
    <row r="2057" spans="13:13">
      <c r="M2057" s="2"/>
    </row>
    <row r="2058" spans="13:13">
      <c r="M2058" s="2"/>
    </row>
    <row r="2059" spans="13:13">
      <c r="M2059" s="2"/>
    </row>
    <row r="2060" spans="13:13">
      <c r="M2060" s="2"/>
    </row>
    <row r="2061" spans="13:13">
      <c r="M2061" s="2"/>
    </row>
    <row r="2062" spans="13:13">
      <c r="M2062" s="2"/>
    </row>
    <row r="2063" spans="13:13">
      <c r="M2063" s="2"/>
    </row>
    <row r="2064" spans="13:13">
      <c r="M2064" s="2"/>
    </row>
    <row r="2065" spans="13:13">
      <c r="M2065" s="2"/>
    </row>
    <row r="2066" spans="13:13">
      <c r="M2066" s="2"/>
    </row>
    <row r="2067" spans="13:13">
      <c r="M2067" s="2"/>
    </row>
    <row r="2068" spans="13:13">
      <c r="M2068" s="2"/>
    </row>
    <row r="2069" spans="13:13">
      <c r="M2069" s="2"/>
    </row>
    <row r="2070" spans="13:13">
      <c r="M2070" s="2"/>
    </row>
    <row r="2071" spans="13:13">
      <c r="M2071" s="2"/>
    </row>
    <row r="2072" spans="13:13">
      <c r="M2072" s="2"/>
    </row>
    <row r="2073" spans="13:13">
      <c r="M2073" s="2"/>
    </row>
    <row r="2074" spans="13:13">
      <c r="M2074" s="2"/>
    </row>
    <row r="2075" spans="13:13">
      <c r="M2075" s="2"/>
    </row>
    <row r="2076" spans="13:13">
      <c r="M2076" s="2"/>
    </row>
    <row r="2077" spans="13:13">
      <c r="M2077" s="2"/>
    </row>
    <row r="2078" spans="13:13">
      <c r="M2078" s="2"/>
    </row>
    <row r="2079" spans="13:13">
      <c r="M2079" s="2"/>
    </row>
    <row r="2080" spans="13:13">
      <c r="M2080" s="2"/>
    </row>
    <row r="2081" spans="13:13">
      <c r="M2081" s="2"/>
    </row>
    <row r="2082" spans="13:13">
      <c r="M2082" s="2"/>
    </row>
    <row r="2083" spans="13:13">
      <c r="M2083" s="2"/>
    </row>
    <row r="2084" spans="13:13">
      <c r="M2084" s="2"/>
    </row>
    <row r="2085" spans="13:13">
      <c r="M2085" s="2"/>
    </row>
    <row r="2086" spans="13:13">
      <c r="M2086" s="2"/>
    </row>
    <row r="2087" spans="13:13">
      <c r="M2087" s="2"/>
    </row>
    <row r="2088" spans="13:13">
      <c r="M2088" s="2"/>
    </row>
    <row r="2089" spans="13:13">
      <c r="M2089" s="2"/>
    </row>
    <row r="2090" spans="13:13">
      <c r="M2090" s="2"/>
    </row>
    <row r="2091" spans="13:13">
      <c r="M2091" s="2"/>
    </row>
    <row r="2092" spans="13:13">
      <c r="M2092" s="2"/>
    </row>
    <row r="2093" spans="13:13">
      <c r="M2093" s="2"/>
    </row>
    <row r="2094" spans="13:13">
      <c r="M2094" s="2"/>
    </row>
    <row r="2095" spans="13:13">
      <c r="M2095" s="2"/>
    </row>
    <row r="2096" spans="13:13">
      <c r="M2096" s="2"/>
    </row>
    <row r="2097" spans="13:13">
      <c r="M2097" s="2"/>
    </row>
    <row r="2098" spans="13:13">
      <c r="M2098" s="2"/>
    </row>
    <row r="2099" spans="13:13">
      <c r="M2099" s="2"/>
    </row>
    <row r="2100" spans="13:13">
      <c r="M2100" s="2"/>
    </row>
    <row r="2101" spans="13:13">
      <c r="M2101" s="2"/>
    </row>
    <row r="2102" spans="13:13">
      <c r="M2102" s="2"/>
    </row>
    <row r="2103" spans="13:13">
      <c r="M2103" s="2"/>
    </row>
    <row r="2104" spans="13:13">
      <c r="M2104" s="2"/>
    </row>
    <row r="2105" spans="13:13">
      <c r="M2105" s="2"/>
    </row>
    <row r="2106" spans="13:13">
      <c r="M2106" s="2"/>
    </row>
    <row r="2107" spans="13:13">
      <c r="M2107" s="2"/>
    </row>
    <row r="2108" spans="13:13">
      <c r="M2108" s="2"/>
    </row>
    <row r="2109" spans="13:13">
      <c r="M2109" s="2"/>
    </row>
    <row r="2110" spans="13:13">
      <c r="M2110" s="2"/>
    </row>
    <row r="2111" spans="13:13">
      <c r="M2111" s="2"/>
    </row>
    <row r="2112" spans="13:13">
      <c r="M2112" s="2"/>
    </row>
    <row r="2113" spans="13:13">
      <c r="M2113" s="2"/>
    </row>
    <row r="2114" spans="13:13">
      <c r="M2114" s="2"/>
    </row>
    <row r="2115" spans="13:13">
      <c r="M2115" s="2"/>
    </row>
    <row r="2116" spans="13:13">
      <c r="M2116" s="2"/>
    </row>
    <row r="2117" spans="13:13">
      <c r="M2117" s="2"/>
    </row>
    <row r="2118" spans="13:13">
      <c r="M2118" s="2"/>
    </row>
    <row r="2119" spans="13:13">
      <c r="M2119" s="2"/>
    </row>
    <row r="2120" spans="13:13">
      <c r="M2120" s="2"/>
    </row>
    <row r="2121" spans="13:13">
      <c r="M2121" s="2"/>
    </row>
    <row r="2122" spans="13:13">
      <c r="M2122" s="2"/>
    </row>
    <row r="2123" spans="13:13">
      <c r="M2123" s="2"/>
    </row>
    <row r="2124" spans="13:13">
      <c r="M2124" s="2"/>
    </row>
    <row r="2125" spans="13:13">
      <c r="M2125" s="2"/>
    </row>
    <row r="2126" spans="13:13">
      <c r="M2126" s="2"/>
    </row>
    <row r="2127" spans="13:13">
      <c r="M2127" s="2"/>
    </row>
    <row r="2128" spans="13:13">
      <c r="M2128" s="2"/>
    </row>
    <row r="2129" spans="13:13">
      <c r="M2129" s="2"/>
    </row>
    <row r="2130" spans="13:13">
      <c r="M2130" s="2"/>
    </row>
    <row r="2131" spans="13:13">
      <c r="M2131" s="2"/>
    </row>
    <row r="2132" spans="13:13">
      <c r="M2132" s="2"/>
    </row>
    <row r="2133" spans="13:13">
      <c r="M2133" s="2"/>
    </row>
    <row r="2134" spans="13:13">
      <c r="M2134" s="2"/>
    </row>
    <row r="2135" spans="13:13">
      <c r="M2135" s="2"/>
    </row>
    <row r="2136" spans="13:13">
      <c r="M2136" s="2"/>
    </row>
    <row r="2137" spans="13:13">
      <c r="M2137" s="2"/>
    </row>
    <row r="2138" spans="13:13">
      <c r="M2138" s="2"/>
    </row>
    <row r="2139" spans="13:13">
      <c r="M2139" s="2"/>
    </row>
    <row r="2140" spans="13:13">
      <c r="M2140" s="2"/>
    </row>
    <row r="2141" spans="13:13">
      <c r="M2141" s="2"/>
    </row>
    <row r="2142" spans="13:13">
      <c r="M2142" s="2"/>
    </row>
    <row r="2143" spans="13:13">
      <c r="M2143" s="2"/>
    </row>
    <row r="2144" spans="13:13">
      <c r="M2144" s="2"/>
    </row>
    <row r="2145" spans="13:13">
      <c r="M2145" s="2"/>
    </row>
    <row r="2146" spans="13:13">
      <c r="M2146" s="2"/>
    </row>
    <row r="2147" spans="13:13">
      <c r="M2147" s="2"/>
    </row>
    <row r="2148" spans="13:13">
      <c r="M2148" s="2"/>
    </row>
    <row r="2149" spans="13:13">
      <c r="M2149" s="2"/>
    </row>
    <row r="2150" spans="13:13">
      <c r="M2150" s="2"/>
    </row>
    <row r="2151" spans="13:13">
      <c r="M2151" s="2"/>
    </row>
    <row r="2152" spans="13:13">
      <c r="M2152" s="2"/>
    </row>
    <row r="2153" spans="13:13">
      <c r="M2153" s="2"/>
    </row>
    <row r="2154" spans="13:13">
      <c r="M2154" s="2"/>
    </row>
    <row r="2155" spans="13:13">
      <c r="M2155" s="2"/>
    </row>
    <row r="2156" spans="13:13">
      <c r="M2156" s="2"/>
    </row>
    <row r="2157" spans="13:13">
      <c r="M2157" s="2"/>
    </row>
    <row r="2158" spans="13:13">
      <c r="M2158" s="2"/>
    </row>
    <row r="2159" spans="13:13">
      <c r="M2159" s="2"/>
    </row>
    <row r="2160" spans="13:13">
      <c r="M2160" s="2"/>
    </row>
    <row r="2161" spans="13:13">
      <c r="M2161" s="2"/>
    </row>
    <row r="2162" spans="13:13">
      <c r="M2162" s="2"/>
    </row>
    <row r="2163" spans="13:13">
      <c r="M2163" s="2"/>
    </row>
    <row r="2164" spans="13:13">
      <c r="M2164" s="2"/>
    </row>
    <row r="2165" spans="13:13">
      <c r="M2165" s="2"/>
    </row>
    <row r="2166" spans="13:13">
      <c r="M2166" s="2"/>
    </row>
    <row r="2167" spans="13:13">
      <c r="M2167" s="2"/>
    </row>
    <row r="2168" spans="13:13">
      <c r="M2168" s="2"/>
    </row>
    <row r="2169" spans="13:13">
      <c r="M2169" s="2"/>
    </row>
    <row r="2170" spans="13:13">
      <c r="M2170" s="2"/>
    </row>
    <row r="2171" spans="13:13">
      <c r="M2171" s="2"/>
    </row>
    <row r="2172" spans="13:13">
      <c r="M2172" s="2"/>
    </row>
    <row r="2173" spans="13:13">
      <c r="M2173" s="2"/>
    </row>
    <row r="2174" spans="13:13">
      <c r="M2174" s="2"/>
    </row>
    <row r="2175" spans="13:13">
      <c r="M2175" s="2"/>
    </row>
    <row r="2176" spans="13:13">
      <c r="M2176" s="2"/>
    </row>
    <row r="2177" spans="13:13">
      <c r="M2177" s="2"/>
    </row>
    <row r="2178" spans="13:13">
      <c r="M2178" s="2"/>
    </row>
    <row r="2179" spans="13:13">
      <c r="M2179" s="2"/>
    </row>
    <row r="2180" spans="13:13">
      <c r="M2180" s="2"/>
    </row>
    <row r="2181" spans="13:13">
      <c r="M2181" s="2"/>
    </row>
    <row r="2182" spans="13:13">
      <c r="M2182" s="2"/>
    </row>
    <row r="2183" spans="13:13">
      <c r="M2183" s="2"/>
    </row>
    <row r="2184" spans="13:13">
      <c r="M2184" s="2"/>
    </row>
    <row r="2185" spans="13:13">
      <c r="M2185" s="2"/>
    </row>
    <row r="2186" spans="13:13">
      <c r="M2186" s="2"/>
    </row>
    <row r="2187" spans="13:13">
      <c r="M2187" s="2"/>
    </row>
    <row r="2188" spans="13:13">
      <c r="M2188" s="2"/>
    </row>
    <row r="2189" spans="13:13">
      <c r="M2189" s="2"/>
    </row>
    <row r="2190" spans="13:13">
      <c r="M2190" s="2"/>
    </row>
    <row r="2191" spans="13:13">
      <c r="M2191" s="2"/>
    </row>
    <row r="2192" spans="13:13">
      <c r="M2192" s="2"/>
    </row>
    <row r="2193" spans="13:13">
      <c r="M2193" s="2"/>
    </row>
    <row r="2194" spans="13:13">
      <c r="M2194" s="2"/>
    </row>
    <row r="2195" spans="13:13">
      <c r="M2195" s="2"/>
    </row>
    <row r="2196" spans="13:13">
      <c r="M2196" s="2"/>
    </row>
    <row r="2197" spans="13:13">
      <c r="M2197" s="2"/>
    </row>
    <row r="2198" spans="13:13">
      <c r="M2198" s="2"/>
    </row>
    <row r="2199" spans="13:13">
      <c r="M2199" s="2"/>
    </row>
    <row r="2200" spans="13:13">
      <c r="M2200" s="2"/>
    </row>
    <row r="2201" spans="13:13">
      <c r="M2201" s="2"/>
    </row>
    <row r="2202" spans="13:13">
      <c r="M2202" s="2"/>
    </row>
    <row r="2203" spans="13:13">
      <c r="M2203" s="2"/>
    </row>
    <row r="2204" spans="13:13">
      <c r="M2204" s="2"/>
    </row>
    <row r="2205" spans="13:13">
      <c r="M2205" s="2"/>
    </row>
    <row r="2206" spans="13:13">
      <c r="M2206" s="2"/>
    </row>
    <row r="2207" spans="13:13">
      <c r="M2207" s="2"/>
    </row>
    <row r="2208" spans="13:13">
      <c r="M2208" s="2"/>
    </row>
    <row r="2209" spans="13:13">
      <c r="M2209" s="2"/>
    </row>
    <row r="2210" spans="13:13">
      <c r="M2210" s="2"/>
    </row>
    <row r="2211" spans="13:13">
      <c r="M2211" s="2"/>
    </row>
    <row r="2212" spans="13:13">
      <c r="M2212" s="2"/>
    </row>
    <row r="2213" spans="13:13">
      <c r="M2213" s="2"/>
    </row>
    <row r="2214" spans="13:13">
      <c r="M2214" s="2"/>
    </row>
    <row r="2215" spans="13:13">
      <c r="M2215" s="2"/>
    </row>
    <row r="2216" spans="13:13">
      <c r="M2216" s="2"/>
    </row>
    <row r="2217" spans="13:13">
      <c r="M2217" s="2"/>
    </row>
    <row r="2218" spans="13:13">
      <c r="M2218" s="2"/>
    </row>
    <row r="2219" spans="13:13">
      <c r="M2219" s="2"/>
    </row>
    <row r="2220" spans="13:13">
      <c r="M2220" s="2"/>
    </row>
    <row r="2221" spans="13:13">
      <c r="M2221" s="2"/>
    </row>
    <row r="2222" spans="13:13">
      <c r="M2222" s="2"/>
    </row>
    <row r="2223" spans="13:13">
      <c r="M2223" s="2"/>
    </row>
    <row r="2224" spans="13:13">
      <c r="M2224" s="2"/>
    </row>
    <row r="2225" spans="13:13">
      <c r="M2225" s="2"/>
    </row>
    <row r="2226" spans="13:13">
      <c r="M2226" s="2"/>
    </row>
    <row r="2227" spans="13:13">
      <c r="M2227" s="2"/>
    </row>
    <row r="2228" spans="13:13">
      <c r="M2228" s="2"/>
    </row>
    <row r="2229" spans="13:13">
      <c r="M2229" s="2"/>
    </row>
    <row r="2230" spans="13:13">
      <c r="M2230" s="2"/>
    </row>
    <row r="2231" spans="13:13">
      <c r="M2231" s="2"/>
    </row>
    <row r="2232" spans="13:13">
      <c r="M2232" s="2"/>
    </row>
    <row r="2233" spans="13:13">
      <c r="M2233" s="2"/>
    </row>
    <row r="2234" spans="13:13">
      <c r="M2234" s="2"/>
    </row>
    <row r="2235" spans="13:13">
      <c r="M2235" s="2"/>
    </row>
    <row r="2236" spans="13:13">
      <c r="M2236" s="2"/>
    </row>
    <row r="2237" spans="13:13">
      <c r="M2237" s="2"/>
    </row>
    <row r="2238" spans="13:13">
      <c r="M2238" s="2"/>
    </row>
    <row r="2239" spans="13:13">
      <c r="M2239" s="2"/>
    </row>
    <row r="2240" spans="13:13">
      <c r="M2240" s="2"/>
    </row>
    <row r="2241" spans="13:13">
      <c r="M2241" s="2"/>
    </row>
    <row r="2242" spans="13:13">
      <c r="M2242" s="2"/>
    </row>
    <row r="2243" spans="13:13">
      <c r="M2243" s="2"/>
    </row>
    <row r="2244" spans="13:13">
      <c r="M2244" s="2"/>
    </row>
    <row r="2245" spans="13:13">
      <c r="M2245" s="2"/>
    </row>
    <row r="2246" spans="13:13">
      <c r="M2246" s="2"/>
    </row>
    <row r="2247" spans="13:13">
      <c r="M2247" s="2"/>
    </row>
    <row r="2248" spans="13:13">
      <c r="M2248" s="2"/>
    </row>
    <row r="2249" spans="13:13">
      <c r="M2249" s="2"/>
    </row>
    <row r="2250" spans="13:13">
      <c r="M2250" s="2"/>
    </row>
    <row r="2251" spans="13:13">
      <c r="M2251" s="2"/>
    </row>
    <row r="2252" spans="13:13">
      <c r="M2252" s="2"/>
    </row>
    <row r="2253" spans="13:13">
      <c r="M2253" s="2"/>
    </row>
    <row r="2254" spans="13:13">
      <c r="M2254" s="2"/>
    </row>
    <row r="2255" spans="13:13">
      <c r="M2255" s="2"/>
    </row>
    <row r="2256" spans="13:13">
      <c r="M2256" s="2"/>
    </row>
    <row r="2257" spans="13:13">
      <c r="M2257" s="2"/>
    </row>
    <row r="2258" spans="13:13">
      <c r="M2258" s="2"/>
    </row>
    <row r="2259" spans="13:13">
      <c r="M2259" s="2"/>
    </row>
    <row r="2260" spans="13:13">
      <c r="M2260" s="2"/>
    </row>
    <row r="2261" spans="13:13">
      <c r="M2261" s="2"/>
    </row>
    <row r="2262" spans="13:13">
      <c r="M2262" s="2"/>
    </row>
    <row r="2263" spans="13:13">
      <c r="M2263" s="2"/>
    </row>
    <row r="2264" spans="13:13">
      <c r="M2264" s="2"/>
    </row>
    <row r="2265" spans="13:13">
      <c r="M2265" s="2"/>
    </row>
    <row r="2266" spans="13:13">
      <c r="M2266" s="2"/>
    </row>
    <row r="2267" spans="13:13">
      <c r="M2267" s="2"/>
    </row>
    <row r="2268" spans="13:13">
      <c r="M2268" s="2"/>
    </row>
    <row r="2269" spans="13:13">
      <c r="M2269" s="2"/>
    </row>
    <row r="2270" spans="13:13">
      <c r="M2270" s="2"/>
    </row>
    <row r="2271" spans="13:13">
      <c r="M2271" s="2"/>
    </row>
    <row r="2272" spans="13:13">
      <c r="M2272" s="2"/>
    </row>
    <row r="2273" spans="13:13">
      <c r="M2273" s="2"/>
    </row>
    <row r="2274" spans="13:13">
      <c r="M2274" s="2"/>
    </row>
    <row r="2275" spans="13:13">
      <c r="M2275" s="2"/>
    </row>
    <row r="2276" spans="13:13">
      <c r="M2276" s="2"/>
    </row>
    <row r="2277" spans="13:13">
      <c r="M2277" s="2"/>
    </row>
    <row r="2278" spans="13:13">
      <c r="M2278" s="2"/>
    </row>
    <row r="2279" spans="13:13">
      <c r="M2279" s="2"/>
    </row>
    <row r="2280" spans="13:13">
      <c r="M2280" s="2"/>
    </row>
    <row r="2281" spans="13:13">
      <c r="M2281" s="2"/>
    </row>
    <row r="2282" spans="13:13">
      <c r="M2282" s="2"/>
    </row>
    <row r="2283" spans="13:13">
      <c r="M2283" s="2"/>
    </row>
    <row r="2284" spans="13:13">
      <c r="M2284" s="2"/>
    </row>
    <row r="2285" spans="13:13">
      <c r="M2285" s="2"/>
    </row>
    <row r="2286" spans="13:13">
      <c r="M2286" s="2"/>
    </row>
    <row r="2287" spans="13:13">
      <c r="M2287" s="2"/>
    </row>
    <row r="2288" spans="13:13">
      <c r="M2288" s="2"/>
    </row>
    <row r="2289" spans="13:13">
      <c r="M2289" s="2"/>
    </row>
    <row r="2290" spans="13:13">
      <c r="M2290" s="2"/>
    </row>
    <row r="2291" spans="13:13">
      <c r="M2291" s="2"/>
    </row>
    <row r="2292" spans="13:13">
      <c r="M2292" s="2"/>
    </row>
    <row r="2293" spans="13:13">
      <c r="M2293" s="2"/>
    </row>
    <row r="2294" spans="13:13">
      <c r="M2294" s="2"/>
    </row>
    <row r="2295" spans="13:13">
      <c r="M2295" s="2"/>
    </row>
    <row r="2296" spans="13:13">
      <c r="M2296" s="2"/>
    </row>
    <row r="2297" spans="13:13">
      <c r="M2297" s="2"/>
    </row>
    <row r="2298" spans="13:13">
      <c r="M2298" s="2"/>
    </row>
    <row r="2299" spans="13:13">
      <c r="M2299" s="2"/>
    </row>
    <row r="2300" spans="13:13">
      <c r="M2300" s="2"/>
    </row>
    <row r="2301" spans="13:13">
      <c r="M2301" s="2"/>
    </row>
    <row r="2302" spans="13:13">
      <c r="M2302" s="2"/>
    </row>
    <row r="2303" spans="13:13">
      <c r="M2303" s="2"/>
    </row>
    <row r="2304" spans="13:13">
      <c r="M2304" s="2"/>
    </row>
    <row r="2305" spans="13:13">
      <c r="M2305" s="2"/>
    </row>
    <row r="2306" spans="13:13">
      <c r="M2306" s="2"/>
    </row>
    <row r="2307" spans="13:13">
      <c r="M2307" s="2"/>
    </row>
    <row r="2308" spans="13:13">
      <c r="M2308" s="2"/>
    </row>
    <row r="2309" spans="13:13">
      <c r="M2309" s="2"/>
    </row>
    <row r="2310" spans="13:13">
      <c r="M2310" s="2"/>
    </row>
    <row r="2311" spans="13:13">
      <c r="M2311" s="2"/>
    </row>
    <row r="2312" spans="13:13">
      <c r="M2312" s="2"/>
    </row>
    <row r="2313" spans="13:13">
      <c r="M2313" s="2"/>
    </row>
    <row r="2314" spans="13:13">
      <c r="M2314" s="2"/>
    </row>
    <row r="2315" spans="13:13">
      <c r="M2315" s="2"/>
    </row>
    <row r="2316" spans="13:13">
      <c r="M2316" s="2"/>
    </row>
    <row r="2317" spans="13:13">
      <c r="M2317" s="2"/>
    </row>
    <row r="2318" spans="13:13">
      <c r="M2318" s="2"/>
    </row>
    <row r="2319" spans="13:13">
      <c r="M2319" s="2"/>
    </row>
    <row r="2320" spans="13:13">
      <c r="M2320" s="2"/>
    </row>
    <row r="2321" spans="13:13">
      <c r="M2321" s="2"/>
    </row>
    <row r="2322" spans="13:13">
      <c r="M2322" s="2"/>
    </row>
    <row r="2323" spans="13:13">
      <c r="M2323" s="2"/>
    </row>
    <row r="2324" spans="13:13">
      <c r="M2324" s="2"/>
    </row>
    <row r="2325" spans="13:13">
      <c r="M2325" s="2"/>
    </row>
    <row r="2326" spans="13:13">
      <c r="M2326" s="2"/>
    </row>
    <row r="2327" spans="13:13">
      <c r="M2327" s="2"/>
    </row>
    <row r="2328" spans="13:13">
      <c r="M2328" s="2"/>
    </row>
    <row r="2329" spans="13:13">
      <c r="M2329" s="2"/>
    </row>
    <row r="2330" spans="13:13">
      <c r="M2330" s="2"/>
    </row>
    <row r="2331" spans="13:13">
      <c r="M2331" s="2"/>
    </row>
    <row r="2332" spans="13:13">
      <c r="M2332" s="2"/>
    </row>
    <row r="2333" spans="13:13">
      <c r="M2333" s="2"/>
    </row>
    <row r="2334" spans="13:13">
      <c r="M2334" s="2"/>
    </row>
    <row r="2335" spans="13:13">
      <c r="M2335" s="2"/>
    </row>
    <row r="2336" spans="13:13">
      <c r="M2336" s="2"/>
    </row>
  </sheetData>
  <autoFilter ref="A1:H20" xr:uid="{00000000-0009-0000-0000-000000000000}"/>
  <phoneticPr fontId="6" type="noConversion"/>
  <conditionalFormatting sqref="F2:F1976">
    <cfRule type="duplicateValues" dxfId="6" priority="3"/>
  </conditionalFormatting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56E5-C49A-4685-8420-76712D64F1BC}">
  <dimension ref="A1:I31"/>
  <sheetViews>
    <sheetView topLeftCell="A16" workbookViewId="0">
      <selection activeCell="C31" sqref="C31"/>
    </sheetView>
  </sheetViews>
  <sheetFormatPr defaultRowHeight="14.5"/>
  <cols>
    <col min="2" max="2" width="15.54296875" customWidth="1"/>
    <col min="3" max="3" width="47" bestFit="1" customWidth="1"/>
    <col min="4" max="4" width="13.54296875" style="16" customWidth="1"/>
    <col min="5" max="5" width="8.7265625" style="16"/>
    <col min="6" max="6" width="12.1796875" style="16" customWidth="1"/>
    <col min="7" max="7" width="10.1796875" customWidth="1"/>
  </cols>
  <sheetData>
    <row r="1" spans="1:9" ht="28.5">
      <c r="C1" s="29" t="s">
        <v>3557</v>
      </c>
    </row>
    <row r="2" spans="1:9">
      <c r="A2" s="30" t="s">
        <v>3558</v>
      </c>
      <c r="B2" s="30" t="s">
        <v>3559</v>
      </c>
      <c r="C2" s="31" t="s">
        <v>3560</v>
      </c>
      <c r="D2" s="30" t="s">
        <v>3561</v>
      </c>
      <c r="E2" s="30" t="s">
        <v>3562</v>
      </c>
      <c r="F2" s="30" t="s">
        <v>3563</v>
      </c>
      <c r="G2" s="30" t="s">
        <v>3564</v>
      </c>
      <c r="H2" s="30" t="s">
        <v>3565</v>
      </c>
      <c r="I2" s="30" t="s">
        <v>17</v>
      </c>
    </row>
    <row r="3" spans="1:9">
      <c r="A3" s="75">
        <v>1</v>
      </c>
      <c r="B3" s="75" t="s">
        <v>3566</v>
      </c>
      <c r="C3" s="78" t="s">
        <v>3567</v>
      </c>
      <c r="D3" s="78">
        <v>38245090</v>
      </c>
      <c r="E3" s="75" t="s">
        <v>3510</v>
      </c>
      <c r="F3" s="75" t="s">
        <v>3568</v>
      </c>
      <c r="G3" s="93">
        <v>285</v>
      </c>
      <c r="H3" s="78">
        <v>356</v>
      </c>
      <c r="I3" s="78">
        <v>463</v>
      </c>
    </row>
    <row r="4" spans="1:9">
      <c r="A4" s="75">
        <v>2</v>
      </c>
      <c r="B4" s="75" t="s">
        <v>3569</v>
      </c>
      <c r="C4" s="78" t="s">
        <v>3570</v>
      </c>
      <c r="D4" s="78">
        <v>35069190</v>
      </c>
      <c r="E4" s="75" t="s">
        <v>3510</v>
      </c>
      <c r="F4" s="75" t="s">
        <v>3571</v>
      </c>
      <c r="G4" s="94">
        <v>520</v>
      </c>
      <c r="H4" s="78">
        <v>650</v>
      </c>
      <c r="I4" s="78">
        <v>845</v>
      </c>
    </row>
    <row r="5" spans="1:9">
      <c r="A5" s="75">
        <v>3</v>
      </c>
      <c r="B5" s="75" t="s">
        <v>3572</v>
      </c>
      <c r="C5" s="78" t="s">
        <v>3573</v>
      </c>
      <c r="D5" s="78">
        <v>35069190</v>
      </c>
      <c r="E5" s="75" t="s">
        <v>3510</v>
      </c>
      <c r="F5" s="75" t="s">
        <v>3574</v>
      </c>
      <c r="G5" s="94">
        <v>279.01</v>
      </c>
      <c r="H5" s="78">
        <v>348</v>
      </c>
      <c r="I5" s="78">
        <v>453</v>
      </c>
    </row>
    <row r="6" spans="1:9">
      <c r="A6" s="75">
        <v>4</v>
      </c>
      <c r="B6" s="75" t="s">
        <v>3575</v>
      </c>
      <c r="C6" s="78" t="s">
        <v>3576</v>
      </c>
      <c r="D6" s="78">
        <v>38245090</v>
      </c>
      <c r="E6" s="75" t="s">
        <v>3510</v>
      </c>
      <c r="F6" s="75" t="s">
        <v>3568</v>
      </c>
      <c r="G6" s="93">
        <v>253.01</v>
      </c>
      <c r="H6" s="78">
        <v>316</v>
      </c>
      <c r="I6" s="78">
        <v>411</v>
      </c>
    </row>
    <row r="7" spans="1:9">
      <c r="A7" s="75">
        <v>5</v>
      </c>
      <c r="B7" s="75" t="s">
        <v>3577</v>
      </c>
      <c r="C7" s="78" t="s">
        <v>3578</v>
      </c>
      <c r="D7" s="78">
        <v>38245090</v>
      </c>
      <c r="E7" s="75" t="s">
        <v>3515</v>
      </c>
      <c r="F7" s="75" t="s">
        <v>3579</v>
      </c>
      <c r="G7" s="94">
        <v>3825</v>
      </c>
      <c r="H7" s="78">
        <v>4781</v>
      </c>
      <c r="I7" s="78">
        <v>6215</v>
      </c>
    </row>
    <row r="8" spans="1:9">
      <c r="A8" s="75">
        <v>6</v>
      </c>
      <c r="B8" s="75" t="s">
        <v>3580</v>
      </c>
      <c r="C8" s="78" t="s">
        <v>3581</v>
      </c>
      <c r="D8" s="78">
        <v>38245090</v>
      </c>
      <c r="E8" s="75" t="s">
        <v>3582</v>
      </c>
      <c r="F8" s="75" t="s">
        <v>3568</v>
      </c>
      <c r="G8" s="93">
        <v>2061.25</v>
      </c>
      <c r="H8" s="78">
        <v>2576</v>
      </c>
      <c r="I8" s="78">
        <v>3349</v>
      </c>
    </row>
    <row r="9" spans="1:9">
      <c r="A9" s="75">
        <v>7</v>
      </c>
      <c r="B9" s="75" t="s">
        <v>3583</v>
      </c>
      <c r="C9" s="78" t="s">
        <v>3584</v>
      </c>
      <c r="D9" s="78">
        <v>38245090</v>
      </c>
      <c r="E9" s="75" t="s">
        <v>3582</v>
      </c>
      <c r="F9" s="75" t="s">
        <v>3585</v>
      </c>
      <c r="G9" s="93">
        <v>45.1</v>
      </c>
      <c r="H9" s="78">
        <v>56</v>
      </c>
      <c r="I9" s="78">
        <v>73</v>
      </c>
    </row>
    <row r="10" spans="1:9">
      <c r="A10" s="75">
        <v>8</v>
      </c>
      <c r="B10" s="75" t="s">
        <v>3586</v>
      </c>
      <c r="C10" s="78" t="s">
        <v>3587</v>
      </c>
      <c r="D10" s="78">
        <v>38245090</v>
      </c>
      <c r="E10" s="75" t="s">
        <v>3588</v>
      </c>
      <c r="F10" s="75" t="s">
        <v>3568</v>
      </c>
      <c r="G10" s="94">
        <v>200</v>
      </c>
      <c r="H10" s="78">
        <v>250</v>
      </c>
      <c r="I10" s="78">
        <v>325</v>
      </c>
    </row>
    <row r="11" spans="1:9">
      <c r="A11" s="75">
        <v>9</v>
      </c>
      <c r="B11" s="75" t="s">
        <v>3589</v>
      </c>
      <c r="C11" s="78" t="s">
        <v>3590</v>
      </c>
      <c r="D11" s="78">
        <v>38245090</v>
      </c>
      <c r="E11" s="75" t="s">
        <v>3588</v>
      </c>
      <c r="F11" s="75" t="s">
        <v>3571</v>
      </c>
      <c r="G11" s="94">
        <v>990</v>
      </c>
      <c r="H11" s="78">
        <v>1237</v>
      </c>
      <c r="I11" s="78">
        <v>1608</v>
      </c>
    </row>
    <row r="12" spans="1:9">
      <c r="A12" s="75">
        <v>10</v>
      </c>
      <c r="B12" s="75" t="s">
        <v>3591</v>
      </c>
      <c r="C12" s="78" t="s">
        <v>3592</v>
      </c>
      <c r="D12" s="78">
        <v>40169390</v>
      </c>
      <c r="E12" s="75" t="s">
        <v>3556</v>
      </c>
      <c r="F12" s="75" t="s">
        <v>3593</v>
      </c>
      <c r="G12" s="94">
        <v>513.54</v>
      </c>
      <c r="H12" s="78">
        <v>641</v>
      </c>
      <c r="I12" s="78">
        <v>834</v>
      </c>
    </row>
    <row r="13" spans="1:9">
      <c r="A13" s="75">
        <v>11</v>
      </c>
      <c r="B13" s="75" t="s">
        <v>3594</v>
      </c>
      <c r="C13" s="78" t="s">
        <v>3595</v>
      </c>
      <c r="D13" s="78">
        <v>38245090</v>
      </c>
      <c r="E13" s="75" t="s">
        <v>3556</v>
      </c>
      <c r="F13" s="75" t="s">
        <v>3596</v>
      </c>
      <c r="G13" s="94">
        <v>463.13</v>
      </c>
      <c r="H13" s="78">
        <v>578</v>
      </c>
      <c r="I13" s="78">
        <v>752</v>
      </c>
    </row>
    <row r="14" spans="1:9">
      <c r="A14" s="75">
        <v>13</v>
      </c>
      <c r="B14" s="75" t="s">
        <v>3597</v>
      </c>
      <c r="C14" s="78" t="s">
        <v>3598</v>
      </c>
      <c r="D14" s="78">
        <v>38245090</v>
      </c>
      <c r="E14" s="75" t="s">
        <v>3556</v>
      </c>
      <c r="F14" s="75" t="s">
        <v>3599</v>
      </c>
      <c r="G14" s="94">
        <v>658</v>
      </c>
      <c r="H14" s="78">
        <v>822</v>
      </c>
      <c r="I14" s="78">
        <v>1069</v>
      </c>
    </row>
    <row r="15" spans="1:9">
      <c r="A15" s="75">
        <v>14</v>
      </c>
      <c r="B15" s="75" t="s">
        <v>3600</v>
      </c>
      <c r="C15" s="78" t="s">
        <v>3601</v>
      </c>
      <c r="D15" s="78">
        <v>38245090</v>
      </c>
      <c r="E15" s="75" t="s">
        <v>3588</v>
      </c>
      <c r="F15" s="75" t="s">
        <v>3571</v>
      </c>
      <c r="G15" s="94">
        <v>288.01</v>
      </c>
      <c r="H15" s="78">
        <v>360</v>
      </c>
      <c r="I15" s="78">
        <v>468</v>
      </c>
    </row>
    <row r="16" spans="1:9">
      <c r="A16" s="75">
        <v>15</v>
      </c>
      <c r="B16" s="75" t="s">
        <v>3602</v>
      </c>
      <c r="C16" s="78" t="s">
        <v>3603</v>
      </c>
      <c r="D16" s="78">
        <v>38244090</v>
      </c>
      <c r="E16" s="75" t="s">
        <v>3604</v>
      </c>
      <c r="F16" s="75" t="s">
        <v>3605</v>
      </c>
      <c r="G16" s="94">
        <v>3291.01</v>
      </c>
      <c r="H16" s="78">
        <v>4113</v>
      </c>
      <c r="I16" s="78">
        <v>5347</v>
      </c>
    </row>
    <row r="17" spans="1:9">
      <c r="A17" s="75">
        <v>16</v>
      </c>
      <c r="B17" s="75" t="s">
        <v>3606</v>
      </c>
      <c r="C17" s="78" t="s">
        <v>3607</v>
      </c>
      <c r="D17" s="78">
        <v>38244090</v>
      </c>
      <c r="E17" s="75" t="s">
        <v>3582</v>
      </c>
      <c r="F17" s="75" t="s">
        <v>3608</v>
      </c>
      <c r="G17" s="94">
        <v>3144.01</v>
      </c>
      <c r="H17" s="78">
        <v>3930</v>
      </c>
      <c r="I17" s="78">
        <v>5109</v>
      </c>
    </row>
    <row r="18" spans="1:9">
      <c r="A18" s="75">
        <v>17</v>
      </c>
      <c r="B18" s="75" t="s">
        <v>3609</v>
      </c>
      <c r="C18" s="78" t="s">
        <v>3610</v>
      </c>
      <c r="D18" s="78">
        <v>38244090</v>
      </c>
      <c r="E18" s="75" t="s">
        <v>3588</v>
      </c>
      <c r="F18" s="75" t="s">
        <v>3568</v>
      </c>
      <c r="G18" s="94">
        <v>306.11</v>
      </c>
      <c r="H18" s="78">
        <v>382</v>
      </c>
      <c r="I18" s="78">
        <v>497</v>
      </c>
    </row>
    <row r="19" spans="1:9">
      <c r="A19" s="75">
        <v>18</v>
      </c>
      <c r="B19" s="75" t="s">
        <v>3611</v>
      </c>
      <c r="C19" s="78" t="s">
        <v>3612</v>
      </c>
      <c r="D19" s="78">
        <v>38244090</v>
      </c>
      <c r="E19" s="75" t="s">
        <v>3582</v>
      </c>
      <c r="F19" s="75" t="s">
        <v>3593</v>
      </c>
      <c r="G19" s="94">
        <v>2879.01</v>
      </c>
      <c r="H19" s="78">
        <v>3598</v>
      </c>
      <c r="I19" s="78">
        <v>4678</v>
      </c>
    </row>
    <row r="20" spans="1:9">
      <c r="A20" s="75">
        <v>19</v>
      </c>
      <c r="B20" s="75" t="s">
        <v>3613</v>
      </c>
      <c r="C20" s="78" t="s">
        <v>3614</v>
      </c>
      <c r="D20" s="78">
        <v>38245090</v>
      </c>
      <c r="E20" s="75" t="s">
        <v>3588</v>
      </c>
      <c r="F20" s="75" t="s">
        <v>3615</v>
      </c>
      <c r="G20" s="94">
        <v>342</v>
      </c>
      <c r="H20" s="78">
        <v>427</v>
      </c>
      <c r="I20" s="78">
        <v>555</v>
      </c>
    </row>
    <row r="21" spans="1:9">
      <c r="A21" s="75">
        <v>20</v>
      </c>
      <c r="B21" s="75" t="s">
        <v>3616</v>
      </c>
      <c r="C21" s="78" t="s">
        <v>3617</v>
      </c>
      <c r="D21" s="78">
        <v>38245090</v>
      </c>
      <c r="E21" s="75" t="s">
        <v>3618</v>
      </c>
      <c r="F21" s="75" t="s">
        <v>3619</v>
      </c>
      <c r="G21" s="94">
        <v>2407.0100000000002</v>
      </c>
      <c r="H21" s="78">
        <v>3008</v>
      </c>
      <c r="I21" s="78">
        <v>3911</v>
      </c>
    </row>
    <row r="22" spans="1:9">
      <c r="A22" s="75">
        <v>21</v>
      </c>
      <c r="B22" s="75" t="s">
        <v>3620</v>
      </c>
      <c r="C22" s="78" t="s">
        <v>3621</v>
      </c>
      <c r="D22" s="78">
        <v>38245090</v>
      </c>
      <c r="E22" s="75" t="s">
        <v>3582</v>
      </c>
      <c r="F22" s="75" t="s">
        <v>3608</v>
      </c>
      <c r="G22" s="94">
        <v>3100.01</v>
      </c>
      <c r="H22" s="78">
        <v>3875</v>
      </c>
      <c r="I22" s="78">
        <v>5037</v>
      </c>
    </row>
    <row r="23" spans="1:9">
      <c r="A23" s="75">
        <v>22</v>
      </c>
      <c r="B23" s="75" t="s">
        <v>3622</v>
      </c>
      <c r="C23" s="78" t="s">
        <v>3623</v>
      </c>
      <c r="D23" s="78">
        <v>38244090</v>
      </c>
      <c r="E23" s="75" t="s">
        <v>3582</v>
      </c>
      <c r="F23" s="75" t="s">
        <v>3608</v>
      </c>
      <c r="G23" s="95">
        <v>1730.01</v>
      </c>
      <c r="H23" s="78">
        <v>2162</v>
      </c>
      <c r="I23" s="78">
        <v>2811</v>
      </c>
    </row>
    <row r="24" spans="1:9" ht="29">
      <c r="A24" s="75">
        <v>23</v>
      </c>
      <c r="B24" s="75" t="s">
        <v>3624</v>
      </c>
      <c r="C24" s="96" t="s">
        <v>3625</v>
      </c>
      <c r="D24" s="78">
        <v>38245090</v>
      </c>
      <c r="E24" s="75" t="s">
        <v>3511</v>
      </c>
      <c r="F24" s="75" t="s">
        <v>3579</v>
      </c>
      <c r="G24" s="95">
        <v>109.93</v>
      </c>
      <c r="H24" s="78">
        <v>137</v>
      </c>
      <c r="I24" s="78">
        <v>178</v>
      </c>
    </row>
    <row r="25" spans="1:9">
      <c r="A25" s="75">
        <v>24</v>
      </c>
      <c r="B25" s="75" t="s">
        <v>3626</v>
      </c>
      <c r="C25" s="78" t="s">
        <v>3627</v>
      </c>
      <c r="D25" s="78">
        <v>38244090</v>
      </c>
      <c r="E25" s="75" t="s">
        <v>20</v>
      </c>
      <c r="F25" s="75" t="s">
        <v>3628</v>
      </c>
      <c r="G25" s="95">
        <v>68.12</v>
      </c>
      <c r="H25" s="78">
        <v>85</v>
      </c>
      <c r="I25" s="78">
        <v>110</v>
      </c>
    </row>
    <row r="26" spans="1:9">
      <c r="A26" s="75">
        <v>25</v>
      </c>
      <c r="B26" s="75" t="s">
        <v>3629</v>
      </c>
      <c r="C26" s="78" t="s">
        <v>3630</v>
      </c>
      <c r="D26" s="78">
        <v>38244090</v>
      </c>
      <c r="E26" s="75" t="s">
        <v>3582</v>
      </c>
      <c r="F26" s="75" t="s">
        <v>3608</v>
      </c>
      <c r="G26" s="95">
        <v>4445.01</v>
      </c>
      <c r="H26" s="78">
        <v>5556</v>
      </c>
      <c r="I26" s="78">
        <v>7223</v>
      </c>
    </row>
    <row r="27" spans="1:9">
      <c r="A27" s="16"/>
      <c r="B27" s="16"/>
      <c r="D27"/>
      <c r="G27" s="32"/>
    </row>
    <row r="28" spans="1:9">
      <c r="A28" s="16"/>
      <c r="B28" s="16"/>
      <c r="D28"/>
      <c r="G28" s="32"/>
    </row>
    <row r="29" spans="1:9">
      <c r="A29" s="16"/>
      <c r="B29" s="16"/>
      <c r="D29"/>
      <c r="G29" s="32"/>
    </row>
    <row r="30" spans="1:9">
      <c r="A30" s="16"/>
      <c r="B30" s="16"/>
      <c r="D30"/>
      <c r="G30" s="32"/>
    </row>
    <row r="31" spans="1:9">
      <c r="A31" s="16"/>
      <c r="B31" s="16"/>
      <c r="D31"/>
      <c r="G31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9701-DA86-4FF9-951E-25F25A9A3FDD}">
  <dimension ref="B2:K82"/>
  <sheetViews>
    <sheetView workbookViewId="0">
      <selection sqref="A1:XFD1048576"/>
    </sheetView>
  </sheetViews>
  <sheetFormatPr defaultColWidth="9.1796875" defaultRowHeight="14.5"/>
  <cols>
    <col min="1" max="2" width="9.1796875" style="34"/>
    <col min="3" max="3" width="15.81640625" style="34" customWidth="1"/>
    <col min="4" max="4" width="21.26953125" style="34" bestFit="1" customWidth="1"/>
    <col min="5" max="5" width="43.54296875" style="34" customWidth="1"/>
    <col min="6" max="6" width="16.26953125" style="34" customWidth="1"/>
    <col min="7" max="7" width="17.453125" style="34" customWidth="1"/>
    <col min="8" max="8" width="16" style="34" customWidth="1"/>
    <col min="9" max="9" width="9.1796875" style="34"/>
    <col min="10" max="10" width="13.1796875" style="34" customWidth="1"/>
    <col min="11" max="16384" width="9.1796875" style="34"/>
  </cols>
  <sheetData>
    <row r="2" spans="2:11">
      <c r="B2" s="33" t="s">
        <v>3631</v>
      </c>
      <c r="C2" s="33"/>
      <c r="D2" s="33" t="s">
        <v>3632</v>
      </c>
      <c r="E2" s="33" t="s">
        <v>3633</v>
      </c>
      <c r="F2" s="33"/>
      <c r="G2" s="33" t="s">
        <v>3563</v>
      </c>
      <c r="H2" s="33" t="s">
        <v>3561</v>
      </c>
      <c r="I2" s="33"/>
      <c r="J2" s="33" t="s">
        <v>3634</v>
      </c>
      <c r="K2" s="34" t="s">
        <v>17</v>
      </c>
    </row>
    <row r="3" spans="2:11">
      <c r="B3" s="34">
        <v>1</v>
      </c>
      <c r="C3" s="34" t="s">
        <v>3635</v>
      </c>
      <c r="D3" s="34" t="s">
        <v>3636</v>
      </c>
      <c r="E3" s="34" t="s">
        <v>3637</v>
      </c>
      <c r="G3" s="34" t="s">
        <v>3638</v>
      </c>
      <c r="H3" s="34">
        <v>38160000</v>
      </c>
      <c r="J3" s="34">
        <v>493</v>
      </c>
      <c r="K3" s="34">
        <v>788</v>
      </c>
    </row>
    <row r="4" spans="2:11">
      <c r="B4" s="34">
        <v>2</v>
      </c>
      <c r="C4" s="34" t="s">
        <v>3639</v>
      </c>
      <c r="D4" s="34" t="s">
        <v>3636</v>
      </c>
      <c r="E4" s="34" t="s">
        <v>3640</v>
      </c>
      <c r="G4" s="34" t="s">
        <v>3638</v>
      </c>
      <c r="H4" s="34">
        <v>38160000</v>
      </c>
      <c r="J4" s="34">
        <v>784</v>
      </c>
      <c r="K4" s="34">
        <v>1255</v>
      </c>
    </row>
    <row r="5" spans="2:11" s="35" customFormat="1">
      <c r="B5" s="35">
        <v>3</v>
      </c>
      <c r="C5" s="35" t="s">
        <v>3641</v>
      </c>
      <c r="D5" s="36" t="s">
        <v>3636</v>
      </c>
      <c r="E5" s="37" t="s">
        <v>3642</v>
      </c>
      <c r="F5" s="37"/>
      <c r="G5" s="36" t="s">
        <v>3638</v>
      </c>
      <c r="H5" s="36">
        <v>38245090</v>
      </c>
      <c r="I5" s="36"/>
      <c r="J5" s="38">
        <v>784</v>
      </c>
      <c r="K5" s="35">
        <v>1255</v>
      </c>
    </row>
    <row r="6" spans="2:11">
      <c r="B6" s="34">
        <v>4</v>
      </c>
      <c r="C6" s="35" t="s">
        <v>3643</v>
      </c>
      <c r="D6" s="39" t="s">
        <v>3636</v>
      </c>
      <c r="E6" s="40" t="s">
        <v>3644</v>
      </c>
      <c r="F6" s="40"/>
      <c r="G6" s="36" t="s">
        <v>3638</v>
      </c>
      <c r="H6" s="41">
        <v>38160000</v>
      </c>
      <c r="I6" s="41"/>
      <c r="J6" s="34">
        <v>543</v>
      </c>
      <c r="K6" s="34">
        <v>870</v>
      </c>
    </row>
    <row r="7" spans="2:11">
      <c r="B7" s="34">
        <v>5</v>
      </c>
      <c r="C7" s="35" t="s">
        <v>3645</v>
      </c>
      <c r="D7" s="39" t="s">
        <v>3636</v>
      </c>
      <c r="E7" s="40" t="s">
        <v>3646</v>
      </c>
      <c r="F7" s="40"/>
      <c r="G7" s="36" t="s">
        <v>3638</v>
      </c>
      <c r="H7" s="41">
        <v>38160000</v>
      </c>
      <c r="I7" s="41"/>
      <c r="J7" s="34">
        <v>478</v>
      </c>
      <c r="K7" s="34">
        <v>765</v>
      </c>
    </row>
    <row r="8" spans="2:11">
      <c r="B8" s="34">
        <v>6</v>
      </c>
      <c r="C8" s="35" t="s">
        <v>3647</v>
      </c>
      <c r="D8" s="39" t="s">
        <v>3648</v>
      </c>
      <c r="E8" s="40" t="s">
        <v>3649</v>
      </c>
      <c r="F8" s="40"/>
      <c r="G8" s="36" t="s">
        <v>3638</v>
      </c>
      <c r="H8" s="41">
        <v>38245090</v>
      </c>
      <c r="I8" s="41"/>
      <c r="J8" s="34">
        <v>348</v>
      </c>
      <c r="K8" s="34">
        <v>556</v>
      </c>
    </row>
    <row r="9" spans="2:11">
      <c r="B9" s="34">
        <v>7</v>
      </c>
      <c r="C9" s="35" t="s">
        <v>3650</v>
      </c>
      <c r="D9" s="39" t="s">
        <v>3651</v>
      </c>
      <c r="E9" s="40" t="s">
        <v>3652</v>
      </c>
      <c r="F9" s="40"/>
      <c r="G9" s="36" t="s">
        <v>3653</v>
      </c>
      <c r="H9" s="41">
        <v>40021100</v>
      </c>
      <c r="I9" s="41"/>
      <c r="J9" s="34">
        <v>5291</v>
      </c>
      <c r="K9" s="34">
        <v>8465</v>
      </c>
    </row>
    <row r="10" spans="2:11">
      <c r="B10" s="34">
        <v>10</v>
      </c>
      <c r="C10" s="35" t="s">
        <v>3654</v>
      </c>
      <c r="D10" s="39" t="s">
        <v>3651</v>
      </c>
      <c r="E10" s="40" t="s">
        <v>3655</v>
      </c>
      <c r="F10" s="40"/>
      <c r="G10" s="36" t="s">
        <v>3656</v>
      </c>
      <c r="H10" s="41">
        <v>40021100</v>
      </c>
      <c r="I10" s="41"/>
      <c r="J10" s="34">
        <v>17835</v>
      </c>
      <c r="K10" s="34">
        <v>28536</v>
      </c>
    </row>
    <row r="11" spans="2:11">
      <c r="B11" s="34">
        <v>11</v>
      </c>
      <c r="C11" s="35" t="s">
        <v>3657</v>
      </c>
      <c r="D11" s="36" t="s">
        <v>3651</v>
      </c>
      <c r="E11" s="40" t="s">
        <v>3658</v>
      </c>
      <c r="F11" s="40"/>
      <c r="G11" s="36" t="s">
        <v>3653</v>
      </c>
      <c r="H11" s="41">
        <v>40021100</v>
      </c>
      <c r="I11" s="41"/>
      <c r="J11" s="34">
        <v>4257</v>
      </c>
      <c r="K11" s="34">
        <v>6811</v>
      </c>
    </row>
    <row r="12" spans="2:11">
      <c r="B12" s="34">
        <v>14</v>
      </c>
      <c r="C12" s="35" t="s">
        <v>3659</v>
      </c>
      <c r="D12" s="39" t="s">
        <v>3651</v>
      </c>
      <c r="E12" s="40" t="s">
        <v>3660</v>
      </c>
      <c r="F12" s="40"/>
      <c r="G12" s="36" t="s">
        <v>3661</v>
      </c>
      <c r="H12" s="41">
        <v>38244090</v>
      </c>
      <c r="I12" s="41"/>
      <c r="J12" s="34">
        <v>9251</v>
      </c>
      <c r="K12" s="34">
        <v>14801</v>
      </c>
    </row>
    <row r="13" spans="2:11">
      <c r="B13" s="34">
        <v>15</v>
      </c>
      <c r="C13" s="35" t="s">
        <v>3662</v>
      </c>
      <c r="D13" s="39" t="s">
        <v>3651</v>
      </c>
      <c r="E13" s="40" t="s">
        <v>3663</v>
      </c>
      <c r="F13" s="40"/>
      <c r="G13" s="36" t="s">
        <v>3653</v>
      </c>
      <c r="H13" s="41">
        <v>38244090</v>
      </c>
      <c r="I13" s="41"/>
      <c r="J13" s="34">
        <v>4666</v>
      </c>
      <c r="K13" s="34">
        <v>7465</v>
      </c>
    </row>
    <row r="14" spans="2:11">
      <c r="B14" s="34">
        <v>18</v>
      </c>
      <c r="C14" s="35" t="s">
        <v>3664</v>
      </c>
      <c r="D14" s="39" t="s">
        <v>3651</v>
      </c>
      <c r="E14" s="40" t="s">
        <v>3665</v>
      </c>
      <c r="F14" s="40"/>
      <c r="G14" s="36" t="s">
        <v>3653</v>
      </c>
      <c r="H14" s="41">
        <v>39069090</v>
      </c>
      <c r="I14" s="41"/>
      <c r="J14" s="34">
        <v>3516</v>
      </c>
      <c r="K14" s="34">
        <v>5626</v>
      </c>
    </row>
    <row r="15" spans="2:11">
      <c r="B15" s="34">
        <v>21</v>
      </c>
      <c r="C15" s="35" t="s">
        <v>3666</v>
      </c>
      <c r="D15" s="39" t="s">
        <v>3651</v>
      </c>
      <c r="E15" s="40" t="s">
        <v>3667</v>
      </c>
      <c r="F15" s="40"/>
      <c r="G15" s="36" t="s">
        <v>3638</v>
      </c>
      <c r="H15" s="41">
        <v>38244090</v>
      </c>
      <c r="I15" s="41"/>
      <c r="J15" s="34">
        <v>10875</v>
      </c>
      <c r="K15" s="34">
        <v>17400</v>
      </c>
    </row>
    <row r="16" spans="2:11">
      <c r="B16" s="34">
        <v>22</v>
      </c>
      <c r="C16" s="35" t="s">
        <v>3668</v>
      </c>
      <c r="D16" s="39" t="s">
        <v>3669</v>
      </c>
      <c r="E16" s="40" t="s">
        <v>3670</v>
      </c>
      <c r="F16" s="40"/>
      <c r="G16" s="36" t="s">
        <v>3653</v>
      </c>
      <c r="H16" s="41">
        <v>38244090</v>
      </c>
      <c r="I16" s="41"/>
      <c r="J16" s="34">
        <v>1763</v>
      </c>
      <c r="K16" s="34">
        <v>2821</v>
      </c>
    </row>
    <row r="17" spans="2:11">
      <c r="B17" s="34">
        <v>25</v>
      </c>
      <c r="C17" s="35" t="s">
        <v>3671</v>
      </c>
      <c r="D17" s="39" t="s">
        <v>3669</v>
      </c>
      <c r="E17" s="40" t="s">
        <v>3672</v>
      </c>
      <c r="F17" s="40"/>
      <c r="G17" s="36" t="s">
        <v>3653</v>
      </c>
      <c r="H17" s="41">
        <v>38244090</v>
      </c>
      <c r="I17" s="41"/>
      <c r="J17" s="34">
        <v>1918</v>
      </c>
      <c r="K17" s="34">
        <v>3069</v>
      </c>
    </row>
    <row r="18" spans="2:11">
      <c r="B18" s="34">
        <v>27</v>
      </c>
      <c r="C18" s="35" t="s">
        <v>3673</v>
      </c>
      <c r="D18" s="39" t="s">
        <v>3669</v>
      </c>
      <c r="E18" s="40" t="s">
        <v>3674</v>
      </c>
      <c r="F18" s="40"/>
      <c r="G18" s="36" t="s">
        <v>3653</v>
      </c>
      <c r="H18" s="41">
        <v>29221990</v>
      </c>
      <c r="I18" s="41"/>
      <c r="J18" s="34">
        <v>3929</v>
      </c>
      <c r="K18" s="34">
        <v>6287</v>
      </c>
    </row>
    <row r="19" spans="2:11" ht="12.75" customHeight="1">
      <c r="B19" s="34">
        <v>28</v>
      </c>
      <c r="C19" s="35" t="s">
        <v>3675</v>
      </c>
      <c r="D19" s="39" t="s">
        <v>3669</v>
      </c>
      <c r="E19" s="40" t="s">
        <v>3676</v>
      </c>
      <c r="F19" s="40"/>
      <c r="G19" s="36" t="s">
        <v>3653</v>
      </c>
      <c r="H19" s="41">
        <v>29221990</v>
      </c>
      <c r="I19" s="41"/>
      <c r="J19" s="34">
        <v>5437</v>
      </c>
      <c r="K19" s="34">
        <v>8700</v>
      </c>
    </row>
    <row r="20" spans="2:11">
      <c r="B20" s="34">
        <v>29</v>
      </c>
      <c r="C20" s="35" t="s">
        <v>3677</v>
      </c>
      <c r="D20" s="39" t="s">
        <v>3678</v>
      </c>
      <c r="E20" s="40" t="s">
        <v>3679</v>
      </c>
      <c r="F20" s="40"/>
      <c r="G20" s="36" t="s">
        <v>3638</v>
      </c>
      <c r="H20" s="41">
        <v>38245090</v>
      </c>
      <c r="I20" s="41"/>
      <c r="J20" s="34">
        <v>416</v>
      </c>
      <c r="K20" s="34">
        <v>665</v>
      </c>
    </row>
    <row r="21" spans="2:11">
      <c r="B21" s="34">
        <v>30</v>
      </c>
      <c r="C21" s="35" t="s">
        <v>3680</v>
      </c>
      <c r="D21" s="39" t="s">
        <v>3678</v>
      </c>
      <c r="E21" s="40" t="s">
        <v>3681</v>
      </c>
      <c r="F21" s="40"/>
      <c r="G21" s="36" t="s">
        <v>3682</v>
      </c>
      <c r="H21" s="41">
        <v>39073090</v>
      </c>
      <c r="I21" s="41"/>
      <c r="J21" s="34">
        <v>1335</v>
      </c>
      <c r="K21" s="34">
        <v>2136</v>
      </c>
    </row>
    <row r="22" spans="2:11">
      <c r="B22" s="34">
        <v>31</v>
      </c>
      <c r="C22" s="35" t="s">
        <v>3683</v>
      </c>
      <c r="D22" s="39" t="s">
        <v>3684</v>
      </c>
      <c r="E22" s="40" t="s">
        <v>3685</v>
      </c>
      <c r="F22" s="40"/>
      <c r="G22" s="36" t="s">
        <v>3686</v>
      </c>
      <c r="H22" s="41">
        <v>32141000</v>
      </c>
      <c r="I22" s="41"/>
      <c r="J22" s="34">
        <v>852</v>
      </c>
      <c r="K22" s="34">
        <v>1364</v>
      </c>
    </row>
    <row r="23" spans="2:11">
      <c r="B23" s="34">
        <v>32</v>
      </c>
      <c r="C23" s="35" t="s">
        <v>3687</v>
      </c>
      <c r="D23" s="36" t="s">
        <v>3688</v>
      </c>
      <c r="E23" s="40" t="s">
        <v>3689</v>
      </c>
      <c r="F23" s="40"/>
      <c r="G23" s="36" t="s">
        <v>3690</v>
      </c>
      <c r="H23" s="41">
        <v>32141000</v>
      </c>
      <c r="I23" s="41"/>
      <c r="J23" s="34">
        <v>435</v>
      </c>
      <c r="K23" s="34">
        <v>696</v>
      </c>
    </row>
    <row r="24" spans="2:11">
      <c r="B24" s="34">
        <v>33</v>
      </c>
      <c r="C24" s="35" t="s">
        <v>3691</v>
      </c>
      <c r="D24" s="36" t="s">
        <v>3688</v>
      </c>
      <c r="E24" s="40" t="s">
        <v>3692</v>
      </c>
      <c r="F24" s="40"/>
      <c r="G24" s="36" t="s">
        <v>3690</v>
      </c>
      <c r="H24" s="41">
        <v>32141000</v>
      </c>
      <c r="I24" s="41"/>
      <c r="J24" s="34">
        <v>533</v>
      </c>
      <c r="K24" s="34">
        <v>853</v>
      </c>
    </row>
    <row r="25" spans="2:11">
      <c r="B25" s="34">
        <v>34</v>
      </c>
      <c r="C25" s="35" t="s">
        <v>3693</v>
      </c>
      <c r="D25" s="36" t="s">
        <v>3688</v>
      </c>
      <c r="E25" s="40" t="s">
        <v>3694</v>
      </c>
      <c r="F25" s="40"/>
      <c r="G25" s="36" t="s">
        <v>3690</v>
      </c>
      <c r="H25" s="41">
        <v>32141000</v>
      </c>
      <c r="I25" s="41"/>
      <c r="J25" s="34">
        <v>919</v>
      </c>
      <c r="K25" s="34">
        <v>1470</v>
      </c>
    </row>
    <row r="26" spans="2:11">
      <c r="B26" s="34">
        <v>35</v>
      </c>
      <c r="C26" s="35" t="s">
        <v>3695</v>
      </c>
      <c r="D26" s="39" t="s">
        <v>3688</v>
      </c>
      <c r="E26" s="40" t="s">
        <v>3696</v>
      </c>
      <c r="F26" s="40"/>
      <c r="G26" s="36" t="s">
        <v>3690</v>
      </c>
      <c r="H26" s="41">
        <v>32141000</v>
      </c>
      <c r="I26" s="41"/>
      <c r="J26" s="34">
        <v>926</v>
      </c>
      <c r="K26" s="34">
        <v>1482</v>
      </c>
    </row>
    <row r="27" spans="2:11">
      <c r="B27" s="34">
        <v>36</v>
      </c>
      <c r="C27" s="35" t="s">
        <v>3697</v>
      </c>
      <c r="D27" s="39" t="s">
        <v>3688</v>
      </c>
      <c r="E27" s="40" t="s">
        <v>3698</v>
      </c>
      <c r="F27" s="40"/>
      <c r="G27" s="36" t="s">
        <v>3699</v>
      </c>
      <c r="H27" s="41">
        <v>32081090</v>
      </c>
      <c r="I27" s="41"/>
      <c r="J27" s="34">
        <v>906</v>
      </c>
      <c r="K27" s="34">
        <v>1450</v>
      </c>
    </row>
    <row r="28" spans="2:11">
      <c r="B28" s="34">
        <v>37</v>
      </c>
      <c r="C28" s="35" t="s">
        <v>3700</v>
      </c>
      <c r="D28" s="39" t="s">
        <v>3688</v>
      </c>
      <c r="E28" s="40" t="s">
        <v>3701</v>
      </c>
      <c r="F28" s="40"/>
      <c r="G28" s="36" t="s">
        <v>3702</v>
      </c>
      <c r="H28" s="41">
        <v>32141000</v>
      </c>
      <c r="I28" s="41"/>
      <c r="J28" s="34">
        <v>1726</v>
      </c>
      <c r="K28" s="34">
        <v>2763</v>
      </c>
    </row>
    <row r="29" spans="2:11" ht="43.5">
      <c r="B29" s="34">
        <v>38</v>
      </c>
      <c r="C29" s="35" t="s">
        <v>3703</v>
      </c>
      <c r="D29" s="39" t="s">
        <v>3704</v>
      </c>
      <c r="E29" s="40" t="s">
        <v>3705</v>
      </c>
      <c r="F29" s="40"/>
      <c r="G29" s="36" t="s">
        <v>3706</v>
      </c>
      <c r="H29" s="41">
        <v>32091090</v>
      </c>
      <c r="I29" s="41"/>
      <c r="J29" s="34">
        <v>3356</v>
      </c>
      <c r="K29" s="34">
        <v>5370</v>
      </c>
    </row>
    <row r="30" spans="2:11" ht="43.5">
      <c r="B30" s="34">
        <v>39</v>
      </c>
      <c r="C30" s="35" t="s">
        <v>3707</v>
      </c>
      <c r="D30" s="39" t="s">
        <v>3704</v>
      </c>
      <c r="E30" s="40" t="s">
        <v>3708</v>
      </c>
      <c r="F30" s="40"/>
      <c r="G30" s="36" t="s">
        <v>3702</v>
      </c>
      <c r="H30" s="41">
        <v>32091090</v>
      </c>
      <c r="I30" s="41"/>
      <c r="J30" s="34">
        <v>1602</v>
      </c>
      <c r="K30" s="34">
        <v>2563</v>
      </c>
    </row>
    <row r="31" spans="2:11" ht="43.5">
      <c r="B31" s="34">
        <v>40</v>
      </c>
      <c r="C31" s="35" t="s">
        <v>3709</v>
      </c>
      <c r="D31" s="39" t="s">
        <v>3704</v>
      </c>
      <c r="E31" s="40" t="s">
        <v>3710</v>
      </c>
      <c r="F31" s="40"/>
      <c r="G31" s="36" t="s">
        <v>3682</v>
      </c>
      <c r="H31" s="41">
        <v>32091090</v>
      </c>
      <c r="I31" s="41"/>
      <c r="J31" s="34">
        <v>6034</v>
      </c>
      <c r="K31" s="34">
        <v>9655</v>
      </c>
    </row>
    <row r="32" spans="2:11" ht="12.75" customHeight="1">
      <c r="B32" s="34">
        <v>41</v>
      </c>
      <c r="C32" s="35" t="s">
        <v>3711</v>
      </c>
      <c r="D32" s="39" t="s">
        <v>3704</v>
      </c>
      <c r="E32" s="40" t="s">
        <v>3712</v>
      </c>
      <c r="F32" s="40"/>
      <c r="G32" s="36" t="s">
        <v>3682</v>
      </c>
      <c r="H32" s="41">
        <v>32091090</v>
      </c>
      <c r="I32" s="41"/>
      <c r="J32" s="34">
        <v>9179</v>
      </c>
      <c r="K32" s="34">
        <v>14687</v>
      </c>
    </row>
    <row r="33" spans="2:11">
      <c r="B33" s="34">
        <v>42</v>
      </c>
      <c r="C33" s="35" t="s">
        <v>3713</v>
      </c>
      <c r="D33" s="39" t="s">
        <v>3714</v>
      </c>
      <c r="E33" s="40" t="s">
        <v>3715</v>
      </c>
      <c r="F33" s="40"/>
      <c r="G33" s="36" t="s">
        <v>3653</v>
      </c>
      <c r="H33" s="41">
        <v>39095000</v>
      </c>
      <c r="I33" s="41"/>
      <c r="J33" s="34">
        <v>9066</v>
      </c>
      <c r="K33" s="34">
        <v>14506</v>
      </c>
    </row>
    <row r="34" spans="2:11">
      <c r="B34" s="34">
        <v>43</v>
      </c>
      <c r="C34" s="35" t="s">
        <v>3716</v>
      </c>
      <c r="D34" s="39" t="s">
        <v>3714</v>
      </c>
      <c r="E34" s="40" t="s">
        <v>3717</v>
      </c>
      <c r="F34" s="40"/>
      <c r="G34" s="36" t="s">
        <v>3706</v>
      </c>
      <c r="H34" s="41">
        <v>38244010</v>
      </c>
      <c r="I34" s="41"/>
      <c r="J34" s="34">
        <v>5901</v>
      </c>
      <c r="K34" s="34">
        <v>9442</v>
      </c>
    </row>
    <row r="35" spans="2:11">
      <c r="B35" s="34">
        <v>44</v>
      </c>
      <c r="C35" s="35" t="s">
        <v>3718</v>
      </c>
      <c r="D35" s="39" t="s">
        <v>3714</v>
      </c>
      <c r="E35" s="40" t="s">
        <v>3719</v>
      </c>
      <c r="F35" s="40"/>
      <c r="G35" s="36" t="s">
        <v>3706</v>
      </c>
      <c r="H35" s="41">
        <v>39069090</v>
      </c>
      <c r="I35" s="41"/>
      <c r="J35" s="34">
        <v>3764</v>
      </c>
      <c r="K35" s="34">
        <v>6022</v>
      </c>
    </row>
    <row r="36" spans="2:11" ht="12.75" customHeight="1">
      <c r="B36" s="34">
        <v>45</v>
      </c>
      <c r="C36" s="35" t="s">
        <v>3720</v>
      </c>
      <c r="D36" s="39" t="s">
        <v>3714</v>
      </c>
      <c r="E36" s="40" t="s">
        <v>3721</v>
      </c>
      <c r="F36" s="40"/>
      <c r="G36" s="36" t="s">
        <v>3706</v>
      </c>
      <c r="H36" s="41">
        <v>39079090</v>
      </c>
      <c r="I36" s="41"/>
      <c r="J36" s="34">
        <v>2102</v>
      </c>
      <c r="K36" s="34">
        <v>3364</v>
      </c>
    </row>
    <row r="37" spans="2:11">
      <c r="B37" s="34">
        <v>46</v>
      </c>
      <c r="C37" s="35" t="s">
        <v>3722</v>
      </c>
      <c r="D37" s="39" t="s">
        <v>3723</v>
      </c>
      <c r="E37" s="40" t="s">
        <v>3724</v>
      </c>
      <c r="F37" s="40"/>
      <c r="G37" s="36" t="s">
        <v>3725</v>
      </c>
      <c r="H37" s="41">
        <v>39073090</v>
      </c>
      <c r="I37" s="41"/>
      <c r="J37" s="34">
        <v>3342</v>
      </c>
      <c r="K37" s="34">
        <v>5347</v>
      </c>
    </row>
    <row r="38" spans="2:11">
      <c r="B38" s="34">
        <v>47</v>
      </c>
      <c r="C38" s="35" t="s">
        <v>3726</v>
      </c>
      <c r="D38" s="39" t="s">
        <v>3723</v>
      </c>
      <c r="E38" s="40" t="s">
        <v>3727</v>
      </c>
      <c r="F38" s="40"/>
      <c r="G38" s="36" t="s">
        <v>3728</v>
      </c>
      <c r="H38" s="41">
        <v>39073090</v>
      </c>
      <c r="I38" s="41"/>
      <c r="J38" s="34">
        <v>5048</v>
      </c>
      <c r="K38" s="34">
        <v>8078</v>
      </c>
    </row>
    <row r="39" spans="2:11">
      <c r="B39" s="34">
        <v>48</v>
      </c>
      <c r="C39" s="35" t="s">
        <v>3729</v>
      </c>
      <c r="D39" s="39" t="s">
        <v>3723</v>
      </c>
      <c r="E39" s="40" t="s">
        <v>3730</v>
      </c>
      <c r="F39" s="40"/>
      <c r="G39" s="36" t="s">
        <v>3728</v>
      </c>
      <c r="H39" s="41">
        <v>39073090</v>
      </c>
      <c r="I39" s="41"/>
      <c r="J39" s="34">
        <v>6933</v>
      </c>
      <c r="K39" s="34">
        <v>11094</v>
      </c>
    </row>
    <row r="40" spans="2:11">
      <c r="B40" s="34">
        <v>49</v>
      </c>
      <c r="C40" s="35" t="s">
        <v>3731</v>
      </c>
      <c r="D40" s="39" t="s">
        <v>3723</v>
      </c>
      <c r="E40" s="40" t="s">
        <v>3732</v>
      </c>
      <c r="F40" s="40"/>
      <c r="G40" s="36" t="s">
        <v>3725</v>
      </c>
      <c r="H40" s="41">
        <v>39073090</v>
      </c>
      <c r="I40" s="41"/>
      <c r="J40" s="34">
        <v>4573</v>
      </c>
      <c r="K40" s="34">
        <v>7317</v>
      </c>
    </row>
    <row r="41" spans="2:11">
      <c r="B41" s="34">
        <v>50</v>
      </c>
      <c r="C41" s="35" t="s">
        <v>3733</v>
      </c>
      <c r="D41" s="39" t="s">
        <v>3723</v>
      </c>
      <c r="E41" s="40" t="s">
        <v>3734</v>
      </c>
      <c r="F41" s="40"/>
      <c r="G41" s="36" t="s">
        <v>3728</v>
      </c>
      <c r="H41" s="41">
        <v>39073090</v>
      </c>
      <c r="I41" s="41"/>
      <c r="J41" s="34">
        <v>11073</v>
      </c>
      <c r="K41" s="34">
        <v>17717</v>
      </c>
    </row>
    <row r="42" spans="2:11">
      <c r="B42" s="34">
        <v>51</v>
      </c>
      <c r="C42" s="35" t="s">
        <v>3735</v>
      </c>
      <c r="D42" s="39" t="s">
        <v>3723</v>
      </c>
      <c r="E42" s="40" t="s">
        <v>3736</v>
      </c>
      <c r="F42" s="40"/>
      <c r="G42" s="36" t="s">
        <v>3737</v>
      </c>
      <c r="H42" s="41">
        <v>39073090</v>
      </c>
      <c r="I42" s="41"/>
      <c r="J42" s="34">
        <v>10731</v>
      </c>
      <c r="K42" s="34">
        <v>17170</v>
      </c>
    </row>
    <row r="43" spans="2:11">
      <c r="B43" s="34">
        <v>52</v>
      </c>
      <c r="C43" s="35" t="s">
        <v>3738</v>
      </c>
      <c r="D43" s="39" t="s">
        <v>3723</v>
      </c>
      <c r="E43" s="40" t="s">
        <v>3739</v>
      </c>
      <c r="F43" s="40"/>
      <c r="G43" s="36" t="s">
        <v>3638</v>
      </c>
      <c r="H43" s="41">
        <v>39073090</v>
      </c>
      <c r="I43" s="41"/>
      <c r="J43" s="34">
        <v>8631</v>
      </c>
      <c r="K43" s="34">
        <v>13810</v>
      </c>
    </row>
    <row r="44" spans="2:11">
      <c r="B44" s="34">
        <v>53</v>
      </c>
      <c r="C44" s="35" t="s">
        <v>3740</v>
      </c>
      <c r="D44" s="39" t="s">
        <v>3723</v>
      </c>
      <c r="E44" s="40" t="s">
        <v>3741</v>
      </c>
      <c r="F44" s="40"/>
      <c r="G44" s="36" t="s">
        <v>3742</v>
      </c>
      <c r="H44" s="41">
        <v>39073090</v>
      </c>
      <c r="I44" s="41"/>
      <c r="J44" s="34">
        <v>9787</v>
      </c>
      <c r="K44" s="34">
        <v>15660</v>
      </c>
    </row>
    <row r="45" spans="2:11">
      <c r="B45" s="34">
        <v>54</v>
      </c>
      <c r="C45" s="35" t="s">
        <v>3743</v>
      </c>
      <c r="D45" s="39" t="s">
        <v>3723</v>
      </c>
      <c r="E45" s="40" t="s">
        <v>3744</v>
      </c>
      <c r="F45" s="40"/>
      <c r="G45" s="36" t="s">
        <v>3745</v>
      </c>
      <c r="H45" s="41">
        <v>39073090</v>
      </c>
      <c r="I45" s="41"/>
      <c r="J45" s="34">
        <v>4293</v>
      </c>
      <c r="K45" s="34">
        <v>6869</v>
      </c>
    </row>
    <row r="46" spans="2:11">
      <c r="B46" s="34">
        <v>55</v>
      </c>
      <c r="C46" s="35" t="s">
        <v>3746</v>
      </c>
      <c r="D46" s="39" t="s">
        <v>3723</v>
      </c>
      <c r="E46" s="40" t="s">
        <v>3747</v>
      </c>
      <c r="F46" s="40"/>
      <c r="G46" s="36" t="s">
        <v>3702</v>
      </c>
      <c r="H46" s="41">
        <v>39073090</v>
      </c>
      <c r="I46" s="41"/>
      <c r="J46" s="34">
        <v>4312</v>
      </c>
      <c r="K46" s="34">
        <v>6899</v>
      </c>
    </row>
    <row r="47" spans="2:11">
      <c r="B47" s="34">
        <v>56</v>
      </c>
      <c r="C47" s="35" t="s">
        <v>3748</v>
      </c>
      <c r="D47" s="39" t="s">
        <v>3723</v>
      </c>
      <c r="E47" s="40" t="s">
        <v>3749</v>
      </c>
      <c r="F47" s="40"/>
      <c r="G47" s="42" t="s">
        <v>3750</v>
      </c>
      <c r="H47" s="41">
        <v>39073090</v>
      </c>
      <c r="I47" s="41"/>
      <c r="J47" s="34">
        <v>6264</v>
      </c>
      <c r="K47" s="34">
        <v>10022</v>
      </c>
    </row>
    <row r="48" spans="2:11">
      <c r="B48" s="34">
        <v>57</v>
      </c>
      <c r="C48" s="35" t="s">
        <v>3751</v>
      </c>
      <c r="D48" s="39" t="s">
        <v>3723</v>
      </c>
      <c r="E48" s="40" t="s">
        <v>3752</v>
      </c>
      <c r="F48" s="40"/>
      <c r="G48" s="42" t="s">
        <v>3753</v>
      </c>
      <c r="H48" s="41">
        <v>39073090</v>
      </c>
      <c r="I48" s="41"/>
      <c r="J48" s="34">
        <v>2639</v>
      </c>
      <c r="K48" s="34">
        <v>4222</v>
      </c>
    </row>
    <row r="49" spans="2:11">
      <c r="B49" s="34">
        <v>58</v>
      </c>
      <c r="C49" s="35" t="s">
        <v>3754</v>
      </c>
      <c r="D49" s="39" t="s">
        <v>3723</v>
      </c>
      <c r="E49" s="40" t="s">
        <v>3755</v>
      </c>
      <c r="F49" s="40"/>
      <c r="G49" s="36" t="s">
        <v>3756</v>
      </c>
      <c r="H49" s="41">
        <v>39073090</v>
      </c>
      <c r="I49" s="41"/>
      <c r="J49" s="34">
        <v>4060</v>
      </c>
      <c r="K49" s="34">
        <v>6496</v>
      </c>
    </row>
    <row r="50" spans="2:11">
      <c r="B50" s="34">
        <v>59</v>
      </c>
      <c r="C50" s="35" t="s">
        <v>3757</v>
      </c>
      <c r="D50" s="39" t="s">
        <v>3723</v>
      </c>
      <c r="E50" s="40" t="s">
        <v>3758</v>
      </c>
      <c r="F50" s="40"/>
      <c r="G50" s="42" t="s">
        <v>3759</v>
      </c>
      <c r="H50" s="41">
        <v>39073090</v>
      </c>
      <c r="I50" s="41"/>
      <c r="J50" s="34">
        <v>9378</v>
      </c>
      <c r="K50" s="34">
        <v>15005</v>
      </c>
    </row>
    <row r="51" spans="2:11">
      <c r="B51" s="34">
        <v>60</v>
      </c>
      <c r="C51" s="35" t="s">
        <v>3760</v>
      </c>
      <c r="D51" s="39" t="s">
        <v>3761</v>
      </c>
      <c r="E51" s="40" t="s">
        <v>3762</v>
      </c>
      <c r="F51" s="40"/>
      <c r="G51" s="36" t="s">
        <v>3702</v>
      </c>
      <c r="H51" s="41">
        <v>38249090</v>
      </c>
      <c r="I51" s="41"/>
      <c r="J51" s="34">
        <v>4553</v>
      </c>
      <c r="K51" s="34">
        <v>7284</v>
      </c>
    </row>
    <row r="52" spans="2:11">
      <c r="B52" s="34">
        <v>61</v>
      </c>
      <c r="C52" s="35" t="s">
        <v>3763</v>
      </c>
      <c r="D52" s="39" t="s">
        <v>3764</v>
      </c>
      <c r="E52" s="40" t="s">
        <v>3765</v>
      </c>
      <c r="F52" s="40"/>
      <c r="G52" s="36" t="s">
        <v>3706</v>
      </c>
      <c r="H52" s="41">
        <v>32089090</v>
      </c>
      <c r="I52" s="41"/>
      <c r="J52" s="34">
        <v>4544</v>
      </c>
      <c r="K52" s="34">
        <v>7270</v>
      </c>
    </row>
    <row r="53" spans="2:11">
      <c r="B53" s="34">
        <v>62</v>
      </c>
      <c r="C53" s="35" t="s">
        <v>3766</v>
      </c>
      <c r="D53" s="39" t="s">
        <v>3764</v>
      </c>
      <c r="E53" s="40" t="s">
        <v>3767</v>
      </c>
      <c r="F53" s="40"/>
      <c r="G53" s="36" t="s">
        <v>3725</v>
      </c>
      <c r="H53" s="41">
        <v>39073010</v>
      </c>
      <c r="I53" s="41"/>
      <c r="J53" s="34">
        <v>8221</v>
      </c>
      <c r="K53" s="34">
        <v>13154</v>
      </c>
    </row>
    <row r="54" spans="2:11" ht="29">
      <c r="B54" s="34">
        <v>63</v>
      </c>
      <c r="C54" s="35" t="s">
        <v>3768</v>
      </c>
      <c r="D54" s="43" t="s">
        <v>3769</v>
      </c>
      <c r="E54" s="40" t="s">
        <v>3770</v>
      </c>
      <c r="F54" s="40"/>
      <c r="G54" s="36" t="s">
        <v>3682</v>
      </c>
      <c r="H54" s="41">
        <v>32149090</v>
      </c>
      <c r="I54" s="41"/>
      <c r="J54" s="34">
        <v>1973</v>
      </c>
      <c r="K54" s="34">
        <v>3157</v>
      </c>
    </row>
    <row r="55" spans="2:11">
      <c r="B55" s="34">
        <v>64</v>
      </c>
      <c r="C55" s="35" t="s">
        <v>3771</v>
      </c>
      <c r="D55" s="44"/>
      <c r="E55" s="40" t="s">
        <v>3772</v>
      </c>
      <c r="F55" s="40"/>
      <c r="G55" s="36" t="s">
        <v>3661</v>
      </c>
      <c r="H55" s="41">
        <v>68079090</v>
      </c>
      <c r="I55" s="41"/>
      <c r="J55" s="34">
        <v>8518</v>
      </c>
      <c r="K55" s="34">
        <v>13630</v>
      </c>
    </row>
    <row r="56" spans="2:11">
      <c r="B56" s="34">
        <v>65</v>
      </c>
      <c r="C56" s="35" t="s">
        <v>3773</v>
      </c>
      <c r="D56" s="44" t="s">
        <v>3774</v>
      </c>
      <c r="E56" s="40" t="s">
        <v>3775</v>
      </c>
      <c r="F56" s="40"/>
      <c r="G56" s="36" t="s">
        <v>3776</v>
      </c>
      <c r="H56" s="41">
        <v>68079090</v>
      </c>
      <c r="I56" s="41"/>
      <c r="J56" s="34">
        <v>2247</v>
      </c>
      <c r="K56" s="34">
        <v>3596</v>
      </c>
    </row>
    <row r="57" spans="2:11" ht="12.75" customHeight="1">
      <c r="B57" s="34">
        <v>66</v>
      </c>
      <c r="C57" s="35" t="s">
        <v>3777</v>
      </c>
      <c r="D57" s="45" t="s">
        <v>3774</v>
      </c>
      <c r="E57" s="40" t="s">
        <v>3778</v>
      </c>
      <c r="F57" s="40"/>
      <c r="G57" s="36" t="s">
        <v>3779</v>
      </c>
      <c r="H57" s="41">
        <v>68079090</v>
      </c>
      <c r="I57" s="41"/>
      <c r="J57" s="34">
        <v>2392</v>
      </c>
      <c r="K57" s="34">
        <v>3828</v>
      </c>
    </row>
    <row r="58" spans="2:11">
      <c r="B58" s="34">
        <v>67</v>
      </c>
      <c r="C58" s="35" t="s">
        <v>3780</v>
      </c>
      <c r="D58" s="45" t="s">
        <v>3774</v>
      </c>
      <c r="E58" s="40" t="s">
        <v>3781</v>
      </c>
      <c r="F58" s="40"/>
      <c r="G58" s="36" t="s">
        <v>3782</v>
      </c>
      <c r="H58" s="41">
        <v>68079090</v>
      </c>
      <c r="I58" s="41"/>
      <c r="J58" s="34">
        <v>2755</v>
      </c>
      <c r="K58" s="34">
        <v>4408</v>
      </c>
    </row>
    <row r="59" spans="2:11">
      <c r="B59" s="34">
        <v>68</v>
      </c>
      <c r="C59" s="35" t="s">
        <v>3783</v>
      </c>
      <c r="D59" s="39" t="s">
        <v>3774</v>
      </c>
      <c r="E59" s="40" t="s">
        <v>3784</v>
      </c>
      <c r="F59" s="40"/>
      <c r="G59" s="36" t="s">
        <v>3785</v>
      </c>
      <c r="H59" s="41">
        <v>68079090</v>
      </c>
      <c r="I59" s="41"/>
      <c r="J59" s="34">
        <v>2900</v>
      </c>
      <c r="K59" s="34">
        <v>4640</v>
      </c>
    </row>
    <row r="60" spans="2:11">
      <c r="B60" s="34">
        <v>69</v>
      </c>
      <c r="C60" s="35" t="s">
        <v>3786</v>
      </c>
      <c r="D60" s="39" t="s">
        <v>3774</v>
      </c>
      <c r="E60" s="40" t="s">
        <v>3787</v>
      </c>
      <c r="F60" s="40"/>
      <c r="G60" s="36" t="s">
        <v>3653</v>
      </c>
      <c r="H60" s="41">
        <v>27150010</v>
      </c>
      <c r="I60" s="41"/>
      <c r="J60" s="34">
        <v>2428</v>
      </c>
      <c r="K60" s="34">
        <v>3886</v>
      </c>
    </row>
    <row r="61" spans="2:11">
      <c r="B61" s="34">
        <v>70</v>
      </c>
      <c r="C61" s="35" t="s">
        <v>3788</v>
      </c>
      <c r="D61" s="39" t="s">
        <v>3774</v>
      </c>
      <c r="E61" s="40" t="s">
        <v>3789</v>
      </c>
      <c r="F61" s="40"/>
      <c r="G61" s="36" t="s">
        <v>3653</v>
      </c>
      <c r="H61" s="41">
        <v>27150090</v>
      </c>
      <c r="I61" s="41"/>
      <c r="J61" s="34">
        <v>3700</v>
      </c>
      <c r="K61" s="34">
        <v>5920</v>
      </c>
    </row>
    <row r="62" spans="2:11" ht="29">
      <c r="B62" s="34">
        <v>71</v>
      </c>
      <c r="C62" s="35" t="s">
        <v>3790</v>
      </c>
      <c r="D62" s="39" t="s">
        <v>3791</v>
      </c>
      <c r="E62" s="40" t="s">
        <v>3792</v>
      </c>
      <c r="F62" s="40"/>
      <c r="G62" s="36" t="s">
        <v>3793</v>
      </c>
      <c r="H62" s="41">
        <v>68071090</v>
      </c>
      <c r="I62" s="41"/>
      <c r="J62" s="34">
        <v>12731</v>
      </c>
      <c r="K62" s="34">
        <v>20369</v>
      </c>
    </row>
    <row r="63" spans="2:11" ht="29">
      <c r="B63" s="34">
        <v>72</v>
      </c>
      <c r="C63" s="35" t="s">
        <v>3794</v>
      </c>
      <c r="D63" s="39" t="s">
        <v>3791</v>
      </c>
      <c r="E63" s="40" t="s">
        <v>3795</v>
      </c>
      <c r="F63" s="40"/>
      <c r="G63" s="36" t="s">
        <v>3682</v>
      </c>
      <c r="H63" s="41">
        <v>38245090</v>
      </c>
      <c r="I63" s="41"/>
      <c r="J63" s="34">
        <v>775</v>
      </c>
      <c r="K63" s="34">
        <v>1241</v>
      </c>
    </row>
    <row r="64" spans="2:11" ht="29">
      <c r="B64" s="34">
        <v>73</v>
      </c>
      <c r="C64" s="35" t="s">
        <v>3796</v>
      </c>
      <c r="D64" s="39" t="s">
        <v>3791</v>
      </c>
      <c r="E64" s="40" t="s">
        <v>3797</v>
      </c>
      <c r="F64" s="40"/>
      <c r="G64" s="36" t="s">
        <v>3798</v>
      </c>
      <c r="H64" s="41">
        <v>68071090</v>
      </c>
      <c r="I64" s="41"/>
      <c r="J64" s="34">
        <v>5024</v>
      </c>
      <c r="K64" s="34">
        <v>8038</v>
      </c>
    </row>
    <row r="65" spans="2:11" ht="12.75" customHeight="1">
      <c r="B65" s="34">
        <v>74</v>
      </c>
      <c r="C65" s="35" t="s">
        <v>3799</v>
      </c>
      <c r="D65" s="45" t="s">
        <v>3800</v>
      </c>
      <c r="E65" s="40" t="s">
        <v>3801</v>
      </c>
      <c r="F65" s="40"/>
      <c r="G65" s="36" t="s">
        <v>3653</v>
      </c>
      <c r="H65" s="41">
        <v>38244090</v>
      </c>
      <c r="I65" s="41"/>
      <c r="J65" s="34">
        <v>2117</v>
      </c>
      <c r="K65" s="34">
        <v>3387</v>
      </c>
    </row>
    <row r="66" spans="2:11" ht="29">
      <c r="B66" s="34">
        <v>75</v>
      </c>
      <c r="C66" s="35" t="s">
        <v>3802</v>
      </c>
      <c r="D66" s="45" t="s">
        <v>3803</v>
      </c>
      <c r="E66" s="40" t="s">
        <v>3804</v>
      </c>
      <c r="F66" s="40"/>
      <c r="G66" s="36" t="s">
        <v>3638</v>
      </c>
      <c r="H66" s="41">
        <v>38244010</v>
      </c>
      <c r="I66" s="41"/>
      <c r="J66" s="34">
        <v>2185</v>
      </c>
      <c r="K66" s="34">
        <v>3496</v>
      </c>
    </row>
    <row r="67" spans="2:11">
      <c r="B67" s="34">
        <v>76</v>
      </c>
      <c r="C67" s="35" t="s">
        <v>3805</v>
      </c>
      <c r="D67" s="45" t="s">
        <v>3806</v>
      </c>
      <c r="E67" s="40" t="s">
        <v>3807</v>
      </c>
      <c r="F67" s="40"/>
      <c r="G67" s="36" t="s">
        <v>3653</v>
      </c>
      <c r="H67" s="41">
        <v>27122090</v>
      </c>
      <c r="I67" s="41"/>
      <c r="J67" s="34">
        <v>2611</v>
      </c>
      <c r="K67" s="34">
        <v>4178</v>
      </c>
    </row>
    <row r="68" spans="2:11" ht="29">
      <c r="B68" s="34">
        <v>77</v>
      </c>
      <c r="C68" s="35" t="s">
        <v>3808</v>
      </c>
      <c r="D68" s="46" t="s">
        <v>3806</v>
      </c>
      <c r="E68" s="40" t="s">
        <v>3809</v>
      </c>
      <c r="F68" s="40"/>
      <c r="G68" s="36" t="s">
        <v>3810</v>
      </c>
      <c r="H68" s="41">
        <v>38244090</v>
      </c>
      <c r="I68" s="41"/>
      <c r="J68" s="34">
        <v>20110</v>
      </c>
      <c r="K68" s="34">
        <v>32176</v>
      </c>
    </row>
    <row r="69" spans="2:11">
      <c r="B69" s="34">
        <v>78</v>
      </c>
      <c r="C69" s="35" t="s">
        <v>3811</v>
      </c>
      <c r="D69" s="47" t="s">
        <v>3806</v>
      </c>
      <c r="E69" s="40" t="s">
        <v>3812</v>
      </c>
      <c r="F69" s="40"/>
      <c r="G69" s="36" t="s">
        <v>3810</v>
      </c>
      <c r="H69" s="41">
        <v>38244090</v>
      </c>
      <c r="I69" s="41"/>
      <c r="J69" s="34">
        <v>21362</v>
      </c>
      <c r="K69" s="34">
        <v>34180</v>
      </c>
    </row>
    <row r="70" spans="2:11" ht="12.75" customHeight="1">
      <c r="B70" s="34">
        <v>79</v>
      </c>
      <c r="C70" s="35" t="s">
        <v>3813</v>
      </c>
      <c r="D70" s="39" t="s">
        <v>3806</v>
      </c>
      <c r="E70" s="40" t="s">
        <v>3814</v>
      </c>
      <c r="F70" s="40"/>
      <c r="G70" s="36" t="s">
        <v>3706</v>
      </c>
      <c r="H70" s="41">
        <v>39073090</v>
      </c>
      <c r="I70" s="41"/>
      <c r="J70" s="34">
        <v>2260</v>
      </c>
      <c r="K70" s="34">
        <v>3616</v>
      </c>
    </row>
    <row r="71" spans="2:11" ht="29">
      <c r="B71" s="34">
        <v>80</v>
      </c>
      <c r="C71" s="35" t="s">
        <v>3815</v>
      </c>
      <c r="D71" s="39" t="s">
        <v>3816</v>
      </c>
      <c r="E71" s="40" t="s">
        <v>3817</v>
      </c>
      <c r="F71" s="40"/>
      <c r="G71" s="36" t="s">
        <v>3818</v>
      </c>
      <c r="H71" s="41">
        <v>32099090</v>
      </c>
      <c r="I71" s="41"/>
      <c r="J71" s="34">
        <v>1423</v>
      </c>
      <c r="K71" s="34">
        <v>2278</v>
      </c>
    </row>
    <row r="72" spans="2:11" ht="29">
      <c r="B72" s="34">
        <v>81</v>
      </c>
      <c r="C72" s="35" t="s">
        <v>3819</v>
      </c>
      <c r="D72" s="39" t="s">
        <v>3816</v>
      </c>
      <c r="E72" s="40" t="s">
        <v>3820</v>
      </c>
      <c r="F72" s="40"/>
      <c r="G72" s="36" t="s">
        <v>3653</v>
      </c>
      <c r="H72" s="41">
        <v>28092010</v>
      </c>
      <c r="I72" s="41"/>
      <c r="J72" s="34">
        <v>5481</v>
      </c>
      <c r="K72" s="34">
        <v>8769</v>
      </c>
    </row>
    <row r="73" spans="2:11" ht="29">
      <c r="B73" s="34">
        <v>82</v>
      </c>
      <c r="C73" s="35" t="s">
        <v>3821</v>
      </c>
      <c r="D73" s="39" t="s">
        <v>3816</v>
      </c>
      <c r="E73" s="40" t="s">
        <v>3822</v>
      </c>
      <c r="F73" s="40"/>
      <c r="G73" s="36" t="s">
        <v>3823</v>
      </c>
      <c r="H73" s="41">
        <v>28092010</v>
      </c>
      <c r="I73" s="41"/>
      <c r="J73" s="34">
        <v>340</v>
      </c>
      <c r="K73" s="34">
        <v>545</v>
      </c>
    </row>
    <row r="74" spans="2:11" ht="29">
      <c r="B74" s="34">
        <v>83</v>
      </c>
      <c r="C74" s="35" t="s">
        <v>3824</v>
      </c>
      <c r="D74" s="39" t="s">
        <v>3816</v>
      </c>
      <c r="E74" s="40" t="s">
        <v>3825</v>
      </c>
      <c r="F74" s="40"/>
      <c r="G74" s="36" t="s">
        <v>3826</v>
      </c>
      <c r="H74" s="41">
        <v>38244090</v>
      </c>
      <c r="I74" s="41"/>
      <c r="J74" s="34">
        <v>252</v>
      </c>
      <c r="K74" s="34">
        <v>403</v>
      </c>
    </row>
    <row r="75" spans="2:11" ht="29">
      <c r="B75" s="34">
        <v>95</v>
      </c>
      <c r="C75" s="35" t="s">
        <v>3827</v>
      </c>
      <c r="D75" s="39" t="s">
        <v>3828</v>
      </c>
      <c r="E75" s="40" t="s">
        <v>3829</v>
      </c>
      <c r="F75" s="40"/>
      <c r="G75" s="36" t="s">
        <v>3830</v>
      </c>
      <c r="H75" s="41">
        <v>39022000</v>
      </c>
      <c r="I75" s="41"/>
      <c r="J75" s="34">
        <v>14282</v>
      </c>
      <c r="K75" s="34">
        <v>22852</v>
      </c>
    </row>
    <row r="76" spans="2:11" ht="29">
      <c r="B76" s="34">
        <v>96</v>
      </c>
      <c r="C76" s="35" t="s">
        <v>3831</v>
      </c>
      <c r="D76" s="39" t="s">
        <v>3828</v>
      </c>
      <c r="E76" s="40" t="s">
        <v>3832</v>
      </c>
      <c r="F76" s="40"/>
      <c r="G76" s="36" t="s">
        <v>3833</v>
      </c>
      <c r="H76" s="41">
        <v>39022090</v>
      </c>
      <c r="I76" s="41"/>
      <c r="J76" s="34">
        <v>21532</v>
      </c>
      <c r="K76" s="34">
        <v>34452</v>
      </c>
    </row>
    <row r="77" spans="2:11">
      <c r="B77" s="34">
        <v>97</v>
      </c>
      <c r="C77" s="35" t="s">
        <v>3834</v>
      </c>
      <c r="D77" s="39" t="s">
        <v>3835</v>
      </c>
      <c r="E77" s="40" t="s">
        <v>3836</v>
      </c>
      <c r="F77" s="40"/>
      <c r="G77" s="42" t="s">
        <v>3837</v>
      </c>
      <c r="H77" s="41">
        <v>29291090</v>
      </c>
      <c r="I77" s="41"/>
      <c r="J77" s="34">
        <v>16128</v>
      </c>
      <c r="K77" s="34">
        <v>25805</v>
      </c>
    </row>
    <row r="78" spans="2:11">
      <c r="B78" s="34">
        <v>98</v>
      </c>
      <c r="C78" s="35" t="s">
        <v>3838</v>
      </c>
      <c r="D78" s="39"/>
      <c r="E78" s="40" t="s">
        <v>3839</v>
      </c>
      <c r="F78" s="40"/>
      <c r="G78" s="36" t="s">
        <v>3653</v>
      </c>
      <c r="H78" s="41">
        <v>39095000</v>
      </c>
      <c r="I78" s="41"/>
      <c r="J78" s="34">
        <v>30639</v>
      </c>
      <c r="K78" s="34">
        <v>49023</v>
      </c>
    </row>
    <row r="79" spans="2:11">
      <c r="B79" s="34">
        <v>99</v>
      </c>
      <c r="C79" s="35" t="s">
        <v>3840</v>
      </c>
      <c r="D79" s="39" t="s">
        <v>3841</v>
      </c>
      <c r="E79" s="40" t="s">
        <v>3842</v>
      </c>
      <c r="F79" s="40"/>
      <c r="G79" s="36" t="s">
        <v>3843</v>
      </c>
      <c r="H79" s="41">
        <v>39205999</v>
      </c>
      <c r="I79" s="41"/>
      <c r="J79" s="34">
        <v>43391</v>
      </c>
      <c r="K79" s="34">
        <v>69426</v>
      </c>
    </row>
    <row r="80" spans="2:11">
      <c r="C80" s="35"/>
      <c r="D80" s="39"/>
      <c r="E80" s="40"/>
      <c r="F80" s="40"/>
      <c r="G80" s="36"/>
      <c r="H80" s="41"/>
      <c r="I80" s="41"/>
    </row>
    <row r="81" spans="2:11">
      <c r="B81" s="34">
        <v>98</v>
      </c>
      <c r="C81" s="48" t="s">
        <v>3838</v>
      </c>
      <c r="D81" s="49"/>
      <c r="E81" s="50" t="s">
        <v>3839</v>
      </c>
      <c r="F81" s="50"/>
      <c r="G81" s="51" t="s">
        <v>3844</v>
      </c>
      <c r="H81" s="52">
        <v>39095000</v>
      </c>
      <c r="I81" s="52"/>
      <c r="J81" s="34">
        <v>30639</v>
      </c>
      <c r="K81" s="34">
        <v>49023</v>
      </c>
    </row>
    <row r="82" spans="2:11">
      <c r="B82" s="34">
        <v>99</v>
      </c>
      <c r="C82" s="48" t="s">
        <v>3840</v>
      </c>
      <c r="D82" s="53" t="s">
        <v>3841</v>
      </c>
      <c r="E82" s="50" t="s">
        <v>3842</v>
      </c>
      <c r="F82" s="50"/>
      <c r="G82" s="51" t="s">
        <v>3845</v>
      </c>
      <c r="H82" s="52">
        <v>39205999</v>
      </c>
      <c r="I82" s="52"/>
      <c r="J82" s="34">
        <v>43391</v>
      </c>
      <c r="K82" s="34">
        <v>69426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1FD4-534B-44DF-AEFE-5A49C69B373F}">
  <dimension ref="A1:P19"/>
  <sheetViews>
    <sheetView workbookViewId="0">
      <selection activeCell="B22" sqref="B22"/>
    </sheetView>
  </sheetViews>
  <sheetFormatPr defaultColWidth="9.1796875" defaultRowHeight="14.5"/>
  <cols>
    <col min="1" max="1" width="16.26953125" customWidth="1"/>
    <col min="2" max="2" width="25.26953125" customWidth="1"/>
    <col min="3" max="3" width="15.81640625" customWidth="1"/>
    <col min="4" max="4" width="15.7265625" style="2" bestFit="1" customWidth="1"/>
    <col min="5" max="5" width="43.81640625" style="3" customWidth="1"/>
    <col min="6" max="6" width="23.54296875" customWidth="1"/>
    <col min="7" max="7" width="15.7265625" customWidth="1"/>
    <col min="8" max="8" width="18" customWidth="1"/>
    <col min="9" max="9" width="12.54296875" customWidth="1"/>
    <col min="10" max="10" width="16" customWidth="1"/>
    <col min="11" max="11" width="13.81640625" customWidth="1"/>
    <col min="12" max="12" width="16" customWidth="1"/>
    <col min="13" max="13" width="13.81640625" customWidth="1"/>
    <col min="14" max="14" width="16" customWidth="1"/>
    <col min="15" max="15" width="12.90625" customWidth="1"/>
  </cols>
  <sheetData>
    <row r="1" spans="1:16" s="1" customFormat="1" ht="31">
      <c r="A1" s="17" t="s">
        <v>0</v>
      </c>
      <c r="B1" s="18" t="s">
        <v>1</v>
      </c>
      <c r="C1" s="19" t="s">
        <v>3</v>
      </c>
      <c r="D1" s="20" t="s">
        <v>5</v>
      </c>
      <c r="E1" s="19" t="s">
        <v>6</v>
      </c>
      <c r="F1" s="19" t="s">
        <v>7</v>
      </c>
      <c r="G1" s="21" t="s">
        <v>9</v>
      </c>
      <c r="H1" s="19" t="s">
        <v>10</v>
      </c>
      <c r="I1" s="19" t="s">
        <v>11</v>
      </c>
      <c r="J1" s="21" t="s">
        <v>12</v>
      </c>
      <c r="K1" s="19" t="s">
        <v>13</v>
      </c>
      <c r="L1" s="19" t="s">
        <v>14</v>
      </c>
      <c r="M1" s="19" t="s">
        <v>15</v>
      </c>
      <c r="N1" s="19" t="s">
        <v>16</v>
      </c>
      <c r="O1" s="19" t="s">
        <v>17</v>
      </c>
      <c r="P1" s="19" t="s">
        <v>18</v>
      </c>
    </row>
    <row r="2" spans="1:16">
      <c r="A2" t="s">
        <v>3505</v>
      </c>
      <c r="B2" t="s">
        <v>3506</v>
      </c>
      <c r="C2" t="s">
        <v>3507</v>
      </c>
      <c r="D2" s="22" t="s">
        <v>3508</v>
      </c>
      <c r="E2" s="23" t="s">
        <v>3509</v>
      </c>
      <c r="F2" s="23" t="s">
        <v>3509</v>
      </c>
      <c r="H2" s="24" t="s">
        <v>3510</v>
      </c>
      <c r="I2" t="s">
        <v>3511</v>
      </c>
      <c r="J2" s="16">
        <v>3214</v>
      </c>
      <c r="K2" t="s">
        <v>3477</v>
      </c>
      <c r="L2">
        <v>18</v>
      </c>
      <c r="M2" t="s">
        <v>3477</v>
      </c>
      <c r="N2">
        <v>18</v>
      </c>
      <c r="O2">
        <v>16377.48</v>
      </c>
      <c r="P2">
        <v>11698.199999999999</v>
      </c>
    </row>
    <row r="3" spans="1:16">
      <c r="A3" t="s">
        <v>3505</v>
      </c>
      <c r="B3" t="s">
        <v>3506</v>
      </c>
      <c r="C3" t="s">
        <v>3507</v>
      </c>
      <c r="D3" s="22" t="s">
        <v>3512</v>
      </c>
      <c r="E3" s="23" t="s">
        <v>3513</v>
      </c>
      <c r="F3" s="23" t="s">
        <v>3513</v>
      </c>
      <c r="H3" s="24" t="s">
        <v>3514</v>
      </c>
      <c r="I3" t="s">
        <v>3515</v>
      </c>
      <c r="J3" s="16">
        <v>29163990</v>
      </c>
      <c r="K3" t="s">
        <v>3477</v>
      </c>
      <c r="L3">
        <v>18</v>
      </c>
      <c r="M3" t="s">
        <v>3477</v>
      </c>
      <c r="N3">
        <v>18</v>
      </c>
      <c r="O3">
        <v>1117.2</v>
      </c>
      <c r="P3">
        <v>798</v>
      </c>
    </row>
    <row r="4" spans="1:16">
      <c r="A4" t="s">
        <v>3505</v>
      </c>
      <c r="B4" t="s">
        <v>3506</v>
      </c>
      <c r="C4" t="s">
        <v>3507</v>
      </c>
      <c r="D4" s="22" t="s">
        <v>3516</v>
      </c>
      <c r="E4" s="23" t="s">
        <v>3517</v>
      </c>
      <c r="F4" s="23" t="s">
        <v>3517</v>
      </c>
      <c r="H4" s="24" t="s">
        <v>3514</v>
      </c>
      <c r="I4" t="s">
        <v>3515</v>
      </c>
      <c r="J4" s="16">
        <v>3214</v>
      </c>
      <c r="K4" t="s">
        <v>3477</v>
      </c>
      <c r="L4">
        <v>18</v>
      </c>
      <c r="M4" t="s">
        <v>3477</v>
      </c>
      <c r="N4">
        <v>18</v>
      </c>
      <c r="O4">
        <v>153.30000000000001</v>
      </c>
      <c r="P4">
        <v>109.5</v>
      </c>
    </row>
    <row r="5" spans="1:16">
      <c r="A5" t="s">
        <v>3505</v>
      </c>
      <c r="B5" t="s">
        <v>3518</v>
      </c>
      <c r="C5" t="s">
        <v>3507</v>
      </c>
      <c r="D5" s="22" t="s">
        <v>3519</v>
      </c>
      <c r="E5" s="23" t="s">
        <v>3520</v>
      </c>
      <c r="F5" s="23" t="s">
        <v>3520</v>
      </c>
      <c r="H5" s="24" t="s">
        <v>3510</v>
      </c>
      <c r="I5" t="s">
        <v>3511</v>
      </c>
      <c r="J5" s="16">
        <v>39073090</v>
      </c>
      <c r="K5" t="s">
        <v>3477</v>
      </c>
      <c r="L5">
        <v>18</v>
      </c>
      <c r="M5" t="s">
        <v>3477</v>
      </c>
      <c r="N5">
        <v>18</v>
      </c>
      <c r="O5">
        <v>11368</v>
      </c>
      <c r="P5">
        <v>8120</v>
      </c>
    </row>
    <row r="6" spans="1:16">
      <c r="A6" t="s">
        <v>3505</v>
      </c>
      <c r="B6" t="s">
        <v>3518</v>
      </c>
      <c r="C6" t="s">
        <v>3507</v>
      </c>
      <c r="D6" s="22" t="s">
        <v>3521</v>
      </c>
      <c r="E6" s="23" t="s">
        <v>3522</v>
      </c>
      <c r="F6" s="23" t="s">
        <v>3522</v>
      </c>
      <c r="H6" s="24" t="s">
        <v>3510</v>
      </c>
      <c r="I6" t="s">
        <v>3511</v>
      </c>
      <c r="J6" s="16">
        <v>3214</v>
      </c>
      <c r="K6" t="s">
        <v>3477</v>
      </c>
      <c r="L6">
        <v>18</v>
      </c>
      <c r="M6" t="s">
        <v>3477</v>
      </c>
      <c r="N6">
        <v>18</v>
      </c>
      <c r="O6">
        <v>4872</v>
      </c>
      <c r="P6">
        <v>3480</v>
      </c>
    </row>
    <row r="7" spans="1:16">
      <c r="A7" t="s">
        <v>3505</v>
      </c>
      <c r="B7" t="s">
        <v>3518</v>
      </c>
      <c r="C7" t="s">
        <v>3507</v>
      </c>
      <c r="D7" s="22" t="s">
        <v>3523</v>
      </c>
      <c r="E7" s="23" t="s">
        <v>3524</v>
      </c>
      <c r="F7" s="23" t="s">
        <v>3524</v>
      </c>
      <c r="H7" s="24" t="s">
        <v>3510</v>
      </c>
      <c r="I7" t="s">
        <v>3511</v>
      </c>
      <c r="J7" s="16">
        <v>3214</v>
      </c>
      <c r="K7" t="s">
        <v>3477</v>
      </c>
      <c r="L7">
        <v>18</v>
      </c>
      <c r="M7" t="s">
        <v>3477</v>
      </c>
      <c r="N7">
        <v>18</v>
      </c>
      <c r="O7">
        <v>3633.84</v>
      </c>
      <c r="P7">
        <v>2595.6</v>
      </c>
    </row>
    <row r="8" spans="1:16">
      <c r="A8" t="s">
        <v>3505</v>
      </c>
      <c r="B8" t="s">
        <v>3518</v>
      </c>
      <c r="C8" t="s">
        <v>3507</v>
      </c>
      <c r="D8" s="22" t="s">
        <v>3525</v>
      </c>
      <c r="E8" s="23" t="s">
        <v>3526</v>
      </c>
      <c r="F8" s="23" t="s">
        <v>3526</v>
      </c>
      <c r="H8" s="24" t="s">
        <v>3510</v>
      </c>
      <c r="I8" t="s">
        <v>3511</v>
      </c>
      <c r="J8" s="16">
        <v>3214</v>
      </c>
      <c r="K8" t="s">
        <v>3477</v>
      </c>
      <c r="L8">
        <v>18</v>
      </c>
      <c r="M8" t="s">
        <v>3477</v>
      </c>
      <c r="N8">
        <v>18</v>
      </c>
      <c r="O8">
        <v>1557.3600000000001</v>
      </c>
      <c r="P8">
        <v>1112.4000000000001</v>
      </c>
    </row>
    <row r="9" spans="1:16">
      <c r="A9" t="s">
        <v>3505</v>
      </c>
      <c r="B9" t="s">
        <v>3527</v>
      </c>
      <c r="C9" t="s">
        <v>3507</v>
      </c>
      <c r="D9" s="22" t="s">
        <v>3528</v>
      </c>
      <c r="E9" s="23" t="s">
        <v>3529</v>
      </c>
      <c r="F9" s="23" t="s">
        <v>3529</v>
      </c>
      <c r="H9" s="24" t="s">
        <v>3510</v>
      </c>
      <c r="I9" t="s">
        <v>3511</v>
      </c>
      <c r="J9" s="16">
        <v>32091090</v>
      </c>
      <c r="K9" t="s">
        <v>3477</v>
      </c>
      <c r="L9">
        <v>18</v>
      </c>
      <c r="M9" t="s">
        <v>3477</v>
      </c>
      <c r="N9">
        <v>18</v>
      </c>
      <c r="O9">
        <v>12180</v>
      </c>
      <c r="P9">
        <v>8700</v>
      </c>
    </row>
    <row r="10" spans="1:16">
      <c r="A10" t="s">
        <v>3505</v>
      </c>
      <c r="B10" t="s">
        <v>3530</v>
      </c>
      <c r="C10" t="s">
        <v>3507</v>
      </c>
      <c r="D10" s="22" t="s">
        <v>3531</v>
      </c>
      <c r="E10" s="23" t="s">
        <v>3532</v>
      </c>
      <c r="F10" s="23" t="s">
        <v>3532</v>
      </c>
      <c r="H10" s="24" t="s">
        <v>3510</v>
      </c>
      <c r="I10" t="s">
        <v>3511</v>
      </c>
      <c r="J10" s="16">
        <v>39119090</v>
      </c>
      <c r="K10" t="s">
        <v>3477</v>
      </c>
      <c r="L10">
        <v>18</v>
      </c>
      <c r="M10" t="s">
        <v>3477</v>
      </c>
      <c r="N10">
        <v>18</v>
      </c>
      <c r="O10">
        <v>9305.1</v>
      </c>
      <c r="P10">
        <v>6646.5</v>
      </c>
    </row>
    <row r="11" spans="1:16">
      <c r="A11" t="s">
        <v>3505</v>
      </c>
      <c r="B11" t="s">
        <v>3530</v>
      </c>
      <c r="C11" t="s">
        <v>3507</v>
      </c>
      <c r="D11" s="22" t="s">
        <v>3533</v>
      </c>
      <c r="E11" s="23" t="s">
        <v>3534</v>
      </c>
      <c r="F11" s="23" t="s">
        <v>3534</v>
      </c>
      <c r="H11" s="24" t="s">
        <v>3510</v>
      </c>
      <c r="I11" t="s">
        <v>3511</v>
      </c>
      <c r="J11" s="16">
        <v>39073090</v>
      </c>
      <c r="K11" t="s">
        <v>3477</v>
      </c>
      <c r="L11">
        <v>18</v>
      </c>
      <c r="M11" t="s">
        <v>3477</v>
      </c>
      <c r="N11">
        <v>18</v>
      </c>
      <c r="O11">
        <v>1550.85</v>
      </c>
      <c r="P11">
        <v>1107.75</v>
      </c>
    </row>
    <row r="12" spans="1:16">
      <c r="A12" t="s">
        <v>3505</v>
      </c>
      <c r="B12" t="s">
        <v>3535</v>
      </c>
      <c r="C12" t="s">
        <v>3507</v>
      </c>
      <c r="D12" s="22" t="s">
        <v>3536</v>
      </c>
      <c r="E12" s="23" t="s">
        <v>3537</v>
      </c>
      <c r="F12" s="23" t="s">
        <v>3537</v>
      </c>
      <c r="H12" s="24" t="s">
        <v>3538</v>
      </c>
      <c r="I12" t="s">
        <v>3539</v>
      </c>
      <c r="J12" s="16">
        <v>56039300</v>
      </c>
      <c r="K12" t="s">
        <v>3488</v>
      </c>
      <c r="L12">
        <v>12</v>
      </c>
      <c r="M12" t="s">
        <v>3488</v>
      </c>
      <c r="N12">
        <v>12</v>
      </c>
      <c r="O12">
        <v>12789</v>
      </c>
      <c r="P12">
        <v>9135</v>
      </c>
    </row>
    <row r="13" spans="1:16">
      <c r="A13" t="s">
        <v>3505</v>
      </c>
      <c r="B13" t="s">
        <v>3535</v>
      </c>
      <c r="C13" t="s">
        <v>3507</v>
      </c>
      <c r="D13" s="22" t="s">
        <v>3540</v>
      </c>
      <c r="E13" s="23" t="s">
        <v>3541</v>
      </c>
      <c r="F13" s="23" t="s">
        <v>3541</v>
      </c>
      <c r="H13" s="24" t="s">
        <v>3538</v>
      </c>
      <c r="I13" t="s">
        <v>3539</v>
      </c>
      <c r="J13" s="16">
        <v>56039400</v>
      </c>
      <c r="K13" t="s">
        <v>3488</v>
      </c>
      <c r="L13">
        <v>12</v>
      </c>
      <c r="M13" t="s">
        <v>3488</v>
      </c>
      <c r="N13">
        <v>12</v>
      </c>
      <c r="O13">
        <v>7056</v>
      </c>
      <c r="P13">
        <v>5040</v>
      </c>
    </row>
    <row r="14" spans="1:16">
      <c r="A14" t="s">
        <v>3505</v>
      </c>
      <c r="B14" t="s">
        <v>3506</v>
      </c>
      <c r="C14" t="s">
        <v>3507</v>
      </c>
      <c r="D14" s="22" t="s">
        <v>3542</v>
      </c>
      <c r="E14" s="23" t="s">
        <v>3543</v>
      </c>
      <c r="F14" s="23" t="s">
        <v>3543</v>
      </c>
      <c r="H14" s="24" t="s">
        <v>3510</v>
      </c>
      <c r="I14" t="s">
        <v>3511</v>
      </c>
      <c r="J14" s="16">
        <v>39073090</v>
      </c>
      <c r="K14" t="s">
        <v>3477</v>
      </c>
      <c r="L14">
        <v>18</v>
      </c>
      <c r="M14" t="s">
        <v>3477</v>
      </c>
      <c r="N14">
        <v>18</v>
      </c>
      <c r="O14">
        <v>10822</v>
      </c>
      <c r="P14">
        <v>7730</v>
      </c>
    </row>
    <row r="15" spans="1:16">
      <c r="A15" t="s">
        <v>3505</v>
      </c>
      <c r="B15" t="s">
        <v>3506</v>
      </c>
      <c r="C15" t="s">
        <v>3507</v>
      </c>
      <c r="D15" s="22" t="s">
        <v>3544</v>
      </c>
      <c r="E15" s="23" t="s">
        <v>3545</v>
      </c>
      <c r="F15" s="23" t="s">
        <v>3545</v>
      </c>
      <c r="H15" s="24" t="s">
        <v>3510</v>
      </c>
      <c r="I15" t="s">
        <v>3511</v>
      </c>
      <c r="J15" s="16">
        <v>29213090</v>
      </c>
      <c r="K15" t="s">
        <v>3477</v>
      </c>
      <c r="L15">
        <v>18</v>
      </c>
      <c r="M15" t="s">
        <v>3477</v>
      </c>
      <c r="N15">
        <v>18</v>
      </c>
      <c r="O15">
        <v>2164.4</v>
      </c>
      <c r="P15">
        <v>1546</v>
      </c>
    </row>
    <row r="16" spans="1:16">
      <c r="A16" t="s">
        <v>3505</v>
      </c>
      <c r="B16" t="s">
        <v>3546</v>
      </c>
      <c r="C16" t="s">
        <v>3507</v>
      </c>
      <c r="D16" s="22" t="s">
        <v>3547</v>
      </c>
      <c r="E16" s="23" t="s">
        <v>3548</v>
      </c>
      <c r="F16" s="23" t="s">
        <v>3548</v>
      </c>
      <c r="H16" s="24" t="s">
        <v>3510</v>
      </c>
      <c r="I16" t="s">
        <v>3511</v>
      </c>
      <c r="J16" s="16">
        <v>25061020</v>
      </c>
      <c r="K16" t="s">
        <v>3477</v>
      </c>
      <c r="L16">
        <v>18</v>
      </c>
      <c r="M16" t="s">
        <v>3477</v>
      </c>
      <c r="N16">
        <v>18</v>
      </c>
      <c r="O16">
        <v>126</v>
      </c>
      <c r="P16">
        <v>90</v>
      </c>
    </row>
    <row r="17" spans="1:16">
      <c r="A17" t="s">
        <v>3505</v>
      </c>
      <c r="B17" t="s">
        <v>3535</v>
      </c>
      <c r="C17" t="s">
        <v>3507</v>
      </c>
      <c r="D17" s="22" t="s">
        <v>3536</v>
      </c>
      <c r="E17" s="23" t="s">
        <v>3549</v>
      </c>
      <c r="F17" s="23" t="s">
        <v>3549</v>
      </c>
      <c r="H17" s="24" t="s">
        <v>3538</v>
      </c>
      <c r="I17" t="s">
        <v>3539</v>
      </c>
      <c r="J17" s="16">
        <v>56039300</v>
      </c>
      <c r="K17" t="s">
        <v>3488</v>
      </c>
      <c r="L17">
        <v>12</v>
      </c>
      <c r="M17" t="s">
        <v>3488</v>
      </c>
      <c r="N17">
        <v>12</v>
      </c>
      <c r="O17">
        <v>12789</v>
      </c>
      <c r="P17">
        <v>9135</v>
      </c>
    </row>
    <row r="18" spans="1:16">
      <c r="A18" t="s">
        <v>3505</v>
      </c>
      <c r="B18" t="s">
        <v>3535</v>
      </c>
      <c r="C18" t="s">
        <v>3507</v>
      </c>
      <c r="D18" s="22" t="s">
        <v>3550</v>
      </c>
      <c r="E18" s="23" t="s">
        <v>3551</v>
      </c>
      <c r="F18" s="23" t="s">
        <v>3551</v>
      </c>
      <c r="H18" s="24" t="s">
        <v>3510</v>
      </c>
      <c r="I18" t="s">
        <v>3511</v>
      </c>
      <c r="J18" s="16">
        <v>3214</v>
      </c>
      <c r="K18" t="s">
        <v>3477</v>
      </c>
      <c r="L18">
        <v>18</v>
      </c>
      <c r="M18" t="s">
        <v>3477</v>
      </c>
      <c r="N18">
        <v>18</v>
      </c>
      <c r="O18">
        <v>17535</v>
      </c>
      <c r="P18">
        <v>12525</v>
      </c>
    </row>
    <row r="19" spans="1:16">
      <c r="A19" t="s">
        <v>3505</v>
      </c>
      <c r="B19" t="s">
        <v>3552</v>
      </c>
      <c r="C19" t="s">
        <v>3507</v>
      </c>
      <c r="D19" s="25" t="s">
        <v>3553</v>
      </c>
      <c r="E19" s="26" t="s">
        <v>3554</v>
      </c>
      <c r="F19" s="26" t="s">
        <v>3554</v>
      </c>
      <c r="H19" s="27" t="s">
        <v>3555</v>
      </c>
      <c r="I19" t="s">
        <v>3556</v>
      </c>
      <c r="J19" s="28">
        <v>29024400</v>
      </c>
      <c r="K19" t="s">
        <v>3477</v>
      </c>
      <c r="L19">
        <v>18</v>
      </c>
      <c r="M19" t="s">
        <v>3477</v>
      </c>
      <c r="N19">
        <v>18</v>
      </c>
      <c r="O19">
        <v>920.5</v>
      </c>
      <c r="P19">
        <v>657.5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120B-4183-4C6E-B6E3-931F4F1C7C84}">
  <dimension ref="A1:G190"/>
  <sheetViews>
    <sheetView topLeftCell="A118" workbookViewId="0">
      <selection activeCell="A108" sqref="A108:XFD110"/>
    </sheetView>
  </sheetViews>
  <sheetFormatPr defaultColWidth="8.81640625" defaultRowHeight="12.5"/>
  <cols>
    <col min="1" max="1" width="19.453125" style="62" bestFit="1" customWidth="1"/>
    <col min="2" max="2" width="19.54296875" style="62" bestFit="1" customWidth="1"/>
    <col min="3" max="3" width="45.7265625" style="62" bestFit="1" customWidth="1"/>
    <col min="4" max="4" width="9.7265625" style="62" bestFit="1" customWidth="1"/>
    <col min="5" max="5" width="8.81640625" style="62"/>
    <col min="6" max="6" width="14.26953125" style="62" bestFit="1" customWidth="1"/>
    <col min="7" max="7" width="14.26953125" style="62" customWidth="1"/>
    <col min="8" max="16384" width="8.81640625" style="62"/>
  </cols>
  <sheetData>
    <row r="1" spans="1:7" s="56" customFormat="1" ht="26.5" customHeight="1">
      <c r="A1" s="54" t="s">
        <v>3846</v>
      </c>
      <c r="B1" s="54" t="s">
        <v>3559</v>
      </c>
      <c r="C1" s="55" t="s">
        <v>4176</v>
      </c>
      <c r="D1" s="54" t="s">
        <v>4177</v>
      </c>
      <c r="E1" s="54" t="s">
        <v>3847</v>
      </c>
      <c r="F1" s="54" t="s">
        <v>3848</v>
      </c>
      <c r="G1" s="54" t="s">
        <v>17</v>
      </c>
    </row>
    <row r="2" spans="1:7">
      <c r="A2" s="57" t="s">
        <v>3849</v>
      </c>
      <c r="B2" s="58" t="s">
        <v>4020</v>
      </c>
      <c r="C2" s="59" t="s">
        <v>3850</v>
      </c>
      <c r="D2" s="60" t="s">
        <v>3618</v>
      </c>
      <c r="E2" s="60">
        <v>1</v>
      </c>
      <c r="F2" s="61">
        <v>16320</v>
      </c>
      <c r="G2" s="61">
        <v>22848</v>
      </c>
    </row>
    <row r="3" spans="1:7">
      <c r="A3" s="57" t="s">
        <v>3849</v>
      </c>
      <c r="B3" s="58" t="s">
        <v>4021</v>
      </c>
      <c r="C3" s="59" t="s">
        <v>3851</v>
      </c>
      <c r="D3" s="60" t="s">
        <v>3618</v>
      </c>
      <c r="E3" s="60">
        <v>1</v>
      </c>
      <c r="F3" s="61">
        <v>17280</v>
      </c>
      <c r="G3" s="61">
        <v>24192</v>
      </c>
    </row>
    <row r="4" spans="1:7">
      <c r="A4" s="57" t="s">
        <v>3849</v>
      </c>
      <c r="B4" s="58" t="s">
        <v>4022</v>
      </c>
      <c r="C4" s="59" t="s">
        <v>3852</v>
      </c>
      <c r="D4" s="60" t="s">
        <v>3618</v>
      </c>
      <c r="E4" s="60">
        <v>1</v>
      </c>
      <c r="F4" s="61">
        <v>3750</v>
      </c>
      <c r="G4" s="61">
        <v>5250</v>
      </c>
    </row>
    <row r="5" spans="1:7">
      <c r="A5" s="57" t="s">
        <v>3849</v>
      </c>
      <c r="B5" s="58" t="s">
        <v>4023</v>
      </c>
      <c r="C5" s="59" t="s">
        <v>3853</v>
      </c>
      <c r="D5" s="60" t="s">
        <v>3618</v>
      </c>
      <c r="E5" s="60">
        <v>1</v>
      </c>
      <c r="F5" s="61">
        <v>2480</v>
      </c>
      <c r="G5" s="61">
        <v>3472</v>
      </c>
    </row>
    <row r="6" spans="1:7">
      <c r="A6" s="57" t="s">
        <v>3849</v>
      </c>
      <c r="B6" s="58" t="s">
        <v>4024</v>
      </c>
      <c r="C6" s="63" t="s">
        <v>3854</v>
      </c>
      <c r="D6" s="60" t="s">
        <v>3618</v>
      </c>
      <c r="E6" s="60">
        <v>1</v>
      </c>
      <c r="F6" s="61">
        <v>12600</v>
      </c>
      <c r="G6" s="61">
        <v>17640</v>
      </c>
    </row>
    <row r="7" spans="1:7">
      <c r="A7" s="57" t="s">
        <v>3849</v>
      </c>
      <c r="B7" s="58" t="s">
        <v>4025</v>
      </c>
      <c r="C7" s="59" t="s">
        <v>3855</v>
      </c>
      <c r="D7" s="60" t="s">
        <v>3618</v>
      </c>
      <c r="E7" s="60">
        <v>1</v>
      </c>
      <c r="F7" s="61">
        <v>24000</v>
      </c>
      <c r="G7" s="61">
        <v>33600</v>
      </c>
    </row>
    <row r="8" spans="1:7">
      <c r="A8" s="57" t="s">
        <v>3849</v>
      </c>
      <c r="B8" s="58" t="s">
        <v>4026</v>
      </c>
      <c r="C8" s="59" t="s">
        <v>3856</v>
      </c>
      <c r="D8" s="60" t="s">
        <v>3618</v>
      </c>
      <c r="E8" s="60">
        <v>1</v>
      </c>
      <c r="F8" s="61">
        <v>2180</v>
      </c>
      <c r="G8" s="61">
        <v>3052</v>
      </c>
    </row>
    <row r="9" spans="1:7">
      <c r="A9" s="57" t="s">
        <v>3849</v>
      </c>
      <c r="B9" s="58" t="s">
        <v>4027</v>
      </c>
      <c r="C9" s="59" t="s">
        <v>3857</v>
      </c>
      <c r="D9" s="60" t="s">
        <v>3618</v>
      </c>
      <c r="E9" s="60">
        <v>1</v>
      </c>
      <c r="F9" s="61">
        <v>17280</v>
      </c>
      <c r="G9" s="61">
        <v>24192</v>
      </c>
    </row>
    <row r="10" spans="1:7">
      <c r="A10" s="57" t="s">
        <v>3849</v>
      </c>
      <c r="B10" s="58" t="s">
        <v>4028</v>
      </c>
      <c r="C10" s="59" t="s">
        <v>3858</v>
      </c>
      <c r="D10" s="60" t="s">
        <v>3618</v>
      </c>
      <c r="E10" s="60">
        <v>1</v>
      </c>
      <c r="F10" s="61">
        <v>14800</v>
      </c>
      <c r="G10" s="61">
        <v>20720</v>
      </c>
    </row>
    <row r="11" spans="1:7">
      <c r="A11" s="57" t="s">
        <v>3849</v>
      </c>
      <c r="B11" s="58" t="s">
        <v>4029</v>
      </c>
      <c r="C11" s="64" t="s">
        <v>3859</v>
      </c>
      <c r="D11" s="60" t="s">
        <v>3618</v>
      </c>
      <c r="E11" s="60">
        <v>1</v>
      </c>
      <c r="F11" s="61">
        <v>34560</v>
      </c>
      <c r="G11" s="61">
        <v>48384</v>
      </c>
    </row>
    <row r="12" spans="1:7">
      <c r="A12" s="57" t="s">
        <v>3849</v>
      </c>
      <c r="B12" s="58" t="s">
        <v>4030</v>
      </c>
      <c r="C12" s="64" t="s">
        <v>3860</v>
      </c>
      <c r="D12" s="60" t="s">
        <v>3618</v>
      </c>
      <c r="E12" s="60">
        <v>1</v>
      </c>
      <c r="F12" s="61">
        <v>24720</v>
      </c>
      <c r="G12" s="61">
        <v>34608</v>
      </c>
    </row>
    <row r="13" spans="1:7">
      <c r="A13" s="57" t="s">
        <v>3849</v>
      </c>
      <c r="B13" s="58" t="s">
        <v>4031</v>
      </c>
      <c r="C13" s="64" t="s">
        <v>3861</v>
      </c>
      <c r="D13" s="60" t="s">
        <v>3618</v>
      </c>
      <c r="E13" s="60">
        <v>1</v>
      </c>
      <c r="F13" s="61">
        <v>26400</v>
      </c>
      <c r="G13" s="61">
        <v>36960</v>
      </c>
    </row>
    <row r="14" spans="1:7">
      <c r="A14" s="57" t="s">
        <v>3849</v>
      </c>
      <c r="B14" s="58" t="s">
        <v>4032</v>
      </c>
      <c r="C14" s="64" t="s">
        <v>3862</v>
      </c>
      <c r="D14" s="60" t="s">
        <v>3618</v>
      </c>
      <c r="E14" s="60">
        <v>1</v>
      </c>
      <c r="F14" s="61">
        <v>16800</v>
      </c>
      <c r="G14" s="61">
        <v>23520</v>
      </c>
    </row>
    <row r="15" spans="1:7">
      <c r="A15" s="57" t="s">
        <v>3849</v>
      </c>
      <c r="B15" s="58" t="s">
        <v>4033</v>
      </c>
      <c r="C15" s="59" t="s">
        <v>3863</v>
      </c>
      <c r="D15" s="60" t="s">
        <v>3618</v>
      </c>
      <c r="E15" s="60">
        <v>1</v>
      </c>
      <c r="F15" s="61">
        <v>3440</v>
      </c>
      <c r="G15" s="61">
        <v>4816</v>
      </c>
    </row>
    <row r="16" spans="1:7">
      <c r="A16" s="57" t="s">
        <v>3849</v>
      </c>
      <c r="B16" s="58" t="s">
        <v>4034</v>
      </c>
      <c r="C16" s="59" t="s">
        <v>3864</v>
      </c>
      <c r="D16" s="60" t="s">
        <v>3618</v>
      </c>
      <c r="E16" s="60">
        <v>1</v>
      </c>
      <c r="F16" s="61">
        <v>3405</v>
      </c>
      <c r="G16" s="61">
        <v>4767</v>
      </c>
    </row>
    <row r="17" spans="1:7">
      <c r="A17" s="57" t="s">
        <v>3849</v>
      </c>
      <c r="B17" s="58" t="s">
        <v>4035</v>
      </c>
      <c r="C17" s="59" t="s">
        <v>3865</v>
      </c>
      <c r="D17" s="60" t="s">
        <v>3618</v>
      </c>
      <c r="E17" s="60">
        <v>1</v>
      </c>
      <c r="F17" s="61">
        <v>2663</v>
      </c>
      <c r="G17" s="61">
        <v>3728.2</v>
      </c>
    </row>
    <row r="18" spans="1:7">
      <c r="A18" s="57" t="s">
        <v>3849</v>
      </c>
      <c r="B18" s="58" t="s">
        <v>4036</v>
      </c>
      <c r="C18" s="59" t="s">
        <v>3866</v>
      </c>
      <c r="D18" s="60" t="s">
        <v>3618</v>
      </c>
      <c r="E18" s="60">
        <v>1</v>
      </c>
      <c r="F18" s="61">
        <v>4513</v>
      </c>
      <c r="G18" s="61">
        <v>6318.2</v>
      </c>
    </row>
    <row r="19" spans="1:7">
      <c r="A19" s="57" t="s">
        <v>3849</v>
      </c>
      <c r="B19" s="58" t="s">
        <v>4037</v>
      </c>
      <c r="C19" s="59" t="s">
        <v>3867</v>
      </c>
      <c r="D19" s="60" t="s">
        <v>3618</v>
      </c>
      <c r="E19" s="60">
        <v>1</v>
      </c>
      <c r="F19" s="61">
        <v>889</v>
      </c>
      <c r="G19" s="61">
        <v>1244.5999999999999</v>
      </c>
    </row>
    <row r="20" spans="1:7" ht="14.5">
      <c r="A20" s="57" t="s">
        <v>3849</v>
      </c>
      <c r="B20" s="58" t="s">
        <v>4038</v>
      </c>
      <c r="C20" s="59" t="s">
        <v>3868</v>
      </c>
      <c r="D20" s="69" t="s">
        <v>4178</v>
      </c>
      <c r="E20" s="60">
        <v>1</v>
      </c>
      <c r="F20" s="61">
        <v>1552.07</v>
      </c>
      <c r="G20" s="61">
        <v>2172.8980000000001</v>
      </c>
    </row>
    <row r="21" spans="1:7">
      <c r="A21" s="57" t="s">
        <v>3849</v>
      </c>
      <c r="B21" s="58" t="s">
        <v>4039</v>
      </c>
      <c r="C21" s="59" t="s">
        <v>3869</v>
      </c>
      <c r="D21" s="60" t="s">
        <v>3618</v>
      </c>
      <c r="E21" s="60">
        <v>1</v>
      </c>
      <c r="F21" s="61">
        <v>15100</v>
      </c>
      <c r="G21" s="61">
        <v>21140</v>
      </c>
    </row>
    <row r="22" spans="1:7">
      <c r="A22" s="57" t="s">
        <v>3870</v>
      </c>
      <c r="B22" s="58" t="s">
        <v>4040</v>
      </c>
      <c r="C22" s="59" t="s">
        <v>3871</v>
      </c>
      <c r="D22" s="60" t="s">
        <v>3515</v>
      </c>
      <c r="E22" s="60">
        <v>1</v>
      </c>
      <c r="F22" s="61">
        <v>8062</v>
      </c>
      <c r="G22" s="61">
        <v>11286.8</v>
      </c>
    </row>
    <row r="23" spans="1:7">
      <c r="A23" s="57" t="s">
        <v>3870</v>
      </c>
      <c r="B23" s="58" t="s">
        <v>4041</v>
      </c>
      <c r="C23" s="59" t="s">
        <v>3872</v>
      </c>
      <c r="D23" s="60" t="s">
        <v>3515</v>
      </c>
      <c r="E23" s="60">
        <v>1</v>
      </c>
      <c r="F23" s="61">
        <v>1703.4</v>
      </c>
      <c r="G23" s="61">
        <v>2384.7600000000002</v>
      </c>
    </row>
    <row r="24" spans="1:7">
      <c r="A24" s="57" t="s">
        <v>3870</v>
      </c>
      <c r="B24" s="58" t="s">
        <v>4042</v>
      </c>
      <c r="C24" s="59" t="s">
        <v>3873</v>
      </c>
      <c r="D24" s="60" t="s">
        <v>3515</v>
      </c>
      <c r="E24" s="60">
        <v>1</v>
      </c>
      <c r="F24" s="61">
        <v>9408.9</v>
      </c>
      <c r="G24" s="61">
        <v>13172.46</v>
      </c>
    </row>
    <row r="25" spans="1:7">
      <c r="A25" s="57" t="s">
        <v>3870</v>
      </c>
      <c r="B25" s="58" t="s">
        <v>4043</v>
      </c>
      <c r="C25" s="59" t="s">
        <v>3874</v>
      </c>
      <c r="D25" s="60" t="s">
        <v>3515</v>
      </c>
      <c r="E25" s="60">
        <v>1</v>
      </c>
      <c r="F25" s="61">
        <v>2028.7</v>
      </c>
      <c r="G25" s="61">
        <v>2840.1800000000003</v>
      </c>
    </row>
    <row r="26" spans="1:7">
      <c r="A26" s="57" t="s">
        <v>3870</v>
      </c>
      <c r="B26" s="58" t="s">
        <v>4044</v>
      </c>
      <c r="C26" s="59" t="s">
        <v>3875</v>
      </c>
      <c r="D26" s="60" t="s">
        <v>4181</v>
      </c>
      <c r="E26" s="60">
        <v>1</v>
      </c>
      <c r="F26" s="61">
        <v>90</v>
      </c>
      <c r="G26" s="61">
        <v>126</v>
      </c>
    </row>
    <row r="27" spans="1:7">
      <c r="A27" s="57" t="s">
        <v>3870</v>
      </c>
      <c r="B27" s="58" t="s">
        <v>4045</v>
      </c>
      <c r="C27" s="59" t="s">
        <v>3876</v>
      </c>
      <c r="D27" s="60" t="s">
        <v>4181</v>
      </c>
      <c r="E27" s="60">
        <v>1</v>
      </c>
      <c r="F27" s="61">
        <v>105</v>
      </c>
      <c r="G27" s="61">
        <v>147</v>
      </c>
    </row>
    <row r="28" spans="1:7">
      <c r="A28" s="57" t="s">
        <v>3870</v>
      </c>
      <c r="B28" s="58" t="s">
        <v>4046</v>
      </c>
      <c r="C28" s="59" t="s">
        <v>3877</v>
      </c>
      <c r="D28" s="60" t="s">
        <v>4181</v>
      </c>
      <c r="E28" s="60">
        <v>1</v>
      </c>
      <c r="F28" s="61">
        <v>105</v>
      </c>
      <c r="G28" s="61">
        <v>147</v>
      </c>
    </row>
    <row r="29" spans="1:7">
      <c r="A29" s="57" t="s">
        <v>3870</v>
      </c>
      <c r="B29" s="58" t="s">
        <v>4047</v>
      </c>
      <c r="C29" s="59" t="s">
        <v>3878</v>
      </c>
      <c r="D29" s="60" t="s">
        <v>4181</v>
      </c>
      <c r="E29" s="60">
        <v>1</v>
      </c>
      <c r="F29" s="61">
        <v>105</v>
      </c>
      <c r="G29" s="61">
        <v>147</v>
      </c>
    </row>
    <row r="30" spans="1:7">
      <c r="A30" s="57" t="s">
        <v>3870</v>
      </c>
      <c r="B30" s="58" t="s">
        <v>4048</v>
      </c>
      <c r="C30" s="59" t="s">
        <v>3879</v>
      </c>
      <c r="D30" s="60" t="s">
        <v>4181</v>
      </c>
      <c r="E30" s="60">
        <v>1</v>
      </c>
      <c r="F30" s="61">
        <v>105</v>
      </c>
      <c r="G30" s="61">
        <v>147</v>
      </c>
    </row>
    <row r="31" spans="1:7">
      <c r="A31" s="57" t="s">
        <v>3870</v>
      </c>
      <c r="B31" s="58" t="s">
        <v>4049</v>
      </c>
      <c r="C31" s="59" t="s">
        <v>3880</v>
      </c>
      <c r="D31" s="60" t="s">
        <v>4181</v>
      </c>
      <c r="E31" s="60">
        <v>1</v>
      </c>
      <c r="F31" s="61">
        <v>105</v>
      </c>
      <c r="G31" s="61">
        <v>147</v>
      </c>
    </row>
    <row r="32" spans="1:7">
      <c r="A32" s="57" t="s">
        <v>3870</v>
      </c>
      <c r="B32" s="58" t="s">
        <v>4050</v>
      </c>
      <c r="C32" s="59" t="s">
        <v>3881</v>
      </c>
      <c r="D32" s="60" t="s">
        <v>4180</v>
      </c>
      <c r="E32" s="60">
        <v>1</v>
      </c>
      <c r="F32" s="61">
        <v>295</v>
      </c>
      <c r="G32" s="61">
        <v>413</v>
      </c>
    </row>
    <row r="33" spans="1:7">
      <c r="A33" s="57" t="s">
        <v>3870</v>
      </c>
      <c r="B33" s="58" t="s">
        <v>4051</v>
      </c>
      <c r="C33" s="59" t="s">
        <v>3882</v>
      </c>
      <c r="D33" s="60" t="s">
        <v>4180</v>
      </c>
      <c r="E33" s="60">
        <v>1</v>
      </c>
      <c r="F33" s="61">
        <v>295</v>
      </c>
      <c r="G33" s="61">
        <v>413</v>
      </c>
    </row>
    <row r="34" spans="1:7">
      <c r="A34" s="57" t="s">
        <v>3870</v>
      </c>
      <c r="B34" s="58" t="s">
        <v>4052</v>
      </c>
      <c r="C34" s="59" t="s">
        <v>3883</v>
      </c>
      <c r="D34" s="60" t="s">
        <v>4180</v>
      </c>
      <c r="E34" s="60">
        <v>1</v>
      </c>
      <c r="F34" s="61">
        <v>295</v>
      </c>
      <c r="G34" s="61">
        <v>413</v>
      </c>
    </row>
    <row r="35" spans="1:7">
      <c r="A35" s="57" t="s">
        <v>3870</v>
      </c>
      <c r="B35" s="58" t="s">
        <v>4053</v>
      </c>
      <c r="C35" s="59" t="s">
        <v>3884</v>
      </c>
      <c r="D35" s="60" t="s">
        <v>4180</v>
      </c>
      <c r="E35" s="60">
        <v>1</v>
      </c>
      <c r="F35" s="61">
        <v>220</v>
      </c>
      <c r="G35" s="61">
        <v>308</v>
      </c>
    </row>
    <row r="36" spans="1:7">
      <c r="A36" s="57" t="s">
        <v>3870</v>
      </c>
      <c r="B36" s="58" t="s">
        <v>4054</v>
      </c>
      <c r="C36" s="59" t="s">
        <v>3885</v>
      </c>
      <c r="D36" s="60" t="s">
        <v>4180</v>
      </c>
      <c r="E36" s="60">
        <v>1</v>
      </c>
      <c r="F36" s="61">
        <v>415</v>
      </c>
      <c r="G36" s="61">
        <v>581</v>
      </c>
    </row>
    <row r="37" spans="1:7">
      <c r="A37" s="57" t="s">
        <v>3870</v>
      </c>
      <c r="B37" s="58" t="s">
        <v>4055</v>
      </c>
      <c r="C37" s="59" t="s">
        <v>3886</v>
      </c>
      <c r="D37" s="60" t="s">
        <v>4180</v>
      </c>
      <c r="E37" s="60">
        <v>1</v>
      </c>
      <c r="F37" s="61">
        <v>415</v>
      </c>
      <c r="G37" s="61">
        <v>581</v>
      </c>
    </row>
    <row r="38" spans="1:7">
      <c r="A38" s="57" t="s">
        <v>3870</v>
      </c>
      <c r="B38" s="58" t="s">
        <v>4056</v>
      </c>
      <c r="C38" s="59" t="s">
        <v>3887</v>
      </c>
      <c r="D38" s="60" t="s">
        <v>4181</v>
      </c>
      <c r="E38" s="60">
        <v>1</v>
      </c>
      <c r="F38" s="61">
        <v>70.5</v>
      </c>
      <c r="G38" s="61">
        <v>98.7</v>
      </c>
    </row>
    <row r="39" spans="1:7">
      <c r="A39" s="57" t="s">
        <v>3870</v>
      </c>
      <c r="B39" s="58" t="s">
        <v>4057</v>
      </c>
      <c r="C39" s="59" t="s">
        <v>3888</v>
      </c>
      <c r="D39" s="60" t="s">
        <v>4181</v>
      </c>
      <c r="E39" s="60">
        <v>1</v>
      </c>
      <c r="F39" s="61">
        <v>120</v>
      </c>
      <c r="G39" s="61">
        <v>168</v>
      </c>
    </row>
    <row r="40" spans="1:7">
      <c r="A40" s="57" t="s">
        <v>3870</v>
      </c>
      <c r="B40" s="58" t="s">
        <v>4058</v>
      </c>
      <c r="C40" s="65" t="s">
        <v>3889</v>
      </c>
      <c r="D40" s="60" t="s">
        <v>4181</v>
      </c>
      <c r="E40" s="60">
        <v>1</v>
      </c>
      <c r="F40" s="61">
        <v>120</v>
      </c>
      <c r="G40" s="61">
        <v>168</v>
      </c>
    </row>
    <row r="41" spans="1:7">
      <c r="A41" s="57" t="s">
        <v>3870</v>
      </c>
      <c r="B41" s="58" t="s">
        <v>4059</v>
      </c>
      <c r="C41" s="59" t="s">
        <v>3890</v>
      </c>
      <c r="D41" s="60" t="s">
        <v>4181</v>
      </c>
      <c r="E41" s="60">
        <v>1</v>
      </c>
      <c r="F41" s="61">
        <v>120</v>
      </c>
      <c r="G41" s="61">
        <v>168</v>
      </c>
    </row>
    <row r="42" spans="1:7">
      <c r="A42" s="57" t="s">
        <v>3870</v>
      </c>
      <c r="B42" s="58" t="s">
        <v>4060</v>
      </c>
      <c r="C42" s="59" t="s">
        <v>3891</v>
      </c>
      <c r="D42" s="60" t="s">
        <v>4181</v>
      </c>
      <c r="E42" s="60">
        <v>1</v>
      </c>
      <c r="F42" s="61">
        <v>120</v>
      </c>
      <c r="G42" s="61">
        <v>168</v>
      </c>
    </row>
    <row r="43" spans="1:7">
      <c r="A43" s="57" t="s">
        <v>3870</v>
      </c>
      <c r="B43" s="58" t="s">
        <v>4061</v>
      </c>
      <c r="C43" s="59" t="s">
        <v>3892</v>
      </c>
      <c r="D43" s="60" t="s">
        <v>4181</v>
      </c>
      <c r="E43" s="60">
        <v>1</v>
      </c>
      <c r="F43" s="61">
        <v>120</v>
      </c>
      <c r="G43" s="61">
        <v>168</v>
      </c>
    </row>
    <row r="44" spans="1:7">
      <c r="A44" s="57" t="s">
        <v>3870</v>
      </c>
      <c r="B44" s="58" t="s">
        <v>4062</v>
      </c>
      <c r="C44" s="59" t="s">
        <v>3893</v>
      </c>
      <c r="D44" s="60" t="s">
        <v>4181</v>
      </c>
      <c r="E44" s="60">
        <v>1</v>
      </c>
      <c r="F44" s="61">
        <v>170</v>
      </c>
      <c r="G44" s="61">
        <v>238</v>
      </c>
    </row>
    <row r="45" spans="1:7">
      <c r="A45" s="57" t="s">
        <v>3870</v>
      </c>
      <c r="B45" s="58" t="s">
        <v>4063</v>
      </c>
      <c r="C45" s="59" t="s">
        <v>3894</v>
      </c>
      <c r="D45" s="60" t="s">
        <v>4181</v>
      </c>
      <c r="E45" s="60">
        <v>1</v>
      </c>
      <c r="F45" s="61">
        <v>170</v>
      </c>
      <c r="G45" s="61">
        <v>238</v>
      </c>
    </row>
    <row r="46" spans="1:7">
      <c r="A46" s="57" t="s">
        <v>3870</v>
      </c>
      <c r="B46" s="58" t="s">
        <v>4064</v>
      </c>
      <c r="C46" s="59" t="s">
        <v>3895</v>
      </c>
      <c r="D46" s="60" t="s">
        <v>4181</v>
      </c>
      <c r="E46" s="60">
        <v>1</v>
      </c>
      <c r="F46" s="61">
        <v>170</v>
      </c>
      <c r="G46" s="61">
        <v>238</v>
      </c>
    </row>
    <row r="47" spans="1:7">
      <c r="A47" s="57" t="s">
        <v>3896</v>
      </c>
      <c r="B47" s="58" t="s">
        <v>4065</v>
      </c>
      <c r="C47" s="59" t="s">
        <v>3897</v>
      </c>
      <c r="D47" s="60" t="s">
        <v>4178</v>
      </c>
      <c r="E47" s="60">
        <v>1</v>
      </c>
      <c r="F47" s="61">
        <v>5527</v>
      </c>
      <c r="G47" s="61">
        <v>7737.8</v>
      </c>
    </row>
    <row r="48" spans="1:7">
      <c r="A48" s="57" t="s">
        <v>3896</v>
      </c>
      <c r="B48" s="58" t="s">
        <v>4066</v>
      </c>
      <c r="C48" s="59" t="s">
        <v>3898</v>
      </c>
      <c r="D48" s="60" t="s">
        <v>4178</v>
      </c>
      <c r="E48" s="60">
        <v>1</v>
      </c>
      <c r="F48" s="61">
        <v>5232</v>
      </c>
      <c r="G48" s="61">
        <v>7324.8</v>
      </c>
    </row>
    <row r="49" spans="1:7">
      <c r="A49" s="57" t="s">
        <v>3896</v>
      </c>
      <c r="B49" s="58" t="s">
        <v>4067</v>
      </c>
      <c r="C49" s="59" t="s">
        <v>3899</v>
      </c>
      <c r="D49" s="60" t="s">
        <v>4178</v>
      </c>
      <c r="E49" s="60">
        <v>1</v>
      </c>
      <c r="F49" s="61">
        <v>5232</v>
      </c>
      <c r="G49" s="61">
        <v>7324.8</v>
      </c>
    </row>
    <row r="50" spans="1:7">
      <c r="A50" s="57" t="s">
        <v>3896</v>
      </c>
      <c r="B50" s="58" t="s">
        <v>4068</v>
      </c>
      <c r="C50" s="59" t="s">
        <v>3900</v>
      </c>
      <c r="D50" s="60" t="s">
        <v>3588</v>
      </c>
      <c r="E50" s="60">
        <v>1</v>
      </c>
      <c r="F50" s="61">
        <v>455</v>
      </c>
      <c r="G50" s="61">
        <v>637</v>
      </c>
    </row>
    <row r="51" spans="1:7">
      <c r="A51" s="57" t="s">
        <v>3901</v>
      </c>
      <c r="B51" s="58" t="s">
        <v>4069</v>
      </c>
      <c r="C51" s="59" t="s">
        <v>3902</v>
      </c>
      <c r="D51" s="60" t="s">
        <v>4182</v>
      </c>
      <c r="E51" s="60">
        <v>1</v>
      </c>
      <c r="F51" s="61">
        <v>434.8</v>
      </c>
      <c r="G51" s="61">
        <v>608.72</v>
      </c>
    </row>
    <row r="52" spans="1:7">
      <c r="A52" s="57" t="s">
        <v>3901</v>
      </c>
      <c r="B52" s="58" t="s">
        <v>4070</v>
      </c>
      <c r="C52" s="59" t="s">
        <v>3903</v>
      </c>
      <c r="D52" s="60" t="s">
        <v>4182</v>
      </c>
      <c r="E52" s="60">
        <v>1</v>
      </c>
      <c r="F52" s="61">
        <v>101.5</v>
      </c>
      <c r="G52" s="61">
        <v>142.1</v>
      </c>
    </row>
    <row r="53" spans="1:7">
      <c r="A53" s="57" t="s">
        <v>3901</v>
      </c>
      <c r="B53" s="58" t="s">
        <v>4071</v>
      </c>
      <c r="C53" s="59" t="s">
        <v>3904</v>
      </c>
      <c r="D53" s="60" t="s">
        <v>4183</v>
      </c>
      <c r="E53" s="60">
        <v>1</v>
      </c>
      <c r="F53" s="61">
        <v>6481.3</v>
      </c>
      <c r="G53" s="61">
        <v>9073.82</v>
      </c>
    </row>
    <row r="54" spans="1:7">
      <c r="A54" s="57" t="s">
        <v>3901</v>
      </c>
      <c r="B54" s="58" t="s">
        <v>4072</v>
      </c>
      <c r="C54" s="59" t="s">
        <v>3905</v>
      </c>
      <c r="D54" s="60" t="s">
        <v>4183</v>
      </c>
      <c r="E54" s="60">
        <v>1</v>
      </c>
      <c r="F54" s="61">
        <v>3517.8</v>
      </c>
      <c r="G54" s="61">
        <v>4924.92</v>
      </c>
    </row>
    <row r="55" spans="1:7">
      <c r="A55" s="57" t="s">
        <v>3901</v>
      </c>
      <c r="B55" s="58" t="s">
        <v>4073</v>
      </c>
      <c r="C55" s="59" t="s">
        <v>3906</v>
      </c>
      <c r="D55" s="60" t="s">
        <v>4183</v>
      </c>
      <c r="E55" s="60">
        <v>1</v>
      </c>
      <c r="F55" s="61">
        <v>3517.8</v>
      </c>
      <c r="G55" s="61">
        <v>4924.92</v>
      </c>
    </row>
    <row r="56" spans="1:7">
      <c r="A56" s="57" t="s">
        <v>3901</v>
      </c>
      <c r="B56" s="58" t="s">
        <v>4074</v>
      </c>
      <c r="C56" s="65" t="s">
        <v>3907</v>
      </c>
      <c r="D56" s="60" t="s">
        <v>4182</v>
      </c>
      <c r="E56" s="60">
        <v>1</v>
      </c>
      <c r="F56" s="61">
        <v>977.3</v>
      </c>
      <c r="G56" s="61">
        <v>1368.22</v>
      </c>
    </row>
    <row r="57" spans="1:7">
      <c r="A57" s="57" t="s">
        <v>3901</v>
      </c>
      <c r="B57" s="58" t="s">
        <v>4075</v>
      </c>
      <c r="C57" s="59" t="s">
        <v>3908</v>
      </c>
      <c r="D57" s="60" t="s">
        <v>4182</v>
      </c>
      <c r="E57" s="60">
        <v>1</v>
      </c>
      <c r="F57" s="61">
        <v>7405.9</v>
      </c>
      <c r="G57" s="61">
        <v>10368.26</v>
      </c>
    </row>
    <row r="58" spans="1:7">
      <c r="A58" s="57" t="s">
        <v>3901</v>
      </c>
      <c r="B58" s="58" t="s">
        <v>4076</v>
      </c>
      <c r="C58" s="59" t="s">
        <v>3909</v>
      </c>
      <c r="D58" s="60" t="s">
        <v>4182</v>
      </c>
      <c r="E58" s="60">
        <v>1</v>
      </c>
      <c r="F58" s="61">
        <v>1745.6</v>
      </c>
      <c r="G58" s="61">
        <v>2443.84</v>
      </c>
    </row>
    <row r="59" spans="1:7">
      <c r="A59" s="57" t="s">
        <v>3901</v>
      </c>
      <c r="B59" s="58" t="s">
        <v>4077</v>
      </c>
      <c r="C59" s="59" t="s">
        <v>3910</v>
      </c>
      <c r="D59" s="60" t="s">
        <v>4183</v>
      </c>
      <c r="E59" s="60">
        <v>1</v>
      </c>
      <c r="F59" s="61">
        <v>4020.2</v>
      </c>
      <c r="G59" s="61">
        <v>5628.28</v>
      </c>
    </row>
    <row r="60" spans="1:7">
      <c r="A60" s="57" t="s">
        <v>3901</v>
      </c>
      <c r="B60" s="58" t="s">
        <v>4078</v>
      </c>
      <c r="C60" s="59" t="s">
        <v>3911</v>
      </c>
      <c r="D60" s="60" t="s">
        <v>4182</v>
      </c>
      <c r="E60" s="60">
        <v>1</v>
      </c>
      <c r="F60" s="61">
        <v>980</v>
      </c>
      <c r="G60" s="61">
        <v>1372</v>
      </c>
    </row>
    <row r="61" spans="1:7">
      <c r="A61" s="57" t="s">
        <v>3901</v>
      </c>
      <c r="B61" s="58" t="s">
        <v>4079</v>
      </c>
      <c r="C61" s="59" t="s">
        <v>3912</v>
      </c>
      <c r="D61" s="60" t="s">
        <v>4182</v>
      </c>
      <c r="E61" s="60">
        <v>1</v>
      </c>
      <c r="F61" s="61">
        <v>1750</v>
      </c>
      <c r="G61" s="61">
        <v>2450</v>
      </c>
    </row>
    <row r="62" spans="1:7">
      <c r="A62" s="57" t="s">
        <v>3901</v>
      </c>
      <c r="B62" s="58" t="s">
        <v>4080</v>
      </c>
      <c r="C62" s="59" t="s">
        <v>3913</v>
      </c>
      <c r="D62" s="60" t="s">
        <v>4182</v>
      </c>
      <c r="E62" s="60">
        <v>1</v>
      </c>
      <c r="F62" s="61">
        <v>523</v>
      </c>
      <c r="G62" s="61">
        <v>732.2</v>
      </c>
    </row>
    <row r="63" spans="1:7">
      <c r="A63" s="57" t="s">
        <v>3901</v>
      </c>
      <c r="B63" s="58" t="s">
        <v>4081</v>
      </c>
      <c r="C63" s="59" t="s">
        <v>3914</v>
      </c>
      <c r="D63" s="60" t="s">
        <v>4184</v>
      </c>
      <c r="E63" s="60">
        <v>1</v>
      </c>
      <c r="F63" s="61">
        <v>2000</v>
      </c>
      <c r="G63" s="61">
        <v>2800</v>
      </c>
    </row>
    <row r="64" spans="1:7">
      <c r="A64" s="57" t="s">
        <v>3901</v>
      </c>
      <c r="B64" s="58" t="s">
        <v>4082</v>
      </c>
      <c r="C64" s="59" t="s">
        <v>3915</v>
      </c>
      <c r="D64" s="60" t="s">
        <v>4182</v>
      </c>
      <c r="E64" s="60">
        <v>1</v>
      </c>
      <c r="F64" s="61">
        <v>855.5</v>
      </c>
      <c r="G64" s="61">
        <v>1197.7</v>
      </c>
    </row>
    <row r="65" spans="1:7">
      <c r="A65" s="57" t="s">
        <v>3901</v>
      </c>
      <c r="B65" s="58" t="s">
        <v>4083</v>
      </c>
      <c r="C65" s="59" t="s">
        <v>3916</v>
      </c>
      <c r="D65" s="60" t="s">
        <v>4182</v>
      </c>
      <c r="E65" s="60">
        <v>1</v>
      </c>
      <c r="F65" s="61">
        <v>434.8</v>
      </c>
      <c r="G65" s="61">
        <v>608.72</v>
      </c>
    </row>
    <row r="66" spans="1:7">
      <c r="A66" s="57" t="s">
        <v>3901</v>
      </c>
      <c r="B66" s="58" t="s">
        <v>4084</v>
      </c>
      <c r="C66" s="59" t="s">
        <v>3917</v>
      </c>
      <c r="D66" s="60" t="s">
        <v>4182</v>
      </c>
      <c r="E66" s="60">
        <v>1</v>
      </c>
      <c r="F66" s="61">
        <v>1526.3</v>
      </c>
      <c r="G66" s="61">
        <v>2136.8199999999997</v>
      </c>
    </row>
    <row r="67" spans="1:7">
      <c r="A67" s="57" t="s">
        <v>3901</v>
      </c>
      <c r="B67" s="58" t="s">
        <v>4085</v>
      </c>
      <c r="C67" s="59" t="s">
        <v>3918</v>
      </c>
      <c r="D67" s="60" t="s">
        <v>4184</v>
      </c>
      <c r="E67" s="60">
        <v>1</v>
      </c>
      <c r="F67" s="61">
        <v>1552</v>
      </c>
      <c r="G67" s="61">
        <v>2172.8000000000002</v>
      </c>
    </row>
    <row r="68" spans="1:7">
      <c r="A68" s="57" t="s">
        <v>3901</v>
      </c>
      <c r="B68" s="58" t="s">
        <v>4086</v>
      </c>
      <c r="C68" s="59" t="s">
        <v>3919</v>
      </c>
      <c r="D68" s="60" t="s">
        <v>4183</v>
      </c>
      <c r="E68" s="60">
        <v>1</v>
      </c>
      <c r="F68" s="61">
        <v>6481.3</v>
      </c>
      <c r="G68" s="61">
        <v>9073.82</v>
      </c>
    </row>
    <row r="69" spans="1:7">
      <c r="A69" s="57" t="s">
        <v>3901</v>
      </c>
      <c r="B69" s="58" t="s">
        <v>4087</v>
      </c>
      <c r="C69" s="59" t="s">
        <v>3920</v>
      </c>
      <c r="D69" s="60" t="s">
        <v>4182</v>
      </c>
      <c r="E69" s="60">
        <v>1</v>
      </c>
      <c r="F69" s="61">
        <v>855.5</v>
      </c>
      <c r="G69" s="61">
        <v>1197.7</v>
      </c>
    </row>
    <row r="70" spans="1:7">
      <c r="A70" s="57" t="s">
        <v>3901</v>
      </c>
      <c r="B70" s="58" t="s">
        <v>4088</v>
      </c>
      <c r="C70" s="59" t="s">
        <v>3921</v>
      </c>
      <c r="D70" s="60" t="s">
        <v>4182</v>
      </c>
      <c r="E70" s="60">
        <v>1</v>
      </c>
      <c r="F70" s="61">
        <v>1526.3</v>
      </c>
      <c r="G70" s="61">
        <v>2136.8199999999997</v>
      </c>
    </row>
    <row r="71" spans="1:7">
      <c r="A71" s="57" t="s">
        <v>3923</v>
      </c>
      <c r="B71" s="58" t="s">
        <v>4089</v>
      </c>
      <c r="C71" s="59" t="s">
        <v>3924</v>
      </c>
      <c r="D71" s="60" t="s">
        <v>4184</v>
      </c>
      <c r="E71" s="60">
        <v>1</v>
      </c>
      <c r="F71" s="61">
        <v>1697.8</v>
      </c>
      <c r="G71" s="61">
        <v>2376.92</v>
      </c>
    </row>
    <row r="72" spans="1:7">
      <c r="A72" s="57" t="s">
        <v>3923</v>
      </c>
      <c r="B72" s="58" t="s">
        <v>4090</v>
      </c>
      <c r="C72" s="59" t="s">
        <v>3925</v>
      </c>
      <c r="D72" s="60" t="s">
        <v>4182</v>
      </c>
      <c r="E72" s="60">
        <v>1</v>
      </c>
      <c r="F72" s="61">
        <v>524.79999999999995</v>
      </c>
      <c r="G72" s="61">
        <v>734.71999999999991</v>
      </c>
    </row>
    <row r="73" spans="1:7">
      <c r="A73" s="57" t="s">
        <v>3923</v>
      </c>
      <c r="B73" s="58" t="s">
        <v>4091</v>
      </c>
      <c r="C73" s="59" t="s">
        <v>3926</v>
      </c>
      <c r="D73" s="60" t="s">
        <v>4182</v>
      </c>
      <c r="E73" s="60">
        <v>1</v>
      </c>
      <c r="F73" s="61">
        <v>158</v>
      </c>
      <c r="G73" s="61">
        <v>221.2</v>
      </c>
    </row>
    <row r="74" spans="1:7">
      <c r="A74" s="57" t="s">
        <v>3923</v>
      </c>
      <c r="B74" s="58" t="s">
        <v>4092</v>
      </c>
      <c r="C74" s="59" t="s">
        <v>3927</v>
      </c>
      <c r="D74" s="60" t="s">
        <v>4182</v>
      </c>
      <c r="E74" s="60">
        <v>1</v>
      </c>
      <c r="F74" s="61">
        <v>1410</v>
      </c>
      <c r="G74" s="61">
        <v>1974</v>
      </c>
    </row>
    <row r="75" spans="1:7">
      <c r="A75" s="57" t="s">
        <v>3923</v>
      </c>
      <c r="B75" s="58" t="s">
        <v>4093</v>
      </c>
      <c r="C75" s="59" t="s">
        <v>3928</v>
      </c>
      <c r="D75" s="60" t="s">
        <v>4184</v>
      </c>
      <c r="E75" s="60">
        <v>1</v>
      </c>
      <c r="F75" s="61">
        <v>2700</v>
      </c>
      <c r="G75" s="61">
        <v>3780</v>
      </c>
    </row>
    <row r="76" spans="1:7">
      <c r="A76" s="57" t="s">
        <v>3923</v>
      </c>
      <c r="B76" s="58" t="s">
        <v>4094</v>
      </c>
      <c r="C76" s="59" t="s">
        <v>3929</v>
      </c>
      <c r="D76" s="60" t="s">
        <v>4182</v>
      </c>
      <c r="E76" s="60">
        <v>1</v>
      </c>
      <c r="F76" s="61">
        <v>589</v>
      </c>
      <c r="G76" s="61">
        <v>824.6</v>
      </c>
    </row>
    <row r="77" spans="1:7">
      <c r="A77" s="57" t="s">
        <v>3923</v>
      </c>
      <c r="B77" s="58" t="s">
        <v>4095</v>
      </c>
      <c r="C77" s="59" t="s">
        <v>3930</v>
      </c>
      <c r="D77" s="60" t="s">
        <v>4184</v>
      </c>
      <c r="E77" s="60">
        <v>1</v>
      </c>
      <c r="F77" s="61">
        <v>3712.4</v>
      </c>
      <c r="G77" s="61">
        <v>5197.3600000000006</v>
      </c>
    </row>
    <row r="78" spans="1:7">
      <c r="A78" s="57" t="s">
        <v>3923</v>
      </c>
      <c r="B78" s="58" t="s">
        <v>4096</v>
      </c>
      <c r="C78" s="59" t="s">
        <v>3931</v>
      </c>
      <c r="D78" s="60" t="s">
        <v>3977</v>
      </c>
      <c r="E78" s="60">
        <v>1</v>
      </c>
      <c r="F78" s="61">
        <v>6175</v>
      </c>
      <c r="G78" s="61">
        <v>8645</v>
      </c>
    </row>
    <row r="79" spans="1:7">
      <c r="A79" s="57" t="s">
        <v>3923</v>
      </c>
      <c r="B79" s="58" t="s">
        <v>4097</v>
      </c>
      <c r="C79" s="59" t="s">
        <v>3932</v>
      </c>
      <c r="D79" s="60" t="s">
        <v>3618</v>
      </c>
      <c r="E79" s="60">
        <v>1</v>
      </c>
      <c r="F79" s="61">
        <v>1550</v>
      </c>
      <c r="G79" s="61">
        <v>2170</v>
      </c>
    </row>
    <row r="80" spans="1:7">
      <c r="A80" s="57" t="s">
        <v>3923</v>
      </c>
      <c r="B80" s="58" t="s">
        <v>4098</v>
      </c>
      <c r="C80" s="59" t="s">
        <v>3933</v>
      </c>
      <c r="D80" s="60" t="s">
        <v>3618</v>
      </c>
      <c r="E80" s="60">
        <v>1</v>
      </c>
      <c r="F80" s="61">
        <v>2500</v>
      </c>
      <c r="G80" s="61">
        <v>3500</v>
      </c>
    </row>
    <row r="81" spans="1:7">
      <c r="A81" s="57" t="s">
        <v>3923</v>
      </c>
      <c r="B81" s="58" t="s">
        <v>4099</v>
      </c>
      <c r="C81" s="65" t="s">
        <v>3934</v>
      </c>
      <c r="D81" s="60" t="s">
        <v>3977</v>
      </c>
      <c r="E81" s="60">
        <v>1</v>
      </c>
      <c r="F81" s="61">
        <v>31656.63</v>
      </c>
      <c r="G81" s="61">
        <v>44319.281999999999</v>
      </c>
    </row>
    <row r="82" spans="1:7">
      <c r="A82" s="57" t="s">
        <v>3923</v>
      </c>
      <c r="B82" s="58" t="s">
        <v>4100</v>
      </c>
      <c r="C82" s="59" t="s">
        <v>3935</v>
      </c>
      <c r="D82" s="60" t="s">
        <v>4183</v>
      </c>
      <c r="E82" s="60">
        <v>1</v>
      </c>
      <c r="F82" s="61">
        <v>11400</v>
      </c>
      <c r="G82" s="61">
        <v>15960</v>
      </c>
    </row>
    <row r="83" spans="1:7">
      <c r="A83" s="57" t="s">
        <v>3923</v>
      </c>
      <c r="B83" s="58" t="s">
        <v>4101</v>
      </c>
      <c r="C83" s="59" t="s">
        <v>3936</v>
      </c>
      <c r="D83" s="60" t="s">
        <v>3922</v>
      </c>
      <c r="E83" s="60">
        <v>1</v>
      </c>
      <c r="F83" s="61">
        <v>75.2</v>
      </c>
      <c r="G83" s="61">
        <v>105.28</v>
      </c>
    </row>
    <row r="84" spans="1:7">
      <c r="A84" s="57" t="s">
        <v>3923</v>
      </c>
      <c r="B84" s="58" t="s">
        <v>4102</v>
      </c>
      <c r="C84" s="59" t="s">
        <v>3937</v>
      </c>
      <c r="D84" s="60" t="s">
        <v>4182</v>
      </c>
      <c r="E84" s="60">
        <v>1</v>
      </c>
      <c r="F84" s="61">
        <v>3309.8</v>
      </c>
      <c r="G84" s="61">
        <v>4633.72</v>
      </c>
    </row>
    <row r="85" spans="1:7">
      <c r="A85" s="57" t="s">
        <v>3923</v>
      </c>
      <c r="B85" s="58" t="s">
        <v>4103</v>
      </c>
      <c r="C85" s="59" t="s">
        <v>3938</v>
      </c>
      <c r="D85" s="60" t="s">
        <v>4182</v>
      </c>
      <c r="E85" s="60">
        <v>1</v>
      </c>
      <c r="F85" s="61">
        <v>349.8</v>
      </c>
      <c r="G85" s="61">
        <v>489.72</v>
      </c>
    </row>
    <row r="86" spans="1:7">
      <c r="A86" s="57" t="s">
        <v>3923</v>
      </c>
      <c r="B86" s="58" t="s">
        <v>4104</v>
      </c>
      <c r="C86" s="59" t="s">
        <v>3939</v>
      </c>
      <c r="D86" s="60" t="s">
        <v>3977</v>
      </c>
      <c r="E86" s="60">
        <v>1</v>
      </c>
      <c r="F86" s="61">
        <v>194.4</v>
      </c>
      <c r="G86" s="61">
        <v>272.16000000000003</v>
      </c>
    </row>
    <row r="87" spans="1:7">
      <c r="A87" s="57" t="s">
        <v>3923</v>
      </c>
      <c r="B87" s="58" t="s">
        <v>4105</v>
      </c>
      <c r="C87" s="59" t="s">
        <v>3940</v>
      </c>
      <c r="D87" s="60" t="s">
        <v>3977</v>
      </c>
      <c r="E87" s="60">
        <v>1</v>
      </c>
      <c r="F87" s="61">
        <v>128.4</v>
      </c>
      <c r="G87" s="61">
        <v>179.76</v>
      </c>
    </row>
    <row r="88" spans="1:7">
      <c r="A88" s="57" t="s">
        <v>3923</v>
      </c>
      <c r="B88" s="58" t="s">
        <v>4106</v>
      </c>
      <c r="C88" s="65" t="s">
        <v>3941</v>
      </c>
      <c r="D88" s="60" t="s">
        <v>4182</v>
      </c>
      <c r="E88" s="60">
        <v>1</v>
      </c>
      <c r="F88" s="61">
        <v>199.5</v>
      </c>
      <c r="G88" s="61">
        <v>279.3</v>
      </c>
    </row>
    <row r="89" spans="1:7">
      <c r="A89" s="57" t="s">
        <v>3942</v>
      </c>
      <c r="B89" s="58" t="s">
        <v>4107</v>
      </c>
      <c r="C89" s="59" t="s">
        <v>3943</v>
      </c>
      <c r="D89" s="60" t="s">
        <v>3977</v>
      </c>
      <c r="E89" s="60">
        <v>1</v>
      </c>
      <c r="F89" s="61">
        <v>11100</v>
      </c>
      <c r="G89" s="61">
        <v>15540</v>
      </c>
    </row>
    <row r="90" spans="1:7">
      <c r="A90" s="57" t="s">
        <v>3944</v>
      </c>
      <c r="B90" s="58" t="s">
        <v>4108</v>
      </c>
      <c r="C90" s="59" t="s">
        <v>3945</v>
      </c>
      <c r="D90" s="60" t="s">
        <v>3977</v>
      </c>
      <c r="E90" s="60">
        <v>1</v>
      </c>
      <c r="F90" s="61">
        <v>719.5</v>
      </c>
      <c r="G90" s="61">
        <v>1007.3</v>
      </c>
    </row>
    <row r="91" spans="1:7">
      <c r="A91" s="57" t="s">
        <v>3944</v>
      </c>
      <c r="B91" s="58" t="s">
        <v>4109</v>
      </c>
      <c r="C91" s="59" t="s">
        <v>3946</v>
      </c>
      <c r="D91" s="60" t="s">
        <v>3977</v>
      </c>
      <c r="E91" s="60">
        <v>1</v>
      </c>
      <c r="F91" s="61">
        <v>1195</v>
      </c>
      <c r="G91" s="61">
        <v>1673</v>
      </c>
    </row>
    <row r="92" spans="1:7">
      <c r="A92" s="57" t="s">
        <v>3944</v>
      </c>
      <c r="B92" s="58" t="s">
        <v>4110</v>
      </c>
      <c r="C92" s="59" t="s">
        <v>3947</v>
      </c>
      <c r="D92" s="60" t="s">
        <v>3977</v>
      </c>
      <c r="E92" s="60">
        <v>1</v>
      </c>
      <c r="F92" s="61">
        <v>4370</v>
      </c>
      <c r="G92" s="61">
        <v>6118</v>
      </c>
    </row>
    <row r="93" spans="1:7">
      <c r="A93" s="57" t="s">
        <v>3944</v>
      </c>
      <c r="B93" s="58" t="s">
        <v>4111</v>
      </c>
      <c r="C93" s="59" t="s">
        <v>3948</v>
      </c>
      <c r="D93" s="60" t="s">
        <v>3977</v>
      </c>
      <c r="E93" s="60">
        <v>1</v>
      </c>
      <c r="F93" s="61">
        <v>4416</v>
      </c>
      <c r="G93" s="61">
        <v>6182.4</v>
      </c>
    </row>
    <row r="94" spans="1:7">
      <c r="A94" s="57" t="s">
        <v>3944</v>
      </c>
      <c r="B94" s="58" t="s">
        <v>4112</v>
      </c>
      <c r="C94" s="66" t="s">
        <v>3949</v>
      </c>
      <c r="D94" s="60" t="s">
        <v>3556</v>
      </c>
      <c r="E94" s="60">
        <v>1</v>
      </c>
      <c r="F94" s="61">
        <v>687.6</v>
      </c>
      <c r="G94" s="61">
        <v>962.6400000000001</v>
      </c>
    </row>
    <row r="95" spans="1:7">
      <c r="A95" s="57" t="s">
        <v>3944</v>
      </c>
      <c r="B95" s="58" t="s">
        <v>4113</v>
      </c>
      <c r="C95" s="59" t="s">
        <v>3950</v>
      </c>
      <c r="D95" s="60" t="s">
        <v>3588</v>
      </c>
      <c r="E95" s="60">
        <v>1</v>
      </c>
      <c r="F95" s="61">
        <v>55</v>
      </c>
      <c r="G95" s="61">
        <v>77</v>
      </c>
    </row>
    <row r="96" spans="1:7">
      <c r="A96" s="57" t="s">
        <v>3944</v>
      </c>
      <c r="B96" s="58" t="s">
        <v>4114</v>
      </c>
      <c r="C96" s="59" t="s">
        <v>3951</v>
      </c>
      <c r="D96" s="60" t="s">
        <v>3588</v>
      </c>
      <c r="E96" s="60">
        <v>1</v>
      </c>
      <c r="F96" s="61">
        <v>1165</v>
      </c>
      <c r="G96" s="61">
        <v>1631</v>
      </c>
    </row>
    <row r="97" spans="1:7">
      <c r="A97" s="57" t="s">
        <v>3944</v>
      </c>
      <c r="B97" s="58" t="s">
        <v>4115</v>
      </c>
      <c r="C97" s="59" t="s">
        <v>3952</v>
      </c>
      <c r="D97" s="60" t="s">
        <v>3588</v>
      </c>
      <c r="E97" s="60">
        <v>1</v>
      </c>
      <c r="F97" s="61">
        <v>35</v>
      </c>
      <c r="G97" s="61">
        <v>49</v>
      </c>
    </row>
    <row r="98" spans="1:7">
      <c r="A98" s="57" t="s">
        <v>3944</v>
      </c>
      <c r="B98" s="58" t="s">
        <v>4116</v>
      </c>
      <c r="C98" s="59" t="s">
        <v>3953</v>
      </c>
      <c r="D98" s="60" t="s">
        <v>4182</v>
      </c>
      <c r="E98" s="60">
        <v>1</v>
      </c>
      <c r="F98" s="61">
        <v>652.6</v>
      </c>
      <c r="G98" s="61">
        <v>913.6400000000001</v>
      </c>
    </row>
    <row r="99" spans="1:7">
      <c r="A99" s="57" t="s">
        <v>3944</v>
      </c>
      <c r="B99" s="58" t="s">
        <v>4117</v>
      </c>
      <c r="C99" s="59" t="s">
        <v>3954</v>
      </c>
      <c r="D99" s="60" t="s">
        <v>3977</v>
      </c>
      <c r="E99" s="60">
        <v>1</v>
      </c>
      <c r="F99" s="61">
        <v>1989.8</v>
      </c>
      <c r="G99" s="61">
        <v>2785.72</v>
      </c>
    </row>
    <row r="100" spans="1:7">
      <c r="A100" s="57" t="s">
        <v>3944</v>
      </c>
      <c r="B100" s="58" t="s">
        <v>4118</v>
      </c>
      <c r="C100" s="59" t="s">
        <v>3955</v>
      </c>
      <c r="D100" s="60" t="s">
        <v>4179</v>
      </c>
      <c r="E100" s="60">
        <v>1</v>
      </c>
      <c r="F100" s="61">
        <v>33.5</v>
      </c>
      <c r="G100" s="61">
        <v>46.9</v>
      </c>
    </row>
    <row r="101" spans="1:7">
      <c r="A101" s="57" t="s">
        <v>3956</v>
      </c>
      <c r="B101" s="58" t="s">
        <v>4119</v>
      </c>
      <c r="C101" s="59" t="s">
        <v>3957</v>
      </c>
      <c r="D101" s="60" t="s">
        <v>4183</v>
      </c>
      <c r="E101" s="60">
        <v>1</v>
      </c>
      <c r="F101" s="61">
        <v>33723.230000000003</v>
      </c>
      <c r="G101" s="61">
        <v>47212.522000000004</v>
      </c>
    </row>
    <row r="102" spans="1:7">
      <c r="A102" s="57" t="s">
        <v>3956</v>
      </c>
      <c r="B102" s="58" t="s">
        <v>4120</v>
      </c>
      <c r="C102" s="59" t="s">
        <v>3958</v>
      </c>
      <c r="D102" s="60" t="s">
        <v>3977</v>
      </c>
      <c r="E102" s="60">
        <v>1</v>
      </c>
      <c r="F102" s="61">
        <v>16800</v>
      </c>
      <c r="G102" s="61">
        <v>23520</v>
      </c>
    </row>
    <row r="103" spans="1:7">
      <c r="A103" s="57" t="s">
        <v>3956</v>
      </c>
      <c r="B103" s="58" t="s">
        <v>4121</v>
      </c>
      <c r="C103" s="59" t="s">
        <v>3959</v>
      </c>
      <c r="D103" s="60" t="s">
        <v>3977</v>
      </c>
      <c r="E103" s="60">
        <v>1</v>
      </c>
      <c r="F103" s="61">
        <v>2100</v>
      </c>
      <c r="G103" s="61">
        <v>2940</v>
      </c>
    </row>
    <row r="104" spans="1:7">
      <c r="A104" s="57" t="s">
        <v>3956</v>
      </c>
      <c r="B104" s="58" t="s">
        <v>4122</v>
      </c>
      <c r="C104" s="59" t="s">
        <v>3960</v>
      </c>
      <c r="D104" s="60" t="s">
        <v>3977</v>
      </c>
      <c r="E104" s="60">
        <v>1</v>
      </c>
      <c r="F104" s="61">
        <v>77500</v>
      </c>
      <c r="G104" s="61">
        <v>108500</v>
      </c>
    </row>
    <row r="105" spans="1:7">
      <c r="A105" s="57" t="s">
        <v>3956</v>
      </c>
      <c r="B105" s="58" t="s">
        <v>4123</v>
      </c>
      <c r="C105" s="59" t="s">
        <v>3961</v>
      </c>
      <c r="D105" s="60" t="s">
        <v>3977</v>
      </c>
      <c r="E105" s="60">
        <v>1</v>
      </c>
      <c r="F105" s="61">
        <v>79300</v>
      </c>
      <c r="G105" s="61">
        <v>111020</v>
      </c>
    </row>
    <row r="106" spans="1:7">
      <c r="A106" s="57" t="s">
        <v>3956</v>
      </c>
      <c r="B106" s="58" t="s">
        <v>4124</v>
      </c>
      <c r="C106" s="59" t="s">
        <v>3962</v>
      </c>
      <c r="D106" s="60" t="s">
        <v>4184</v>
      </c>
      <c r="E106" s="60">
        <v>1</v>
      </c>
      <c r="F106" s="61">
        <v>7224</v>
      </c>
      <c r="G106" s="61">
        <v>10113.6</v>
      </c>
    </row>
    <row r="107" spans="1:7">
      <c r="A107" s="57" t="s">
        <v>3956</v>
      </c>
      <c r="B107" s="58" t="s">
        <v>4125</v>
      </c>
      <c r="C107" s="59" t="s">
        <v>3963</v>
      </c>
      <c r="D107" s="60" t="s">
        <v>4184</v>
      </c>
      <c r="E107" s="60">
        <v>1</v>
      </c>
      <c r="F107" s="61">
        <v>5375</v>
      </c>
      <c r="G107" s="61">
        <v>7525</v>
      </c>
    </row>
    <row r="108" spans="1:7">
      <c r="A108" s="57" t="s">
        <v>3956</v>
      </c>
      <c r="B108" s="58" t="s">
        <v>4126</v>
      </c>
      <c r="C108" s="59" t="s">
        <v>3964</v>
      </c>
      <c r="D108" s="60" t="s">
        <v>4184</v>
      </c>
      <c r="E108" s="60">
        <v>1</v>
      </c>
      <c r="F108" s="61">
        <v>4157</v>
      </c>
      <c r="G108" s="61">
        <v>5819.8</v>
      </c>
    </row>
    <row r="109" spans="1:7">
      <c r="A109" s="57" t="s">
        <v>3956</v>
      </c>
      <c r="B109" s="58" t="s">
        <v>4127</v>
      </c>
      <c r="C109" s="59" t="s">
        <v>3965</v>
      </c>
      <c r="D109" s="60" t="s">
        <v>4184</v>
      </c>
      <c r="E109" s="60">
        <v>1</v>
      </c>
      <c r="F109" s="61">
        <v>4566.5</v>
      </c>
      <c r="G109" s="61">
        <v>6393.1</v>
      </c>
    </row>
    <row r="110" spans="1:7">
      <c r="A110" s="57" t="s">
        <v>3956</v>
      </c>
      <c r="B110" s="58" t="s">
        <v>4128</v>
      </c>
      <c r="C110" s="59" t="s">
        <v>3966</v>
      </c>
      <c r="D110" s="60" t="s">
        <v>4184</v>
      </c>
      <c r="E110" s="60">
        <v>1</v>
      </c>
      <c r="F110" s="61">
        <v>4640.8999999999996</v>
      </c>
      <c r="G110" s="61">
        <v>6497.2599999999993</v>
      </c>
    </row>
    <row r="111" spans="1:7">
      <c r="A111" s="57" t="s">
        <v>3956</v>
      </c>
      <c r="B111" s="58" t="s">
        <v>4129</v>
      </c>
      <c r="C111" s="59" t="s">
        <v>3967</v>
      </c>
      <c r="D111" s="60" t="s">
        <v>4184</v>
      </c>
      <c r="E111" s="60">
        <v>1</v>
      </c>
      <c r="F111" s="61">
        <v>4640.8999999999996</v>
      </c>
      <c r="G111" s="61">
        <v>6497.2599999999993</v>
      </c>
    </row>
    <row r="112" spans="1:7">
      <c r="A112" s="57" t="s">
        <v>3956</v>
      </c>
      <c r="B112" s="58" t="s">
        <v>4130</v>
      </c>
      <c r="C112" s="59" t="s">
        <v>3968</v>
      </c>
      <c r="D112" s="60" t="s">
        <v>3977</v>
      </c>
      <c r="E112" s="60">
        <v>1</v>
      </c>
      <c r="F112" s="61">
        <v>420</v>
      </c>
      <c r="G112" s="61">
        <v>588</v>
      </c>
    </row>
    <row r="113" spans="1:7">
      <c r="A113" s="57" t="s">
        <v>3956</v>
      </c>
      <c r="B113" s="58" t="s">
        <v>4131</v>
      </c>
      <c r="C113" s="59" t="s">
        <v>3969</v>
      </c>
      <c r="D113" s="60" t="s">
        <v>3977</v>
      </c>
      <c r="E113" s="60">
        <v>1</v>
      </c>
      <c r="F113" s="61">
        <v>420</v>
      </c>
      <c r="G113" s="61">
        <v>588</v>
      </c>
    </row>
    <row r="114" spans="1:7">
      <c r="A114" s="57" t="s">
        <v>3956</v>
      </c>
      <c r="B114" s="58" t="s">
        <v>4132</v>
      </c>
      <c r="C114" s="59" t="s">
        <v>3970</v>
      </c>
      <c r="D114" s="60" t="s">
        <v>3977</v>
      </c>
      <c r="E114" s="60">
        <v>1</v>
      </c>
      <c r="F114" s="61">
        <v>199500</v>
      </c>
      <c r="G114" s="61">
        <v>279300</v>
      </c>
    </row>
    <row r="115" spans="1:7" ht="14.5">
      <c r="A115" s="57" t="s">
        <v>3956</v>
      </c>
      <c r="B115" s="58" t="s">
        <v>4133</v>
      </c>
      <c r="C115" s="67" t="s">
        <v>3971</v>
      </c>
      <c r="D115" s="60" t="s">
        <v>3977</v>
      </c>
      <c r="E115" s="60">
        <v>1</v>
      </c>
      <c r="F115" s="61">
        <v>206625</v>
      </c>
      <c r="G115" s="61">
        <v>289275</v>
      </c>
    </row>
    <row r="116" spans="1:7">
      <c r="A116" s="57" t="s">
        <v>3956</v>
      </c>
      <c r="B116" s="58" t="s">
        <v>4134</v>
      </c>
      <c r="C116" s="59" t="s">
        <v>3972</v>
      </c>
      <c r="D116" s="60" t="s">
        <v>3922</v>
      </c>
      <c r="E116" s="60">
        <v>1</v>
      </c>
      <c r="F116" s="61">
        <v>367</v>
      </c>
      <c r="G116" s="61">
        <v>513.79999999999995</v>
      </c>
    </row>
    <row r="117" spans="1:7">
      <c r="A117" s="57" t="s">
        <v>3956</v>
      </c>
      <c r="B117" s="58" t="s">
        <v>4135</v>
      </c>
      <c r="C117" s="59" t="s">
        <v>3973</v>
      </c>
      <c r="D117" s="60" t="s">
        <v>3922</v>
      </c>
      <c r="E117" s="60">
        <v>1</v>
      </c>
      <c r="F117" s="61">
        <v>564</v>
      </c>
      <c r="G117" s="61">
        <v>789.6</v>
      </c>
    </row>
    <row r="118" spans="1:7">
      <c r="A118" s="57" t="s">
        <v>3956</v>
      </c>
      <c r="B118" s="58" t="s">
        <v>4136</v>
      </c>
      <c r="C118" s="59" t="s">
        <v>3974</v>
      </c>
      <c r="D118" s="60" t="s">
        <v>3922</v>
      </c>
      <c r="E118" s="60">
        <v>1</v>
      </c>
      <c r="F118" s="61">
        <v>564</v>
      </c>
      <c r="G118" s="61">
        <v>789.6</v>
      </c>
    </row>
    <row r="119" spans="1:7">
      <c r="A119" s="57" t="s">
        <v>3956</v>
      </c>
      <c r="B119" s="58" t="s">
        <v>4137</v>
      </c>
      <c r="C119" s="59" t="s">
        <v>3975</v>
      </c>
      <c r="D119" s="60" t="s">
        <v>3977</v>
      </c>
      <c r="E119" s="60">
        <v>1</v>
      </c>
      <c r="F119" s="61">
        <v>9024</v>
      </c>
      <c r="G119" s="61">
        <v>12633.6</v>
      </c>
    </row>
    <row r="120" spans="1:7">
      <c r="A120" s="57" t="s">
        <v>3956</v>
      </c>
      <c r="B120" s="58" t="s">
        <v>4138</v>
      </c>
      <c r="C120" s="59" t="s">
        <v>3976</v>
      </c>
      <c r="D120" s="60" t="s">
        <v>3977</v>
      </c>
      <c r="E120" s="60">
        <v>1</v>
      </c>
      <c r="F120" s="61">
        <v>4614</v>
      </c>
      <c r="G120" s="61">
        <v>6459.6</v>
      </c>
    </row>
    <row r="121" spans="1:7">
      <c r="A121" s="57" t="s">
        <v>3956</v>
      </c>
      <c r="B121" s="58" t="s">
        <v>4139</v>
      </c>
      <c r="C121" s="59" t="s">
        <v>3978</v>
      </c>
      <c r="D121" s="60" t="s">
        <v>3977</v>
      </c>
      <c r="E121" s="60">
        <v>1</v>
      </c>
      <c r="F121" s="61">
        <v>1626.33</v>
      </c>
      <c r="G121" s="61">
        <v>2276.8620000000001</v>
      </c>
    </row>
    <row r="122" spans="1:7">
      <c r="A122" s="57" t="s">
        <v>3956</v>
      </c>
      <c r="B122" s="58" t="s">
        <v>4140</v>
      </c>
      <c r="C122" s="59" t="s">
        <v>3979</v>
      </c>
      <c r="D122" s="60" t="s">
        <v>3977</v>
      </c>
      <c r="E122" s="60">
        <v>1</v>
      </c>
      <c r="F122" s="61">
        <v>7202.07</v>
      </c>
      <c r="G122" s="61">
        <v>10082.897999999999</v>
      </c>
    </row>
    <row r="123" spans="1:7">
      <c r="A123" s="57" t="s">
        <v>3956</v>
      </c>
      <c r="B123" s="58" t="s">
        <v>4141</v>
      </c>
      <c r="C123" s="59" t="s">
        <v>3980</v>
      </c>
      <c r="D123" s="60" t="s">
        <v>3977</v>
      </c>
      <c r="E123" s="60">
        <v>1</v>
      </c>
      <c r="F123" s="61">
        <v>6991.15</v>
      </c>
      <c r="G123" s="61">
        <v>9787.61</v>
      </c>
    </row>
    <row r="124" spans="1:7">
      <c r="A124" s="57" t="s">
        <v>3956</v>
      </c>
      <c r="B124" s="58" t="s">
        <v>4142</v>
      </c>
      <c r="C124" s="59" t="s">
        <v>3981</v>
      </c>
      <c r="D124" s="60" t="s">
        <v>3977</v>
      </c>
      <c r="E124" s="60">
        <v>1</v>
      </c>
      <c r="F124" s="61">
        <v>21887.7</v>
      </c>
      <c r="G124" s="61">
        <v>30642.78</v>
      </c>
    </row>
    <row r="125" spans="1:7">
      <c r="A125" s="57" t="s">
        <v>3956</v>
      </c>
      <c r="B125" s="58" t="s">
        <v>4143</v>
      </c>
      <c r="C125" s="59" t="s">
        <v>3982</v>
      </c>
      <c r="D125" s="60" t="s">
        <v>3977</v>
      </c>
      <c r="E125" s="60">
        <v>1</v>
      </c>
      <c r="F125" s="61">
        <v>28434.59</v>
      </c>
      <c r="G125" s="61">
        <v>39808.425999999999</v>
      </c>
    </row>
    <row r="126" spans="1:7">
      <c r="A126" s="57" t="s">
        <v>3956</v>
      </c>
      <c r="B126" s="58" t="s">
        <v>4144</v>
      </c>
      <c r="C126" s="59" t="s">
        <v>3983</v>
      </c>
      <c r="D126" s="60" t="s">
        <v>4184</v>
      </c>
      <c r="E126" s="60">
        <v>1</v>
      </c>
      <c r="F126" s="61">
        <v>3547.32</v>
      </c>
      <c r="G126" s="61">
        <v>4966.2480000000005</v>
      </c>
    </row>
    <row r="127" spans="1:7">
      <c r="A127" s="57" t="s">
        <v>3956</v>
      </c>
      <c r="B127" s="58" t="s">
        <v>4145</v>
      </c>
      <c r="C127" s="59" t="s">
        <v>3984</v>
      </c>
      <c r="D127" s="60" t="s">
        <v>4183</v>
      </c>
      <c r="E127" s="60">
        <v>1</v>
      </c>
      <c r="F127" s="61">
        <v>8111.25</v>
      </c>
      <c r="G127" s="61">
        <v>11355.75</v>
      </c>
    </row>
    <row r="128" spans="1:7">
      <c r="A128" s="57" t="s">
        <v>3956</v>
      </c>
      <c r="B128" s="58" t="s">
        <v>4146</v>
      </c>
      <c r="C128" s="59" t="s">
        <v>3985</v>
      </c>
      <c r="D128" s="60" t="s">
        <v>4183</v>
      </c>
      <c r="E128" s="60">
        <v>1</v>
      </c>
      <c r="F128" s="61">
        <v>3285</v>
      </c>
      <c r="G128" s="61">
        <v>4599</v>
      </c>
    </row>
    <row r="129" spans="1:7">
      <c r="A129" s="57" t="s">
        <v>3956</v>
      </c>
      <c r="B129" s="58" t="s">
        <v>4147</v>
      </c>
      <c r="C129" s="59" t="s">
        <v>3986</v>
      </c>
      <c r="D129" s="60" t="s">
        <v>3515</v>
      </c>
      <c r="E129" s="60">
        <v>1</v>
      </c>
      <c r="F129" s="61">
        <v>70726</v>
      </c>
      <c r="G129" s="61">
        <v>99016.4</v>
      </c>
    </row>
    <row r="130" spans="1:7">
      <c r="A130" s="57" t="s">
        <v>3956</v>
      </c>
      <c r="B130" s="58" t="s">
        <v>4148</v>
      </c>
      <c r="C130" s="59" t="s">
        <v>3987</v>
      </c>
      <c r="D130" s="60" t="s">
        <v>3604</v>
      </c>
      <c r="E130" s="60">
        <v>1</v>
      </c>
      <c r="F130" s="61">
        <v>209.1</v>
      </c>
      <c r="G130" s="61">
        <v>292.74</v>
      </c>
    </row>
    <row r="131" spans="1:7">
      <c r="A131" s="57" t="s">
        <v>3988</v>
      </c>
      <c r="B131" s="58" t="s">
        <v>4149</v>
      </c>
      <c r="C131" s="59" t="s">
        <v>3989</v>
      </c>
      <c r="D131" s="60" t="s">
        <v>3515</v>
      </c>
      <c r="E131" s="60">
        <v>1</v>
      </c>
      <c r="F131" s="61">
        <v>283</v>
      </c>
      <c r="G131" s="61">
        <v>396.2</v>
      </c>
    </row>
    <row r="132" spans="1:7">
      <c r="A132" s="57" t="s">
        <v>3988</v>
      </c>
      <c r="B132" s="58" t="s">
        <v>4150</v>
      </c>
      <c r="C132" s="59" t="s">
        <v>3990</v>
      </c>
      <c r="D132" s="60" t="s">
        <v>3515</v>
      </c>
      <c r="E132" s="60">
        <v>1</v>
      </c>
      <c r="F132" s="61">
        <v>283</v>
      </c>
      <c r="G132" s="61">
        <v>396.2</v>
      </c>
    </row>
    <row r="133" spans="1:7">
      <c r="A133" s="57" t="s">
        <v>3988</v>
      </c>
      <c r="B133" s="58" t="s">
        <v>4151</v>
      </c>
      <c r="C133" s="59" t="s">
        <v>3991</v>
      </c>
      <c r="D133" s="60" t="s">
        <v>3515</v>
      </c>
      <c r="E133" s="60">
        <v>1</v>
      </c>
      <c r="F133" s="61">
        <v>5850</v>
      </c>
      <c r="G133" s="61">
        <v>8190</v>
      </c>
    </row>
    <row r="134" spans="1:7">
      <c r="A134" s="57" t="s">
        <v>3988</v>
      </c>
      <c r="B134" s="58" t="s">
        <v>4152</v>
      </c>
      <c r="C134" s="59" t="s">
        <v>3992</v>
      </c>
      <c r="D134" s="60" t="s">
        <v>3515</v>
      </c>
      <c r="E134" s="60">
        <v>1</v>
      </c>
      <c r="F134" s="61">
        <v>3680.1</v>
      </c>
      <c r="G134" s="61">
        <v>5152.1399999999994</v>
      </c>
    </row>
    <row r="135" spans="1:7">
      <c r="A135" s="57" t="s">
        <v>3993</v>
      </c>
      <c r="B135" s="58" t="s">
        <v>4153</v>
      </c>
      <c r="C135" s="59" t="s">
        <v>3994</v>
      </c>
      <c r="D135" s="60" t="s">
        <v>4184</v>
      </c>
      <c r="E135" s="60">
        <v>1</v>
      </c>
      <c r="F135" s="61">
        <v>6364.7</v>
      </c>
      <c r="G135" s="61">
        <v>8910.58</v>
      </c>
    </row>
    <row r="136" spans="1:7">
      <c r="A136" s="57" t="s">
        <v>3993</v>
      </c>
      <c r="B136" s="58" t="s">
        <v>4154</v>
      </c>
      <c r="C136" s="59" t="s">
        <v>3995</v>
      </c>
      <c r="D136" s="60" t="s">
        <v>4184</v>
      </c>
      <c r="E136" s="60">
        <v>1</v>
      </c>
      <c r="F136" s="61">
        <v>3641.9</v>
      </c>
      <c r="G136" s="61">
        <v>5098.66</v>
      </c>
    </row>
    <row r="137" spans="1:7">
      <c r="A137" s="57" t="s">
        <v>3993</v>
      </c>
      <c r="B137" s="58" t="s">
        <v>4155</v>
      </c>
      <c r="C137" s="59" t="s">
        <v>3996</v>
      </c>
      <c r="D137" s="60" t="s">
        <v>4184</v>
      </c>
      <c r="E137" s="60">
        <v>1</v>
      </c>
      <c r="F137" s="61">
        <v>5334</v>
      </c>
      <c r="G137" s="61">
        <v>7467.6</v>
      </c>
    </row>
    <row r="138" spans="1:7">
      <c r="A138" s="57" t="s">
        <v>3993</v>
      </c>
      <c r="B138" s="58" t="s">
        <v>4156</v>
      </c>
      <c r="C138" s="59" t="s">
        <v>3997</v>
      </c>
      <c r="D138" s="60" t="s">
        <v>4184</v>
      </c>
      <c r="E138" s="60">
        <v>1</v>
      </c>
      <c r="F138" s="61">
        <v>5655.3</v>
      </c>
      <c r="G138" s="61">
        <v>7917.42</v>
      </c>
    </row>
    <row r="139" spans="1:7">
      <c r="A139" s="57" t="s">
        <v>3993</v>
      </c>
      <c r="B139" s="58" t="s">
        <v>4157</v>
      </c>
      <c r="C139" s="59" t="s">
        <v>3998</v>
      </c>
      <c r="D139" s="60" t="s">
        <v>4184</v>
      </c>
      <c r="E139" s="60">
        <v>1</v>
      </c>
      <c r="F139" s="61">
        <v>6075.3</v>
      </c>
      <c r="G139" s="61">
        <v>8505.42</v>
      </c>
    </row>
    <row r="140" spans="1:7">
      <c r="A140" s="57" t="s">
        <v>3999</v>
      </c>
      <c r="B140" s="58" t="s">
        <v>4158</v>
      </c>
      <c r="C140" s="59" t="s">
        <v>4000</v>
      </c>
      <c r="D140" s="60" t="s">
        <v>3977</v>
      </c>
      <c r="E140" s="60">
        <v>1</v>
      </c>
      <c r="F140" s="61">
        <v>60000</v>
      </c>
      <c r="G140" s="61">
        <v>84000</v>
      </c>
    </row>
    <row r="141" spans="1:7">
      <c r="A141" s="57" t="s">
        <v>3999</v>
      </c>
      <c r="B141" s="58" t="s">
        <v>4159</v>
      </c>
      <c r="C141" s="59" t="s">
        <v>4001</v>
      </c>
      <c r="D141" s="60" t="s">
        <v>3515</v>
      </c>
      <c r="E141" s="60">
        <v>1</v>
      </c>
      <c r="F141" s="61">
        <v>356.6</v>
      </c>
      <c r="G141" s="61">
        <v>499.24</v>
      </c>
    </row>
    <row r="142" spans="1:7">
      <c r="A142" s="57" t="s">
        <v>4002</v>
      </c>
      <c r="B142" s="58" t="s">
        <v>4160</v>
      </c>
      <c r="C142" s="59" t="s">
        <v>4003</v>
      </c>
      <c r="D142" s="60" t="s">
        <v>3515</v>
      </c>
      <c r="E142" s="60">
        <v>1</v>
      </c>
      <c r="F142" s="61">
        <v>1366.2</v>
      </c>
      <c r="G142" s="61">
        <v>1912.68</v>
      </c>
    </row>
    <row r="143" spans="1:7">
      <c r="A143" s="57" t="s">
        <v>4002</v>
      </c>
      <c r="B143" s="58" t="s">
        <v>4161</v>
      </c>
      <c r="C143" s="59" t="s">
        <v>4004</v>
      </c>
      <c r="D143" s="60" t="s">
        <v>3515</v>
      </c>
      <c r="E143" s="60">
        <v>1</v>
      </c>
      <c r="F143" s="61">
        <v>4894.3999999999996</v>
      </c>
      <c r="G143" s="61">
        <v>6852.16</v>
      </c>
    </row>
    <row r="144" spans="1:7">
      <c r="A144" s="57" t="s">
        <v>4002</v>
      </c>
      <c r="B144" s="58" t="s">
        <v>4162</v>
      </c>
      <c r="C144" s="59" t="s">
        <v>4005</v>
      </c>
      <c r="D144" s="60" t="s">
        <v>3515</v>
      </c>
      <c r="E144" s="60">
        <v>1</v>
      </c>
      <c r="F144" s="61">
        <v>1205.5999999999999</v>
      </c>
      <c r="G144" s="61">
        <v>1687.84</v>
      </c>
    </row>
    <row r="145" spans="1:7">
      <c r="A145" s="57" t="s">
        <v>4002</v>
      </c>
      <c r="B145" s="58" t="s">
        <v>4163</v>
      </c>
      <c r="C145" s="59" t="s">
        <v>4006</v>
      </c>
      <c r="D145" s="60" t="s">
        <v>3515</v>
      </c>
      <c r="E145" s="60">
        <v>1</v>
      </c>
      <c r="F145" s="61">
        <v>2085.6</v>
      </c>
      <c r="G145" s="61">
        <v>2919.84</v>
      </c>
    </row>
    <row r="146" spans="1:7">
      <c r="A146" s="57" t="s">
        <v>4002</v>
      </c>
      <c r="B146" s="58" t="s">
        <v>4164</v>
      </c>
      <c r="C146" s="59" t="s">
        <v>4007</v>
      </c>
      <c r="D146" s="60" t="s">
        <v>3515</v>
      </c>
      <c r="E146" s="60">
        <v>1</v>
      </c>
      <c r="F146" s="61">
        <v>5975.2</v>
      </c>
      <c r="G146" s="61">
        <v>8365.2799999999988</v>
      </c>
    </row>
    <row r="147" spans="1:7">
      <c r="A147" s="57" t="s">
        <v>4002</v>
      </c>
      <c r="B147" s="58" t="s">
        <v>4165</v>
      </c>
      <c r="C147" s="59" t="s">
        <v>4008</v>
      </c>
      <c r="D147" s="60" t="s">
        <v>4183</v>
      </c>
      <c r="E147" s="60">
        <v>1</v>
      </c>
      <c r="F147" s="61">
        <v>11957.48</v>
      </c>
      <c r="G147" s="61">
        <v>16740.471999999998</v>
      </c>
    </row>
    <row r="148" spans="1:7">
      <c r="A148" s="57" t="s">
        <v>4002</v>
      </c>
      <c r="B148" s="58" t="s">
        <v>4166</v>
      </c>
      <c r="C148" s="59" t="s">
        <v>4009</v>
      </c>
      <c r="D148" s="60" t="s">
        <v>4184</v>
      </c>
      <c r="E148" s="60">
        <v>1</v>
      </c>
      <c r="F148" s="61">
        <v>2307</v>
      </c>
      <c r="G148" s="61">
        <v>3229.8</v>
      </c>
    </row>
    <row r="149" spans="1:7">
      <c r="A149" s="57" t="s">
        <v>4002</v>
      </c>
      <c r="B149" s="58" t="s">
        <v>4167</v>
      </c>
      <c r="C149" s="59" t="s">
        <v>4010</v>
      </c>
      <c r="D149" s="60" t="s">
        <v>4184</v>
      </c>
      <c r="E149" s="60">
        <v>1</v>
      </c>
      <c r="F149" s="61">
        <v>4316.3</v>
      </c>
      <c r="G149" s="61">
        <v>6042.82</v>
      </c>
    </row>
    <row r="150" spans="1:7">
      <c r="A150" s="57" t="s">
        <v>4002</v>
      </c>
      <c r="B150" s="58" t="s">
        <v>4168</v>
      </c>
      <c r="C150" s="59" t="s">
        <v>4011</v>
      </c>
      <c r="D150" s="60" t="s">
        <v>3515</v>
      </c>
      <c r="E150" s="60">
        <v>1</v>
      </c>
      <c r="F150" s="61">
        <v>1353</v>
      </c>
      <c r="G150" s="61">
        <v>1894.2</v>
      </c>
    </row>
    <row r="151" spans="1:7">
      <c r="A151" s="57" t="s">
        <v>4002</v>
      </c>
      <c r="B151" s="58" t="s">
        <v>4169</v>
      </c>
      <c r="C151" s="59" t="s">
        <v>4012</v>
      </c>
      <c r="D151" s="60" t="s">
        <v>3515</v>
      </c>
      <c r="E151" s="60">
        <v>1</v>
      </c>
      <c r="F151" s="61">
        <v>4884</v>
      </c>
      <c r="G151" s="61">
        <v>6837.6</v>
      </c>
    </row>
    <row r="152" spans="1:7">
      <c r="A152" s="57" t="s">
        <v>4002</v>
      </c>
      <c r="B152" s="58" t="s">
        <v>4170</v>
      </c>
      <c r="C152" s="59" t="s">
        <v>4013</v>
      </c>
      <c r="D152" s="60" t="s">
        <v>3618</v>
      </c>
      <c r="E152" s="60">
        <v>1</v>
      </c>
      <c r="F152" s="61">
        <v>1100.3</v>
      </c>
      <c r="G152" s="61">
        <v>1540.42</v>
      </c>
    </row>
    <row r="153" spans="1:7">
      <c r="A153" s="57" t="s">
        <v>4002</v>
      </c>
      <c r="B153" s="58" t="s">
        <v>4171</v>
      </c>
      <c r="C153" s="59" t="s">
        <v>4014</v>
      </c>
      <c r="D153" s="60" t="s">
        <v>4184</v>
      </c>
      <c r="E153" s="60">
        <v>1</v>
      </c>
      <c r="F153" s="61">
        <v>2774.1</v>
      </c>
      <c r="G153" s="61">
        <v>3883.74</v>
      </c>
    </row>
    <row r="154" spans="1:7">
      <c r="A154" s="57" t="s">
        <v>4002</v>
      </c>
      <c r="B154" s="58" t="s">
        <v>4172</v>
      </c>
      <c r="C154" s="59" t="s">
        <v>4015</v>
      </c>
      <c r="D154" s="60" t="s">
        <v>4183</v>
      </c>
      <c r="E154" s="60">
        <v>1</v>
      </c>
      <c r="F154" s="61">
        <v>6473.45</v>
      </c>
      <c r="G154" s="61">
        <v>9062.83</v>
      </c>
    </row>
    <row r="155" spans="1:7">
      <c r="A155" s="57" t="s">
        <v>3956</v>
      </c>
      <c r="B155" s="58" t="s">
        <v>4173</v>
      </c>
      <c r="C155" s="59" t="s">
        <v>4016</v>
      </c>
      <c r="D155" s="60" t="s">
        <v>3977</v>
      </c>
      <c r="E155" s="60">
        <v>1</v>
      </c>
      <c r="F155" s="61">
        <v>14364</v>
      </c>
      <c r="G155" s="61">
        <v>20109.599999999999</v>
      </c>
    </row>
    <row r="156" spans="1:7">
      <c r="A156" s="57" t="s">
        <v>3956</v>
      </c>
      <c r="B156" s="58" t="s">
        <v>4174</v>
      </c>
      <c r="C156" s="59" t="s">
        <v>4017</v>
      </c>
      <c r="D156" s="60" t="s">
        <v>3977</v>
      </c>
      <c r="E156" s="60">
        <v>1</v>
      </c>
      <c r="F156" s="61">
        <v>7875</v>
      </c>
      <c r="G156" s="61">
        <v>11025</v>
      </c>
    </row>
    <row r="157" spans="1:7">
      <c r="A157" s="58" t="s">
        <v>4018</v>
      </c>
      <c r="B157" s="58" t="s">
        <v>4175</v>
      </c>
      <c r="C157" s="68" t="s">
        <v>4019</v>
      </c>
      <c r="D157" s="60" t="s">
        <v>3588</v>
      </c>
      <c r="E157" s="60">
        <v>1</v>
      </c>
      <c r="F157" s="61">
        <v>1600</v>
      </c>
      <c r="G157" s="61">
        <v>2240</v>
      </c>
    </row>
    <row r="158" spans="1:7" ht="14.5">
      <c r="A158"/>
      <c r="B158"/>
      <c r="C158"/>
    </row>
    <row r="159" spans="1:7" ht="14.5">
      <c r="A159"/>
      <c r="B159"/>
      <c r="C159"/>
    </row>
    <row r="160" spans="1:7" ht="14.5">
      <c r="A160"/>
      <c r="B160"/>
      <c r="C160"/>
    </row>
    <row r="161" spans="1:3" ht="14.5">
      <c r="A161"/>
      <c r="B161"/>
      <c r="C161"/>
    </row>
    <row r="162" spans="1:3" ht="14.5">
      <c r="A162"/>
      <c r="B162"/>
      <c r="C162"/>
    </row>
    <row r="163" spans="1:3" ht="14.5">
      <c r="A163"/>
      <c r="B163"/>
      <c r="C163"/>
    </row>
    <row r="164" spans="1:3" ht="14.5">
      <c r="A164"/>
      <c r="B164"/>
      <c r="C164"/>
    </row>
    <row r="165" spans="1:3" ht="14.5">
      <c r="A165"/>
      <c r="B165"/>
      <c r="C165"/>
    </row>
    <row r="166" spans="1:3" ht="14.5">
      <c r="A166"/>
      <c r="B166"/>
      <c r="C166"/>
    </row>
    <row r="167" spans="1:3" s="66" customFormat="1" ht="14.5">
      <c r="A167"/>
      <c r="B167"/>
      <c r="C167"/>
    </row>
    <row r="168" spans="1:3" s="66" customFormat="1" ht="14.5">
      <c r="A168"/>
      <c r="B168"/>
      <c r="C168"/>
    </row>
    <row r="169" spans="1:3" s="66" customFormat="1" ht="14.5">
      <c r="A169"/>
      <c r="B169"/>
      <c r="C169"/>
    </row>
    <row r="170" spans="1:3" s="66" customFormat="1" ht="14.5">
      <c r="A170"/>
      <c r="B170"/>
      <c r="C170"/>
    </row>
    <row r="171" spans="1:3" ht="14.5">
      <c r="A171"/>
      <c r="B171"/>
      <c r="C171"/>
    </row>
    <row r="172" spans="1:3" ht="14.5">
      <c r="A172"/>
      <c r="B172"/>
      <c r="C172"/>
    </row>
    <row r="173" spans="1:3" s="66" customFormat="1" ht="14.5">
      <c r="A173"/>
      <c r="B173"/>
      <c r="C173"/>
    </row>
    <row r="174" spans="1:3" s="66" customFormat="1" ht="14.5">
      <c r="A174"/>
      <c r="B174"/>
      <c r="C174"/>
    </row>
    <row r="175" spans="1:3" s="66" customFormat="1" ht="14.5">
      <c r="A175"/>
      <c r="B175"/>
      <c r="C175"/>
    </row>
    <row r="176" spans="1:3" s="66" customFormat="1" ht="14.5">
      <c r="A176"/>
      <c r="B176"/>
      <c r="C176"/>
    </row>
    <row r="177" spans="1:3" s="66" customFormat="1" ht="14.5">
      <c r="A177"/>
      <c r="B177"/>
      <c r="C177"/>
    </row>
    <row r="178" spans="1:3" ht="14.5">
      <c r="A178"/>
      <c r="B178"/>
      <c r="C178"/>
    </row>
    <row r="179" spans="1:3" ht="14.5">
      <c r="A179"/>
      <c r="B179"/>
      <c r="C179"/>
    </row>
    <row r="180" spans="1:3" ht="14.5">
      <c r="A180"/>
      <c r="B180"/>
      <c r="C180"/>
    </row>
    <row r="181" spans="1:3" ht="14.5">
      <c r="A181"/>
      <c r="B181"/>
      <c r="C181"/>
    </row>
    <row r="182" spans="1:3" ht="14.5">
      <c r="A182"/>
      <c r="B182"/>
      <c r="C182"/>
    </row>
    <row r="183" spans="1:3" ht="14.5">
      <c r="A183"/>
      <c r="B183"/>
      <c r="C183"/>
    </row>
    <row r="184" spans="1:3" ht="14.5">
      <c r="A184"/>
      <c r="B184"/>
      <c r="C184"/>
    </row>
    <row r="185" spans="1:3" ht="14.5">
      <c r="A185"/>
      <c r="B185"/>
      <c r="C185"/>
    </row>
    <row r="186" spans="1:3" ht="14.5">
      <c r="A186"/>
      <c r="B186"/>
      <c r="C186"/>
    </row>
    <row r="187" spans="1:3" ht="14.5">
      <c r="A187"/>
      <c r="B187"/>
      <c r="C187"/>
    </row>
    <row r="188" spans="1:3" ht="14.5">
      <c r="A188"/>
      <c r="B188"/>
      <c r="C188"/>
    </row>
    <row r="189" spans="1:3" ht="14.5">
      <c r="A189"/>
      <c r="B189"/>
      <c r="C189"/>
    </row>
    <row r="190" spans="1:3" ht="14.5">
      <c r="A190"/>
      <c r="B190"/>
      <c r="C190"/>
    </row>
  </sheetData>
  <autoFilter ref="A1:G157" xr:uid="{1A22120B-4183-4C6E-B6E3-931F4F1C7C84}"/>
  <phoneticPr fontId="23" type="noConversion"/>
  <conditionalFormatting sqref="B1:B1048576">
    <cfRule type="duplicateValues" dxfId="5" priority="1"/>
  </conditionalFormatting>
  <conditionalFormatting sqref="B191:B1048576 B1:B157">
    <cfRule type="duplicateValues" dxfId="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8879-2C0B-411B-A593-BB87B0D0C8CB}">
  <dimension ref="A1:P9"/>
  <sheetViews>
    <sheetView topLeftCell="I1" workbookViewId="0">
      <selection sqref="A1:A1048576"/>
    </sheetView>
  </sheetViews>
  <sheetFormatPr defaultColWidth="9.1796875" defaultRowHeight="14.5"/>
  <cols>
    <col min="1" max="1" width="25.26953125" customWidth="1"/>
    <col min="2" max="2" width="15.81640625" customWidth="1"/>
    <col min="3" max="3" width="14.453125" style="2" customWidth="1"/>
    <col min="4" max="4" width="43.81640625" style="3" customWidth="1"/>
    <col min="5" max="5" width="23.54296875" customWidth="1"/>
    <col min="6" max="6" width="32" bestFit="1" customWidth="1"/>
    <col min="7" max="7" width="15.7265625" customWidth="1"/>
    <col min="8" max="8" width="18" customWidth="1"/>
    <col min="9" max="9" width="12.54296875" customWidth="1"/>
    <col min="10" max="10" width="16" customWidth="1"/>
    <col min="11" max="11" width="13.81640625" customWidth="1"/>
    <col min="12" max="12" width="16" customWidth="1"/>
    <col min="13" max="13" width="13.81640625" customWidth="1"/>
    <col min="14" max="14" width="16" customWidth="1"/>
    <col min="15" max="15" width="5.08984375" customWidth="1"/>
  </cols>
  <sheetData>
    <row r="1" spans="1:16" s="1" customFormat="1" ht="31">
      <c r="A1" s="5" t="s">
        <v>1</v>
      </c>
      <c r="B1" s="7" t="s">
        <v>3</v>
      </c>
      <c r="C1" s="8" t="s">
        <v>5</v>
      </c>
      <c r="D1" s="7" t="s">
        <v>6</v>
      </c>
      <c r="E1" s="7" t="s">
        <v>7</v>
      </c>
      <c r="F1" s="6" t="s">
        <v>8</v>
      </c>
      <c r="G1" s="6" t="s">
        <v>9</v>
      </c>
      <c r="H1" s="7" t="s">
        <v>10</v>
      </c>
      <c r="I1" s="7" t="s">
        <v>11</v>
      </c>
      <c r="J1" s="6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</row>
    <row r="2" spans="1:16">
      <c r="A2" t="s">
        <v>3478</v>
      </c>
      <c r="B2" t="s">
        <v>3479</v>
      </c>
      <c r="C2" s="2" t="s">
        <v>3480</v>
      </c>
      <c r="D2" s="3" t="s">
        <v>3481</v>
      </c>
      <c r="E2" t="s">
        <v>3481</v>
      </c>
      <c r="F2" t="s">
        <v>3482</v>
      </c>
      <c r="H2" s="14" t="s">
        <v>3483</v>
      </c>
      <c r="I2" s="14" t="s">
        <v>3483</v>
      </c>
      <c r="J2" s="2">
        <v>39201099</v>
      </c>
      <c r="K2" t="s">
        <v>3477</v>
      </c>
      <c r="L2">
        <v>18</v>
      </c>
      <c r="M2" t="s">
        <v>3477</v>
      </c>
      <c r="N2">
        <v>18</v>
      </c>
      <c r="O2" s="15">
        <v>114</v>
      </c>
      <c r="P2" s="16">
        <v>71</v>
      </c>
    </row>
    <row r="3" spans="1:16">
      <c r="A3" t="s">
        <v>3484</v>
      </c>
      <c r="B3" t="s">
        <v>3479</v>
      </c>
      <c r="C3" s="2" t="s">
        <v>3485</v>
      </c>
      <c r="D3" s="3" t="s">
        <v>3486</v>
      </c>
      <c r="E3" t="s">
        <v>3486</v>
      </c>
      <c r="F3" t="s">
        <v>3487</v>
      </c>
      <c r="H3" s="14" t="s">
        <v>3483</v>
      </c>
      <c r="I3" s="14" t="s">
        <v>3483</v>
      </c>
      <c r="J3" s="2">
        <v>56031300</v>
      </c>
      <c r="K3" t="s">
        <v>3488</v>
      </c>
      <c r="L3">
        <v>12</v>
      </c>
      <c r="M3" t="s">
        <v>3488</v>
      </c>
      <c r="N3">
        <v>12</v>
      </c>
      <c r="O3" s="15">
        <v>24</v>
      </c>
      <c r="P3" s="16">
        <v>15</v>
      </c>
    </row>
    <row r="4" spans="1:16">
      <c r="A4" t="s">
        <v>3484</v>
      </c>
      <c r="B4" t="s">
        <v>3479</v>
      </c>
      <c r="C4" s="2" t="s">
        <v>3489</v>
      </c>
      <c r="D4" s="3" t="s">
        <v>3490</v>
      </c>
      <c r="E4" t="s">
        <v>3490</v>
      </c>
      <c r="F4" t="s">
        <v>3487</v>
      </c>
      <c r="H4" s="14" t="s">
        <v>3483</v>
      </c>
      <c r="I4" s="14" t="s">
        <v>3483</v>
      </c>
      <c r="J4" s="2">
        <v>56031300</v>
      </c>
      <c r="K4" t="s">
        <v>3488</v>
      </c>
      <c r="L4">
        <v>12</v>
      </c>
      <c r="M4" t="s">
        <v>3488</v>
      </c>
      <c r="N4">
        <v>12</v>
      </c>
      <c r="O4" s="15">
        <v>30</v>
      </c>
      <c r="P4" s="16">
        <v>18</v>
      </c>
    </row>
    <row r="5" spans="1:16">
      <c r="A5" t="s">
        <v>3484</v>
      </c>
      <c r="B5" t="s">
        <v>3479</v>
      </c>
      <c r="C5" s="2" t="s">
        <v>3491</v>
      </c>
      <c r="D5" s="3" t="s">
        <v>3492</v>
      </c>
      <c r="E5" t="s">
        <v>3492</v>
      </c>
      <c r="F5" t="s">
        <v>3493</v>
      </c>
      <c r="H5" s="14" t="s">
        <v>3483</v>
      </c>
      <c r="I5" s="14" t="s">
        <v>3483</v>
      </c>
      <c r="J5" s="2">
        <v>56031300</v>
      </c>
      <c r="K5" t="s">
        <v>3488</v>
      </c>
      <c r="L5">
        <v>12</v>
      </c>
      <c r="M5" t="s">
        <v>3488</v>
      </c>
      <c r="N5">
        <v>12</v>
      </c>
      <c r="O5" s="15">
        <v>40</v>
      </c>
      <c r="P5" s="16">
        <v>25</v>
      </c>
    </row>
    <row r="6" spans="1:16">
      <c r="A6" t="s">
        <v>3478</v>
      </c>
      <c r="B6" t="s">
        <v>3479</v>
      </c>
      <c r="C6" s="2" t="s">
        <v>3494</v>
      </c>
      <c r="D6" s="3" t="s">
        <v>3495</v>
      </c>
      <c r="E6" t="s">
        <v>3495</v>
      </c>
      <c r="F6" t="s">
        <v>3496</v>
      </c>
      <c r="H6" s="14" t="s">
        <v>3483</v>
      </c>
      <c r="I6" s="14" t="s">
        <v>3483</v>
      </c>
      <c r="J6" s="2">
        <v>39201099</v>
      </c>
      <c r="K6" t="s">
        <v>3477</v>
      </c>
      <c r="L6">
        <v>18</v>
      </c>
      <c r="M6" t="s">
        <v>3477</v>
      </c>
      <c r="N6">
        <v>18</v>
      </c>
      <c r="O6" s="15">
        <v>248</v>
      </c>
      <c r="P6" s="16">
        <v>155</v>
      </c>
    </row>
    <row r="7" spans="1:16">
      <c r="A7" t="s">
        <v>3478</v>
      </c>
      <c r="B7" t="s">
        <v>3479</v>
      </c>
      <c r="C7" s="2" t="s">
        <v>3497</v>
      </c>
      <c r="D7" s="3" t="s">
        <v>3498</v>
      </c>
      <c r="E7" t="s">
        <v>3498</v>
      </c>
      <c r="F7" t="s">
        <v>3499</v>
      </c>
      <c r="H7" s="14" t="s">
        <v>3483</v>
      </c>
      <c r="I7" s="14" t="s">
        <v>3483</v>
      </c>
      <c r="J7" s="2">
        <v>39259090</v>
      </c>
      <c r="K7" t="s">
        <v>3477</v>
      </c>
      <c r="L7">
        <v>18</v>
      </c>
      <c r="M7" t="s">
        <v>3477</v>
      </c>
      <c r="N7">
        <v>18</v>
      </c>
      <c r="O7" s="15">
        <v>553</v>
      </c>
      <c r="P7" s="16">
        <v>346</v>
      </c>
    </row>
    <row r="8" spans="1:16">
      <c r="A8" t="s">
        <v>3478</v>
      </c>
      <c r="B8" t="s">
        <v>3479</v>
      </c>
      <c r="C8" s="2" t="s">
        <v>3500</v>
      </c>
      <c r="D8" s="3" t="s">
        <v>3501</v>
      </c>
      <c r="E8" t="s">
        <v>3501</v>
      </c>
      <c r="F8" t="s">
        <v>3502</v>
      </c>
      <c r="H8" s="14" t="s">
        <v>3483</v>
      </c>
      <c r="I8" s="14" t="s">
        <v>3483</v>
      </c>
      <c r="J8" s="2">
        <v>39269099</v>
      </c>
      <c r="K8" t="s">
        <v>3477</v>
      </c>
      <c r="L8">
        <v>18</v>
      </c>
      <c r="M8" t="s">
        <v>3477</v>
      </c>
      <c r="N8">
        <v>18</v>
      </c>
      <c r="O8" s="15">
        <v>340</v>
      </c>
      <c r="P8" s="16">
        <v>212</v>
      </c>
    </row>
    <row r="9" spans="1:16">
      <c r="A9" t="s">
        <v>3478</v>
      </c>
      <c r="B9" t="s">
        <v>3479</v>
      </c>
      <c r="C9" s="2" t="s">
        <v>3503</v>
      </c>
      <c r="D9" s="3" t="s">
        <v>3504</v>
      </c>
      <c r="E9" t="s">
        <v>3504</v>
      </c>
      <c r="F9" t="s">
        <v>3502</v>
      </c>
      <c r="H9" s="14" t="s">
        <v>3483</v>
      </c>
      <c r="I9" s="14" t="s">
        <v>3483</v>
      </c>
      <c r="J9" s="2">
        <v>39269099</v>
      </c>
      <c r="K9" t="s">
        <v>3477</v>
      </c>
      <c r="L9">
        <v>18</v>
      </c>
      <c r="M9" t="s">
        <v>3477</v>
      </c>
      <c r="N9">
        <v>18</v>
      </c>
      <c r="O9" s="15">
        <v>441</v>
      </c>
      <c r="P9" s="16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2F26-722B-4720-A9F9-E690C75C16DA}">
  <dimension ref="A1:P256"/>
  <sheetViews>
    <sheetView topLeftCell="A236" workbookViewId="0">
      <selection activeCell="E14" sqref="E14"/>
    </sheetView>
  </sheetViews>
  <sheetFormatPr defaultColWidth="8.7265625" defaultRowHeight="14.5"/>
  <cols>
    <col min="1" max="1" width="17.81640625" bestFit="1" customWidth="1"/>
    <col min="2" max="2" width="14.54296875" hidden="1" customWidth="1"/>
    <col min="3" max="3" width="34.6328125" customWidth="1"/>
    <col min="4" max="4" width="11.26953125" customWidth="1"/>
    <col min="5" max="5" width="45.90625" bestFit="1" customWidth="1"/>
    <col min="6" max="6" width="13.7265625" customWidth="1"/>
    <col min="7" max="7" width="13.81640625" style="91" bestFit="1" customWidth="1"/>
    <col min="8" max="8" width="12.453125" bestFit="1" customWidth="1"/>
    <col min="11" max="11" width="8.81640625" bestFit="1" customWidth="1"/>
  </cols>
  <sheetData>
    <row r="1" spans="1:14">
      <c r="A1" s="79" t="s">
        <v>205</v>
      </c>
      <c r="B1" s="79"/>
      <c r="C1" s="79"/>
      <c r="D1" s="79"/>
      <c r="E1" s="16"/>
      <c r="G1" s="80"/>
      <c r="H1" s="81"/>
    </row>
    <row r="2" spans="1:14" s="85" customFormat="1">
      <c r="A2" s="82" t="s">
        <v>3559</v>
      </c>
      <c r="B2" s="82" t="s">
        <v>4186</v>
      </c>
      <c r="C2" s="82" t="s">
        <v>1</v>
      </c>
      <c r="D2" s="82" t="s">
        <v>4328</v>
      </c>
      <c r="E2" s="82" t="s">
        <v>4187</v>
      </c>
      <c r="F2" s="82" t="s">
        <v>4177</v>
      </c>
      <c r="G2" s="83" t="s">
        <v>3634</v>
      </c>
      <c r="H2" s="84" t="s">
        <v>4329</v>
      </c>
      <c r="I2" s="83" t="s">
        <v>17</v>
      </c>
      <c r="K2"/>
      <c r="L2"/>
      <c r="M2"/>
      <c r="N2"/>
    </row>
    <row r="3" spans="1:14">
      <c r="A3" s="86" t="s">
        <v>4330</v>
      </c>
      <c r="B3" s="87">
        <v>35069190</v>
      </c>
      <c r="C3" s="87" t="s">
        <v>4331</v>
      </c>
      <c r="D3" s="87" t="s">
        <v>4332</v>
      </c>
      <c r="E3" s="87" t="s">
        <v>4333</v>
      </c>
      <c r="F3" s="88" t="s">
        <v>3588</v>
      </c>
      <c r="G3" s="89">
        <v>1340.5299962962963</v>
      </c>
      <c r="H3" s="89">
        <v>1447.7723960000001</v>
      </c>
      <c r="I3" s="88">
        <v>3255</v>
      </c>
      <c r="L3" s="77"/>
    </row>
    <row r="4" spans="1:14">
      <c r="A4" s="86" t="s">
        <v>4334</v>
      </c>
      <c r="B4" s="87"/>
      <c r="C4" s="87" t="s">
        <v>4331</v>
      </c>
      <c r="D4" s="87" t="s">
        <v>4332</v>
      </c>
      <c r="E4" s="87" t="s">
        <v>4335</v>
      </c>
      <c r="F4" s="88" t="s">
        <v>3588</v>
      </c>
      <c r="G4" s="89">
        <v>2536</v>
      </c>
      <c r="H4" s="89">
        <v>2739</v>
      </c>
      <c r="I4" s="88">
        <v>5580</v>
      </c>
      <c r="L4" s="77"/>
    </row>
    <row r="5" spans="1:14">
      <c r="A5" s="86" t="s">
        <v>4336</v>
      </c>
      <c r="B5" s="87"/>
      <c r="C5" s="87" t="s">
        <v>4331</v>
      </c>
      <c r="D5" s="87" t="s">
        <v>4332</v>
      </c>
      <c r="E5" s="87" t="s">
        <v>4337</v>
      </c>
      <c r="F5" s="88" t="s">
        <v>3588</v>
      </c>
      <c r="G5" s="89">
        <v>1437</v>
      </c>
      <c r="H5" s="89">
        <v>1552</v>
      </c>
      <c r="I5" s="88">
        <v>3375</v>
      </c>
      <c r="L5" s="77"/>
    </row>
    <row r="6" spans="1:14">
      <c r="A6" s="86" t="s">
        <v>4338</v>
      </c>
      <c r="B6" s="87">
        <v>35069190</v>
      </c>
      <c r="C6" s="87" t="s">
        <v>4331</v>
      </c>
      <c r="D6" s="87" t="s">
        <v>4332</v>
      </c>
      <c r="E6" s="87" t="s">
        <v>4339</v>
      </c>
      <c r="F6" s="88" t="s">
        <v>3588</v>
      </c>
      <c r="G6" s="89">
        <v>834.25925925925924</v>
      </c>
      <c r="H6" s="89">
        <v>900.99999999999989</v>
      </c>
      <c r="I6" s="88">
        <v>1735</v>
      </c>
      <c r="L6" s="77"/>
    </row>
    <row r="7" spans="1:14">
      <c r="A7" s="86" t="s">
        <v>4340</v>
      </c>
      <c r="B7" s="87">
        <v>35069190</v>
      </c>
      <c r="C7" s="87" t="s">
        <v>4331</v>
      </c>
      <c r="D7" s="87" t="s">
        <v>4332</v>
      </c>
      <c r="E7" s="87" t="s">
        <v>4341</v>
      </c>
      <c r="F7" s="88" t="s">
        <v>3588</v>
      </c>
      <c r="G7" s="89">
        <v>1000</v>
      </c>
      <c r="H7" s="89">
        <v>1080</v>
      </c>
      <c r="I7" s="88">
        <v>2270</v>
      </c>
      <c r="L7" s="77"/>
    </row>
    <row r="8" spans="1:14">
      <c r="A8" s="86" t="s">
        <v>4342</v>
      </c>
      <c r="B8" s="87">
        <v>35069190</v>
      </c>
      <c r="C8" s="87" t="s">
        <v>4331</v>
      </c>
      <c r="D8" s="87" t="s">
        <v>4332</v>
      </c>
      <c r="E8" s="87" t="s">
        <v>4343</v>
      </c>
      <c r="F8" s="88" t="s">
        <v>3588</v>
      </c>
      <c r="G8" s="89">
        <v>1150</v>
      </c>
      <c r="H8" s="89">
        <v>1242</v>
      </c>
      <c r="I8" s="88">
        <v>2600</v>
      </c>
      <c r="L8" s="77"/>
    </row>
    <row r="9" spans="1:14">
      <c r="A9" s="86" t="s">
        <v>4344</v>
      </c>
      <c r="B9" s="87">
        <v>38245090</v>
      </c>
      <c r="C9" s="87" t="s">
        <v>4331</v>
      </c>
      <c r="D9" s="87" t="s">
        <v>4332</v>
      </c>
      <c r="E9" s="87" t="s">
        <v>4345</v>
      </c>
      <c r="F9" s="88" t="s">
        <v>3588</v>
      </c>
      <c r="G9" s="89">
        <v>869.16600000000005</v>
      </c>
      <c r="H9" s="89">
        <v>938.7</v>
      </c>
      <c r="I9" s="88">
        <v>2300</v>
      </c>
      <c r="L9" s="77"/>
    </row>
    <row r="10" spans="1:14">
      <c r="A10" s="86" t="s">
        <v>4346</v>
      </c>
      <c r="B10" s="87">
        <v>38245090</v>
      </c>
      <c r="C10" s="87" t="s">
        <v>4331</v>
      </c>
      <c r="D10" s="87" t="s">
        <v>4332</v>
      </c>
      <c r="E10" s="87" t="s">
        <v>4347</v>
      </c>
      <c r="F10" s="88" t="s">
        <v>3588</v>
      </c>
      <c r="G10" s="89">
        <v>993.33</v>
      </c>
      <c r="H10" s="89">
        <v>1072.8</v>
      </c>
      <c r="I10" s="88">
        <v>2460</v>
      </c>
      <c r="L10" s="77"/>
    </row>
    <row r="11" spans="1:14">
      <c r="A11" s="86" t="s">
        <v>4348</v>
      </c>
      <c r="B11" s="87">
        <v>38245090</v>
      </c>
      <c r="C11" s="87" t="s">
        <v>4331</v>
      </c>
      <c r="D11" s="87" t="s">
        <v>4332</v>
      </c>
      <c r="E11" s="87" t="s">
        <v>4349</v>
      </c>
      <c r="F11" s="88" t="s">
        <v>3588</v>
      </c>
      <c r="G11" s="89">
        <v>739.67</v>
      </c>
      <c r="H11" s="89">
        <v>798.8454999999999</v>
      </c>
      <c r="I11" s="88">
        <v>1735</v>
      </c>
      <c r="L11" s="77"/>
    </row>
    <row r="12" spans="1:14">
      <c r="A12" s="86" t="s">
        <v>4350</v>
      </c>
      <c r="B12" s="87">
        <v>38245090</v>
      </c>
      <c r="C12" s="87" t="s">
        <v>4331</v>
      </c>
      <c r="D12" s="87" t="s">
        <v>4332</v>
      </c>
      <c r="E12" s="87" t="s">
        <v>4351</v>
      </c>
      <c r="F12" s="88" t="s">
        <v>3588</v>
      </c>
      <c r="G12" s="89">
        <v>828.08649999999989</v>
      </c>
      <c r="H12" s="89">
        <v>894.33949999999993</v>
      </c>
      <c r="I12" s="88">
        <v>1940</v>
      </c>
      <c r="L12" s="77"/>
    </row>
    <row r="13" spans="1:14">
      <c r="A13" s="86" t="s">
        <v>4352</v>
      </c>
      <c r="B13" s="87">
        <v>38245090</v>
      </c>
      <c r="C13" s="87" t="s">
        <v>4331</v>
      </c>
      <c r="D13" s="87" t="s">
        <v>4332</v>
      </c>
      <c r="E13" s="87" t="s">
        <v>4353</v>
      </c>
      <c r="F13" s="88" t="s">
        <v>3588</v>
      </c>
      <c r="G13" s="89">
        <v>621.2962962962963</v>
      </c>
      <c r="H13" s="89">
        <v>671</v>
      </c>
      <c r="I13" s="88">
        <v>1340</v>
      </c>
      <c r="L13" s="77"/>
    </row>
    <row r="14" spans="1:14">
      <c r="A14" s="86" t="s">
        <v>4354</v>
      </c>
      <c r="B14" s="87">
        <v>38245090</v>
      </c>
      <c r="C14" s="87" t="s">
        <v>4331</v>
      </c>
      <c r="D14" s="87" t="s">
        <v>4332</v>
      </c>
      <c r="E14" s="87" t="s">
        <v>4355</v>
      </c>
      <c r="F14" s="88" t="s">
        <v>3588</v>
      </c>
      <c r="G14" s="89">
        <v>671.2962962962963</v>
      </c>
      <c r="H14" s="89">
        <v>725</v>
      </c>
      <c r="I14" s="88">
        <v>1445</v>
      </c>
      <c r="L14" s="77"/>
    </row>
    <row r="15" spans="1:14">
      <c r="A15" s="86" t="s">
        <v>4356</v>
      </c>
      <c r="B15" s="87">
        <v>38245090</v>
      </c>
      <c r="C15" s="87" t="s">
        <v>4331</v>
      </c>
      <c r="D15" s="87" t="s">
        <v>4332</v>
      </c>
      <c r="E15" s="87" t="s">
        <v>4357</v>
      </c>
      <c r="F15" s="88" t="s">
        <v>3588</v>
      </c>
      <c r="G15" s="89">
        <v>459.22999999999996</v>
      </c>
      <c r="H15" s="89">
        <v>495.976</v>
      </c>
      <c r="I15" s="88">
        <v>1100</v>
      </c>
      <c r="L15" s="77"/>
    </row>
    <row r="16" spans="1:14">
      <c r="A16" s="86" t="s">
        <v>4358</v>
      </c>
      <c r="B16" s="87">
        <v>38245090</v>
      </c>
      <c r="C16" s="87" t="s">
        <v>4331</v>
      </c>
      <c r="D16" s="87" t="s">
        <v>4332</v>
      </c>
      <c r="E16" s="87" t="s">
        <v>4359</v>
      </c>
      <c r="F16" s="88" t="s">
        <v>3588</v>
      </c>
      <c r="G16" s="89">
        <v>526.851</v>
      </c>
      <c r="H16" s="89">
        <v>569.00250000000005</v>
      </c>
      <c r="I16" s="88">
        <v>1250</v>
      </c>
      <c r="L16" s="77"/>
    </row>
    <row r="17" spans="1:12">
      <c r="A17" s="86" t="s">
        <v>4360</v>
      </c>
      <c r="B17" s="87">
        <v>38245090</v>
      </c>
      <c r="C17" s="87" t="s">
        <v>4331</v>
      </c>
      <c r="D17" s="87" t="s">
        <v>4332</v>
      </c>
      <c r="E17" s="87" t="s">
        <v>4361</v>
      </c>
      <c r="F17" s="88" t="s">
        <v>3588</v>
      </c>
      <c r="G17" s="89">
        <v>111.1111111111111</v>
      </c>
      <c r="H17" s="89">
        <v>119.99999999999999</v>
      </c>
      <c r="I17" s="88">
        <v>245</v>
      </c>
      <c r="L17" s="77"/>
    </row>
    <row r="18" spans="1:12">
      <c r="A18" s="86" t="s">
        <v>4362</v>
      </c>
      <c r="B18" s="87">
        <v>38245090</v>
      </c>
      <c r="C18" s="87" t="s">
        <v>4331</v>
      </c>
      <c r="D18" s="87" t="s">
        <v>4332</v>
      </c>
      <c r="E18" s="87" t="s">
        <v>4363</v>
      </c>
      <c r="F18" s="88" t="s">
        <v>3588</v>
      </c>
      <c r="G18" s="89">
        <v>424.99800000000005</v>
      </c>
      <c r="H18" s="89">
        <v>459</v>
      </c>
      <c r="I18" s="88">
        <v>935</v>
      </c>
      <c r="L18" s="77"/>
    </row>
    <row r="19" spans="1:12">
      <c r="A19" s="86" t="s">
        <v>4364</v>
      </c>
      <c r="B19" s="87">
        <v>38245090</v>
      </c>
      <c r="C19" s="87" t="s">
        <v>4331</v>
      </c>
      <c r="D19" s="87" t="s">
        <v>4332</v>
      </c>
      <c r="E19" s="87" t="s">
        <v>4365</v>
      </c>
      <c r="F19" s="88" t="s">
        <v>3588</v>
      </c>
      <c r="G19" s="89">
        <v>1034.163</v>
      </c>
      <c r="H19" s="89">
        <v>1116.9000000000001</v>
      </c>
      <c r="I19" s="88">
        <v>1985</v>
      </c>
      <c r="L19" s="77"/>
    </row>
    <row r="20" spans="1:12">
      <c r="A20" s="86" t="s">
        <v>4366</v>
      </c>
      <c r="B20" s="87">
        <v>38244090</v>
      </c>
      <c r="C20" s="87" t="s">
        <v>4331</v>
      </c>
      <c r="D20" s="87" t="s">
        <v>4332</v>
      </c>
      <c r="E20" s="87" t="s">
        <v>4367</v>
      </c>
      <c r="F20" s="88" t="s">
        <v>3588</v>
      </c>
      <c r="G20" s="89">
        <v>70.370370370370367</v>
      </c>
      <c r="H20" s="89">
        <v>76</v>
      </c>
      <c r="I20" s="88">
        <v>140</v>
      </c>
      <c r="L20" s="77"/>
    </row>
    <row r="21" spans="1:12">
      <c r="A21" s="86" t="s">
        <v>4368</v>
      </c>
      <c r="B21" s="87">
        <v>38245090</v>
      </c>
      <c r="C21" s="87" t="s">
        <v>4369</v>
      </c>
      <c r="D21" s="87" t="s">
        <v>4332</v>
      </c>
      <c r="E21" s="87" t="s">
        <v>4370</v>
      </c>
      <c r="F21" s="88" t="s">
        <v>3515</v>
      </c>
      <c r="G21" s="89">
        <v>25</v>
      </c>
      <c r="H21" s="89">
        <v>27</v>
      </c>
      <c r="I21" s="88">
        <v>75</v>
      </c>
      <c r="L21" s="77"/>
    </row>
    <row r="22" spans="1:12">
      <c r="A22" s="86" t="s">
        <v>4371</v>
      </c>
      <c r="B22" s="87">
        <v>38245090</v>
      </c>
      <c r="C22" s="87" t="s">
        <v>4369</v>
      </c>
      <c r="D22" s="87" t="s">
        <v>4332</v>
      </c>
      <c r="E22" s="87" t="s">
        <v>4372</v>
      </c>
      <c r="F22" s="88" t="s">
        <v>3515</v>
      </c>
      <c r="G22" s="89">
        <v>25</v>
      </c>
      <c r="H22" s="89">
        <v>27</v>
      </c>
      <c r="I22" s="88">
        <v>75</v>
      </c>
      <c r="L22" s="77"/>
    </row>
    <row r="23" spans="1:12">
      <c r="A23" s="86" t="s">
        <v>4373</v>
      </c>
      <c r="B23" s="87">
        <v>38245090</v>
      </c>
      <c r="C23" s="87" t="s">
        <v>4369</v>
      </c>
      <c r="D23" s="87" t="s">
        <v>4332</v>
      </c>
      <c r="E23" s="87" t="s">
        <v>4374</v>
      </c>
      <c r="F23" s="88" t="s">
        <v>3515</v>
      </c>
      <c r="G23" s="89">
        <v>25</v>
      </c>
      <c r="H23" s="89">
        <v>27</v>
      </c>
      <c r="I23" s="88">
        <v>75</v>
      </c>
      <c r="L23" s="77"/>
    </row>
    <row r="24" spans="1:12">
      <c r="A24" s="86" t="s">
        <v>4375</v>
      </c>
      <c r="B24" s="87">
        <v>38245090</v>
      </c>
      <c r="C24" s="87" t="s">
        <v>4369</v>
      </c>
      <c r="D24" s="87" t="s">
        <v>4332</v>
      </c>
      <c r="E24" s="87" t="s">
        <v>4376</v>
      </c>
      <c r="F24" s="88" t="s">
        <v>3515</v>
      </c>
      <c r="G24" s="89">
        <v>25</v>
      </c>
      <c r="H24" s="89">
        <v>27</v>
      </c>
      <c r="I24" s="88">
        <v>75</v>
      </c>
      <c r="L24" s="77"/>
    </row>
    <row r="25" spans="1:12">
      <c r="A25" s="86" t="s">
        <v>4377</v>
      </c>
      <c r="B25" s="87">
        <v>38245090</v>
      </c>
      <c r="C25" s="87" t="s">
        <v>4369</v>
      </c>
      <c r="D25" s="87" t="s">
        <v>4332</v>
      </c>
      <c r="E25" s="87" t="s">
        <v>4378</v>
      </c>
      <c r="F25" s="88" t="s">
        <v>3515</v>
      </c>
      <c r="G25" s="89">
        <v>25</v>
      </c>
      <c r="H25" s="89">
        <v>27</v>
      </c>
      <c r="I25" s="88">
        <v>75</v>
      </c>
      <c r="L25" s="77"/>
    </row>
    <row r="26" spans="1:12">
      <c r="A26" s="86" t="s">
        <v>4379</v>
      </c>
      <c r="B26" s="87">
        <v>38245090</v>
      </c>
      <c r="C26" s="87" t="s">
        <v>4369</v>
      </c>
      <c r="D26" s="87" t="s">
        <v>4332</v>
      </c>
      <c r="E26" s="87" t="s">
        <v>4380</v>
      </c>
      <c r="F26" s="88" t="s">
        <v>3515</v>
      </c>
      <c r="G26" s="89">
        <v>25</v>
      </c>
      <c r="H26" s="89">
        <v>27</v>
      </c>
      <c r="I26" s="88">
        <v>75</v>
      </c>
      <c r="L26" s="77"/>
    </row>
    <row r="27" spans="1:12">
      <c r="A27" s="86" t="s">
        <v>4381</v>
      </c>
      <c r="B27" s="87">
        <v>38245090</v>
      </c>
      <c r="C27" s="87" t="s">
        <v>4369</v>
      </c>
      <c r="D27" s="87" t="s">
        <v>4332</v>
      </c>
      <c r="E27" s="87" t="s">
        <v>4382</v>
      </c>
      <c r="F27" s="88" t="s">
        <v>3515</v>
      </c>
      <c r="G27" s="89">
        <v>25</v>
      </c>
      <c r="H27" s="89">
        <v>27</v>
      </c>
      <c r="I27" s="88">
        <v>75</v>
      </c>
      <c r="L27" s="77"/>
    </row>
    <row r="28" spans="1:12">
      <c r="A28" s="86" t="s">
        <v>4383</v>
      </c>
      <c r="B28" s="87">
        <v>38245090</v>
      </c>
      <c r="C28" s="87" t="s">
        <v>4369</v>
      </c>
      <c r="D28" s="87" t="s">
        <v>4332</v>
      </c>
      <c r="E28" s="87" t="s">
        <v>4384</v>
      </c>
      <c r="F28" s="88" t="s">
        <v>3515</v>
      </c>
      <c r="G28" s="89">
        <v>25</v>
      </c>
      <c r="H28" s="89">
        <v>27</v>
      </c>
      <c r="I28" s="88">
        <v>75</v>
      </c>
      <c r="L28" s="77"/>
    </row>
    <row r="29" spans="1:12">
      <c r="A29" s="86" t="s">
        <v>4385</v>
      </c>
      <c r="B29" s="87">
        <v>38245090</v>
      </c>
      <c r="C29" s="87" t="s">
        <v>4369</v>
      </c>
      <c r="D29" s="87" t="s">
        <v>4332</v>
      </c>
      <c r="E29" s="87" t="s">
        <v>4386</v>
      </c>
      <c r="F29" s="88" t="s">
        <v>3515</v>
      </c>
      <c r="G29" s="89">
        <v>25</v>
      </c>
      <c r="H29" s="89">
        <v>27</v>
      </c>
      <c r="I29" s="88">
        <v>75</v>
      </c>
      <c r="L29" s="77"/>
    </row>
    <row r="30" spans="1:12">
      <c r="A30" s="86" t="s">
        <v>4387</v>
      </c>
      <c r="B30" s="87">
        <v>38245090</v>
      </c>
      <c r="C30" s="87" t="s">
        <v>4369</v>
      </c>
      <c r="D30" s="87" t="s">
        <v>4332</v>
      </c>
      <c r="E30" s="87" t="s">
        <v>4388</v>
      </c>
      <c r="F30" s="88" t="s">
        <v>3515</v>
      </c>
      <c r="G30" s="89">
        <v>25</v>
      </c>
      <c r="H30" s="89">
        <v>27</v>
      </c>
      <c r="I30" s="88">
        <v>75</v>
      </c>
      <c r="L30" s="77"/>
    </row>
    <row r="31" spans="1:12">
      <c r="A31" s="86" t="s">
        <v>4389</v>
      </c>
      <c r="B31" s="87">
        <v>38245090</v>
      </c>
      <c r="C31" s="87" t="s">
        <v>4369</v>
      </c>
      <c r="D31" s="87" t="s">
        <v>4332</v>
      </c>
      <c r="E31" s="87" t="s">
        <v>4390</v>
      </c>
      <c r="F31" s="88" t="s">
        <v>3515</v>
      </c>
      <c r="G31" s="89">
        <v>25</v>
      </c>
      <c r="H31" s="89">
        <v>27</v>
      </c>
      <c r="I31" s="88">
        <v>75</v>
      </c>
      <c r="L31" s="77"/>
    </row>
    <row r="32" spans="1:12">
      <c r="A32" s="86" t="s">
        <v>4391</v>
      </c>
      <c r="B32" s="87">
        <v>38245090</v>
      </c>
      <c r="C32" s="87" t="s">
        <v>4369</v>
      </c>
      <c r="D32" s="87" t="s">
        <v>4332</v>
      </c>
      <c r="E32" s="87" t="s">
        <v>4392</v>
      </c>
      <c r="F32" s="88" t="s">
        <v>3515</v>
      </c>
      <c r="G32" s="89">
        <v>25</v>
      </c>
      <c r="H32" s="89">
        <v>27</v>
      </c>
      <c r="I32" s="88">
        <v>75</v>
      </c>
      <c r="L32" s="77"/>
    </row>
    <row r="33" spans="1:12">
      <c r="A33" s="86" t="s">
        <v>4393</v>
      </c>
      <c r="B33" s="87">
        <v>38245090</v>
      </c>
      <c r="C33" s="87" t="s">
        <v>4369</v>
      </c>
      <c r="D33" s="87" t="s">
        <v>4332</v>
      </c>
      <c r="E33" s="87" t="s">
        <v>4394</v>
      </c>
      <c r="F33" s="88" t="s">
        <v>3515</v>
      </c>
      <c r="G33" s="89">
        <v>25</v>
      </c>
      <c r="H33" s="89">
        <v>27</v>
      </c>
      <c r="I33" s="88">
        <v>75</v>
      </c>
      <c r="L33" s="77"/>
    </row>
    <row r="34" spans="1:12">
      <c r="A34" s="86" t="s">
        <v>4395</v>
      </c>
      <c r="B34" s="87">
        <v>38245090</v>
      </c>
      <c r="C34" s="87" t="s">
        <v>4369</v>
      </c>
      <c r="D34" s="87" t="s">
        <v>4332</v>
      </c>
      <c r="E34" s="87" t="s">
        <v>4396</v>
      </c>
      <c r="F34" s="88" t="s">
        <v>3515</v>
      </c>
      <c r="G34" s="89">
        <v>25</v>
      </c>
      <c r="H34" s="89">
        <v>27</v>
      </c>
      <c r="I34" s="88">
        <v>75</v>
      </c>
      <c r="L34" s="77"/>
    </row>
    <row r="35" spans="1:12">
      <c r="A35" s="86" t="s">
        <v>4397</v>
      </c>
      <c r="B35" s="87">
        <v>38245090</v>
      </c>
      <c r="C35" s="87" t="s">
        <v>4369</v>
      </c>
      <c r="D35" s="87" t="s">
        <v>4332</v>
      </c>
      <c r="E35" s="87" t="s">
        <v>4398</v>
      </c>
      <c r="F35" s="88" t="s">
        <v>3515</v>
      </c>
      <c r="G35" s="89">
        <v>25</v>
      </c>
      <c r="H35" s="89">
        <v>27</v>
      </c>
      <c r="I35" s="88">
        <v>75</v>
      </c>
      <c r="L35" s="77"/>
    </row>
    <row r="36" spans="1:12">
      <c r="A36" s="86" t="s">
        <v>4399</v>
      </c>
      <c r="B36" s="87">
        <v>38245090</v>
      </c>
      <c r="C36" s="87" t="s">
        <v>4369</v>
      </c>
      <c r="D36" s="87" t="s">
        <v>4332</v>
      </c>
      <c r="E36" s="87" t="s">
        <v>4400</v>
      </c>
      <c r="F36" s="88" t="s">
        <v>3515</v>
      </c>
      <c r="G36" s="89">
        <v>25</v>
      </c>
      <c r="H36" s="89">
        <v>27</v>
      </c>
      <c r="I36" s="88">
        <v>75</v>
      </c>
      <c r="L36" s="77"/>
    </row>
    <row r="37" spans="1:12">
      <c r="A37" s="86" t="s">
        <v>4401</v>
      </c>
      <c r="B37" s="87">
        <v>38245090</v>
      </c>
      <c r="C37" s="87" t="s">
        <v>4369</v>
      </c>
      <c r="D37" s="87" t="s">
        <v>4332</v>
      </c>
      <c r="E37" s="87" t="s">
        <v>4402</v>
      </c>
      <c r="F37" s="88" t="s">
        <v>3515</v>
      </c>
      <c r="G37" s="89">
        <v>25</v>
      </c>
      <c r="H37" s="89">
        <v>27</v>
      </c>
      <c r="I37" s="88">
        <v>75</v>
      </c>
      <c r="L37" s="77"/>
    </row>
    <row r="38" spans="1:12">
      <c r="A38" s="86" t="s">
        <v>4403</v>
      </c>
      <c r="B38" s="87">
        <v>38245090</v>
      </c>
      <c r="C38" s="87" t="s">
        <v>4369</v>
      </c>
      <c r="D38" s="87" t="s">
        <v>4332</v>
      </c>
      <c r="E38" s="87" t="s">
        <v>4404</v>
      </c>
      <c r="F38" s="88" t="s">
        <v>3515</v>
      </c>
      <c r="G38" s="89">
        <v>25</v>
      </c>
      <c r="H38" s="89">
        <v>27</v>
      </c>
      <c r="I38" s="88">
        <v>75</v>
      </c>
      <c r="L38" s="77"/>
    </row>
    <row r="39" spans="1:12">
      <c r="A39" s="86" t="s">
        <v>4405</v>
      </c>
      <c r="B39" s="87">
        <v>38245090</v>
      </c>
      <c r="C39" s="87" t="s">
        <v>4369</v>
      </c>
      <c r="D39" s="87" t="s">
        <v>4332</v>
      </c>
      <c r="E39" s="87" t="s">
        <v>4406</v>
      </c>
      <c r="F39" s="88" t="s">
        <v>3515</v>
      </c>
      <c r="G39" s="89">
        <v>25</v>
      </c>
      <c r="H39" s="89">
        <v>27</v>
      </c>
      <c r="I39" s="88">
        <v>75</v>
      </c>
      <c r="L39" s="77"/>
    </row>
    <row r="40" spans="1:12">
      <c r="A40" s="86" t="s">
        <v>4407</v>
      </c>
      <c r="B40" s="87">
        <v>38245090</v>
      </c>
      <c r="C40" s="87" t="s">
        <v>4369</v>
      </c>
      <c r="D40" s="87" t="s">
        <v>4332</v>
      </c>
      <c r="E40" s="87" t="s">
        <v>4408</v>
      </c>
      <c r="F40" s="88" t="s">
        <v>3515</v>
      </c>
      <c r="G40" s="89">
        <v>38.453462962962959</v>
      </c>
      <c r="H40" s="89">
        <v>41.529739999999997</v>
      </c>
      <c r="I40" s="88">
        <v>130</v>
      </c>
      <c r="L40" s="77"/>
    </row>
    <row r="41" spans="1:12">
      <c r="A41" s="86" t="s">
        <v>4409</v>
      </c>
      <c r="B41" s="87">
        <v>38245090</v>
      </c>
      <c r="C41" s="87" t="s">
        <v>4369</v>
      </c>
      <c r="D41" s="87" t="s">
        <v>4332</v>
      </c>
      <c r="E41" s="87" t="s">
        <v>4410</v>
      </c>
      <c r="F41" s="88" t="s">
        <v>3515</v>
      </c>
      <c r="G41" s="89">
        <v>38.453462962962959</v>
      </c>
      <c r="H41" s="89">
        <v>41.529739999999997</v>
      </c>
      <c r="I41" s="88">
        <v>130</v>
      </c>
      <c r="L41" s="77"/>
    </row>
    <row r="42" spans="1:12">
      <c r="A42" s="86" t="s">
        <v>4411</v>
      </c>
      <c r="B42" s="87">
        <v>38245090</v>
      </c>
      <c r="C42" s="87" t="s">
        <v>4369</v>
      </c>
      <c r="D42" s="87" t="s">
        <v>4332</v>
      </c>
      <c r="E42" s="87" t="s">
        <v>4412</v>
      </c>
      <c r="F42" s="88" t="s">
        <v>3515</v>
      </c>
      <c r="G42" s="89">
        <v>38.453462962962959</v>
      </c>
      <c r="H42" s="89">
        <v>41.529739999999997</v>
      </c>
      <c r="I42" s="88">
        <v>130</v>
      </c>
      <c r="L42" s="77"/>
    </row>
    <row r="43" spans="1:12">
      <c r="A43" s="86" t="s">
        <v>4413</v>
      </c>
      <c r="B43" s="87">
        <v>38245090</v>
      </c>
      <c r="C43" s="87" t="s">
        <v>4369</v>
      </c>
      <c r="D43" s="87" t="s">
        <v>4332</v>
      </c>
      <c r="E43" s="87" t="s">
        <v>4414</v>
      </c>
      <c r="F43" s="88" t="s">
        <v>3515</v>
      </c>
      <c r="G43" s="89">
        <v>38.453462962962959</v>
      </c>
      <c r="H43" s="89">
        <v>41.529739999999997</v>
      </c>
      <c r="I43" s="88">
        <v>130</v>
      </c>
      <c r="L43" s="77"/>
    </row>
    <row r="44" spans="1:12">
      <c r="A44" s="86" t="s">
        <v>4415</v>
      </c>
      <c r="B44" s="87">
        <v>38245090</v>
      </c>
      <c r="C44" s="87" t="s">
        <v>4369</v>
      </c>
      <c r="D44" s="87" t="s">
        <v>4332</v>
      </c>
      <c r="E44" s="87" t="s">
        <v>4416</v>
      </c>
      <c r="F44" s="88" t="s">
        <v>3515</v>
      </c>
      <c r="G44" s="89">
        <v>38.453462962962959</v>
      </c>
      <c r="H44" s="89">
        <v>41.529739999999997</v>
      </c>
      <c r="I44" s="88">
        <v>130</v>
      </c>
      <c r="L44" s="77"/>
    </row>
    <row r="45" spans="1:12">
      <c r="A45" s="86" t="s">
        <v>4417</v>
      </c>
      <c r="B45" s="87">
        <v>38245090</v>
      </c>
      <c r="C45" s="87" t="s">
        <v>4369</v>
      </c>
      <c r="D45" s="87" t="s">
        <v>4332</v>
      </c>
      <c r="E45" s="87" t="s">
        <v>4418</v>
      </c>
      <c r="F45" s="88" t="s">
        <v>3515</v>
      </c>
      <c r="G45" s="89">
        <v>38.453462962962959</v>
      </c>
      <c r="H45" s="89">
        <v>41.529739999999997</v>
      </c>
      <c r="I45" s="88">
        <v>130</v>
      </c>
      <c r="L45" s="77"/>
    </row>
    <row r="46" spans="1:12">
      <c r="A46" s="86" t="s">
        <v>4419</v>
      </c>
      <c r="B46" s="87">
        <v>38245090</v>
      </c>
      <c r="C46" s="87" t="s">
        <v>4369</v>
      </c>
      <c r="D46" s="87" t="s">
        <v>4332</v>
      </c>
      <c r="E46" s="87" t="s">
        <v>4420</v>
      </c>
      <c r="F46" s="88" t="s">
        <v>3515</v>
      </c>
      <c r="G46" s="89">
        <v>38.453462962962959</v>
      </c>
      <c r="H46" s="89">
        <v>41.529739999999997</v>
      </c>
      <c r="I46" s="88">
        <v>130</v>
      </c>
      <c r="L46" s="77"/>
    </row>
    <row r="47" spans="1:12">
      <c r="A47" s="86" t="s">
        <v>4421</v>
      </c>
      <c r="B47" s="87">
        <v>38245090</v>
      </c>
      <c r="C47" s="87" t="s">
        <v>4369</v>
      </c>
      <c r="D47" s="87" t="s">
        <v>4332</v>
      </c>
      <c r="E47" s="87" t="s">
        <v>4422</v>
      </c>
      <c r="F47" s="88" t="s">
        <v>3515</v>
      </c>
      <c r="G47" s="89">
        <v>38.453462962962959</v>
      </c>
      <c r="H47" s="89">
        <v>41.529739999999997</v>
      </c>
      <c r="I47" s="88">
        <v>130</v>
      </c>
      <c r="L47" s="77"/>
    </row>
    <row r="48" spans="1:12">
      <c r="A48" s="86" t="s">
        <v>4423</v>
      </c>
      <c r="B48" s="87">
        <v>38245090</v>
      </c>
      <c r="C48" s="87" t="s">
        <v>4369</v>
      </c>
      <c r="D48" s="87" t="s">
        <v>4332</v>
      </c>
      <c r="E48" s="87" t="s">
        <v>4424</v>
      </c>
      <c r="F48" s="88" t="s">
        <v>3515</v>
      </c>
      <c r="G48" s="89">
        <v>38.453462962962959</v>
      </c>
      <c r="H48" s="89">
        <v>41.529739999999997</v>
      </c>
      <c r="I48" s="88">
        <v>130</v>
      </c>
      <c r="L48" s="77"/>
    </row>
    <row r="49" spans="1:12">
      <c r="A49" s="86" t="s">
        <v>4425</v>
      </c>
      <c r="B49" s="87">
        <v>38245090</v>
      </c>
      <c r="C49" s="87" t="s">
        <v>4369</v>
      </c>
      <c r="D49" s="87" t="s">
        <v>4332</v>
      </c>
      <c r="E49" s="87" t="s">
        <v>4426</v>
      </c>
      <c r="F49" s="88" t="s">
        <v>3515</v>
      </c>
      <c r="G49" s="89">
        <v>38.453462962962959</v>
      </c>
      <c r="H49" s="89">
        <v>41.529739999999997</v>
      </c>
      <c r="I49" s="88">
        <v>130</v>
      </c>
      <c r="L49" s="77"/>
    </row>
    <row r="50" spans="1:12">
      <c r="A50" s="86" t="s">
        <v>4427</v>
      </c>
      <c r="B50" s="87">
        <v>38245090</v>
      </c>
      <c r="C50" s="87" t="s">
        <v>4369</v>
      </c>
      <c r="D50" s="87" t="s">
        <v>4332</v>
      </c>
      <c r="E50" s="87" t="s">
        <v>4428</v>
      </c>
      <c r="F50" s="88" t="s">
        <v>3515</v>
      </c>
      <c r="G50" s="89">
        <v>38.453462962962959</v>
      </c>
      <c r="H50" s="89">
        <v>41.529739999999997</v>
      </c>
      <c r="I50" s="88">
        <v>130</v>
      </c>
      <c r="L50" s="77"/>
    </row>
    <row r="51" spans="1:12">
      <c r="A51" s="86" t="s">
        <v>4429</v>
      </c>
      <c r="B51" s="87">
        <v>38245090</v>
      </c>
      <c r="C51" s="87" t="s">
        <v>4369</v>
      </c>
      <c r="D51" s="87" t="s">
        <v>4332</v>
      </c>
      <c r="E51" s="87" t="s">
        <v>4430</v>
      </c>
      <c r="F51" s="88" t="s">
        <v>3515</v>
      </c>
      <c r="G51" s="89">
        <v>38.453462962962959</v>
      </c>
      <c r="H51" s="89">
        <v>41.529739999999997</v>
      </c>
      <c r="I51" s="88">
        <v>130</v>
      </c>
      <c r="L51" s="77"/>
    </row>
    <row r="52" spans="1:12">
      <c r="A52" s="86" t="s">
        <v>4431</v>
      </c>
      <c r="B52" s="87">
        <v>38245090</v>
      </c>
      <c r="C52" s="87" t="s">
        <v>4369</v>
      </c>
      <c r="D52" s="87" t="s">
        <v>4332</v>
      </c>
      <c r="E52" s="87" t="s">
        <v>4432</v>
      </c>
      <c r="F52" s="88" t="s">
        <v>3515</v>
      </c>
      <c r="G52" s="89">
        <v>38.453462962962959</v>
      </c>
      <c r="H52" s="89">
        <v>41.529739999999997</v>
      </c>
      <c r="I52" s="88">
        <v>130</v>
      </c>
      <c r="L52" s="77"/>
    </row>
    <row r="53" spans="1:12">
      <c r="A53" s="86" t="s">
        <v>4433</v>
      </c>
      <c r="B53" s="87">
        <v>38245090</v>
      </c>
      <c r="C53" s="87" t="s">
        <v>4369</v>
      </c>
      <c r="D53" s="87" t="s">
        <v>4332</v>
      </c>
      <c r="E53" s="87" t="s">
        <v>4434</v>
      </c>
      <c r="F53" s="88" t="s">
        <v>3515</v>
      </c>
      <c r="G53" s="89">
        <v>38.453462962962959</v>
      </c>
      <c r="H53" s="89">
        <v>41.529739999999997</v>
      </c>
      <c r="I53" s="88">
        <v>130</v>
      </c>
      <c r="L53" s="77"/>
    </row>
    <row r="54" spans="1:12">
      <c r="A54" s="86" t="s">
        <v>4435</v>
      </c>
      <c r="B54" s="87">
        <v>38245090</v>
      </c>
      <c r="C54" s="87" t="s">
        <v>4369</v>
      </c>
      <c r="D54" s="87" t="s">
        <v>4332</v>
      </c>
      <c r="E54" s="87" t="s">
        <v>4436</v>
      </c>
      <c r="F54" s="88" t="s">
        <v>3515</v>
      </c>
      <c r="G54" s="89">
        <v>38.453462962962959</v>
      </c>
      <c r="H54" s="89">
        <v>41.529739999999997</v>
      </c>
      <c r="I54" s="88">
        <v>130</v>
      </c>
      <c r="L54" s="77"/>
    </row>
    <row r="55" spans="1:12">
      <c r="A55" s="86" t="s">
        <v>4437</v>
      </c>
      <c r="B55" s="87">
        <v>38245090</v>
      </c>
      <c r="C55" s="87" t="s">
        <v>4369</v>
      </c>
      <c r="D55" s="87" t="s">
        <v>4332</v>
      </c>
      <c r="E55" s="87" t="s">
        <v>4438</v>
      </c>
      <c r="F55" s="88" t="s">
        <v>3515</v>
      </c>
      <c r="G55" s="89">
        <v>38.453462962962959</v>
      </c>
      <c r="H55" s="89">
        <v>41.529739999999997</v>
      </c>
      <c r="I55" s="88">
        <v>130</v>
      </c>
      <c r="L55" s="77"/>
    </row>
    <row r="56" spans="1:12">
      <c r="A56" s="86" t="s">
        <v>4439</v>
      </c>
      <c r="B56" s="87">
        <v>38245090</v>
      </c>
      <c r="C56" s="87" t="s">
        <v>4369</v>
      </c>
      <c r="D56" s="87" t="s">
        <v>4332</v>
      </c>
      <c r="E56" s="87" t="s">
        <v>4440</v>
      </c>
      <c r="F56" s="88" t="s">
        <v>3515</v>
      </c>
      <c r="G56" s="89">
        <v>38.453462962962959</v>
      </c>
      <c r="H56" s="89">
        <v>41.529739999999997</v>
      </c>
      <c r="I56" s="88">
        <v>130</v>
      </c>
      <c r="L56" s="77"/>
    </row>
    <row r="57" spans="1:12">
      <c r="A57" s="86" t="s">
        <v>4441</v>
      </c>
      <c r="B57" s="87">
        <v>38245090</v>
      </c>
      <c r="C57" s="87" t="s">
        <v>4369</v>
      </c>
      <c r="D57" s="87" t="s">
        <v>4332</v>
      </c>
      <c r="E57" s="87" t="s">
        <v>4442</v>
      </c>
      <c r="F57" s="88" t="s">
        <v>3515</v>
      </c>
      <c r="G57" s="89">
        <v>38.453462962962959</v>
      </c>
      <c r="H57" s="89">
        <v>41.529739999999997</v>
      </c>
      <c r="I57" s="88">
        <v>130</v>
      </c>
      <c r="L57" s="77"/>
    </row>
    <row r="58" spans="1:12">
      <c r="A58" s="86" t="s">
        <v>4443</v>
      </c>
      <c r="B58" s="87">
        <v>38245090</v>
      </c>
      <c r="C58" s="87" t="s">
        <v>4369</v>
      </c>
      <c r="D58" s="87" t="s">
        <v>4332</v>
      </c>
      <c r="E58" s="87" t="s">
        <v>4444</v>
      </c>
      <c r="F58" s="88" t="s">
        <v>3515</v>
      </c>
      <c r="G58" s="89">
        <v>38.453462962962959</v>
      </c>
      <c r="H58" s="89">
        <v>41.529739999999997</v>
      </c>
      <c r="I58" s="88">
        <v>110</v>
      </c>
      <c r="L58" s="77"/>
    </row>
    <row r="59" spans="1:12">
      <c r="A59" s="86" t="s">
        <v>4445</v>
      </c>
      <c r="B59" s="87">
        <v>38245090</v>
      </c>
      <c r="C59" s="87" t="s">
        <v>4369</v>
      </c>
      <c r="D59" s="87" t="s">
        <v>4332</v>
      </c>
      <c r="E59" s="87" t="s">
        <v>4446</v>
      </c>
      <c r="F59" s="88" t="s">
        <v>3515</v>
      </c>
      <c r="G59" s="89">
        <v>38.453462962962959</v>
      </c>
      <c r="H59" s="89">
        <v>41.529739999999997</v>
      </c>
      <c r="I59" s="88">
        <v>110</v>
      </c>
      <c r="L59" s="77"/>
    </row>
    <row r="60" spans="1:12">
      <c r="A60" s="86" t="s">
        <v>4447</v>
      </c>
      <c r="B60" s="87">
        <v>38245090</v>
      </c>
      <c r="C60" s="87" t="s">
        <v>4369</v>
      </c>
      <c r="D60" s="87" t="s">
        <v>4332</v>
      </c>
      <c r="E60" s="87" t="s">
        <v>4448</v>
      </c>
      <c r="F60" s="88" t="s">
        <v>3515</v>
      </c>
      <c r="G60" s="89">
        <v>38.453462962962959</v>
      </c>
      <c r="H60" s="89">
        <v>41.529739999999997</v>
      </c>
      <c r="I60" s="88">
        <v>110</v>
      </c>
      <c r="L60" s="77"/>
    </row>
    <row r="61" spans="1:12">
      <c r="A61" s="86" t="s">
        <v>4449</v>
      </c>
      <c r="B61" s="87">
        <v>38245090</v>
      </c>
      <c r="C61" s="87" t="s">
        <v>4369</v>
      </c>
      <c r="D61" s="87" t="s">
        <v>4332</v>
      </c>
      <c r="E61" s="87" t="s">
        <v>4450</v>
      </c>
      <c r="F61" s="88" t="s">
        <v>3515</v>
      </c>
      <c r="G61" s="89">
        <v>342.59259259259255</v>
      </c>
      <c r="H61" s="89">
        <v>370</v>
      </c>
      <c r="I61" s="88">
        <v>1080</v>
      </c>
      <c r="L61" s="77"/>
    </row>
    <row r="62" spans="1:12">
      <c r="A62" s="86" t="s">
        <v>4451</v>
      </c>
      <c r="B62" s="87">
        <v>38245090</v>
      </c>
      <c r="C62" s="87" t="s">
        <v>4369</v>
      </c>
      <c r="D62" s="87" t="s">
        <v>4332</v>
      </c>
      <c r="E62" s="87" t="s">
        <v>4452</v>
      </c>
      <c r="F62" s="88" t="s">
        <v>3515</v>
      </c>
      <c r="G62" s="89">
        <v>352.77777777777777</v>
      </c>
      <c r="H62" s="89">
        <v>381</v>
      </c>
      <c r="I62" s="88">
        <v>1115</v>
      </c>
      <c r="L62" s="77"/>
    </row>
    <row r="63" spans="1:12">
      <c r="A63" s="86" t="s">
        <v>4453</v>
      </c>
      <c r="B63" s="87">
        <v>38245090</v>
      </c>
      <c r="C63" s="87" t="s">
        <v>4369</v>
      </c>
      <c r="D63" s="87" t="s">
        <v>4332</v>
      </c>
      <c r="E63" s="87" t="s">
        <v>4454</v>
      </c>
      <c r="F63" s="88" t="s">
        <v>3515</v>
      </c>
      <c r="G63" s="89">
        <v>342.59259259259255</v>
      </c>
      <c r="H63" s="89">
        <v>370</v>
      </c>
      <c r="I63" s="88">
        <v>1080</v>
      </c>
      <c r="L63" s="77"/>
    </row>
    <row r="64" spans="1:12">
      <c r="A64" s="86" t="s">
        <v>4455</v>
      </c>
      <c r="B64" s="87">
        <v>38245090</v>
      </c>
      <c r="C64" s="87" t="s">
        <v>4369</v>
      </c>
      <c r="D64" s="87" t="s">
        <v>4332</v>
      </c>
      <c r="E64" s="87" t="s">
        <v>4456</v>
      </c>
      <c r="F64" s="88" t="s">
        <v>3515</v>
      </c>
      <c r="G64" s="89">
        <v>352.77777777777777</v>
      </c>
      <c r="H64" s="89">
        <v>381</v>
      </c>
      <c r="I64" s="88">
        <v>1115</v>
      </c>
      <c r="L64" s="77"/>
    </row>
    <row r="65" spans="1:12">
      <c r="A65" s="86" t="s">
        <v>4457</v>
      </c>
      <c r="B65" s="87">
        <v>38245090</v>
      </c>
      <c r="C65" s="87" t="s">
        <v>4369</v>
      </c>
      <c r="D65" s="87" t="s">
        <v>4332</v>
      </c>
      <c r="E65" s="87" t="s">
        <v>4458</v>
      </c>
      <c r="F65" s="88" t="s">
        <v>3515</v>
      </c>
      <c r="G65" s="89">
        <v>352.77777777777777</v>
      </c>
      <c r="H65" s="89">
        <v>381</v>
      </c>
      <c r="I65" s="88">
        <v>1115</v>
      </c>
      <c r="L65" s="77"/>
    </row>
    <row r="66" spans="1:12">
      <c r="A66" s="86" t="s">
        <v>4459</v>
      </c>
      <c r="B66" s="87">
        <v>38245090</v>
      </c>
      <c r="C66" s="87" t="s">
        <v>4369</v>
      </c>
      <c r="D66" s="87" t="s">
        <v>4332</v>
      </c>
      <c r="E66" s="87" t="s">
        <v>4460</v>
      </c>
      <c r="F66" s="88" t="s">
        <v>3515</v>
      </c>
      <c r="G66" s="89">
        <v>352.77777777777777</v>
      </c>
      <c r="H66" s="89">
        <v>381</v>
      </c>
      <c r="I66" s="88">
        <v>1115</v>
      </c>
      <c r="L66" s="77"/>
    </row>
    <row r="67" spans="1:12">
      <c r="A67" s="86" t="s">
        <v>4461</v>
      </c>
      <c r="B67" s="87">
        <v>38245090</v>
      </c>
      <c r="C67" s="87" t="s">
        <v>4369</v>
      </c>
      <c r="D67" s="87" t="s">
        <v>4332</v>
      </c>
      <c r="E67" s="87" t="s">
        <v>4462</v>
      </c>
      <c r="F67" s="88" t="s">
        <v>3515</v>
      </c>
      <c r="G67" s="89">
        <v>352.77777777777777</v>
      </c>
      <c r="H67" s="89">
        <v>381</v>
      </c>
      <c r="I67" s="88">
        <v>1115</v>
      </c>
      <c r="L67" s="77"/>
    </row>
    <row r="68" spans="1:12">
      <c r="A68" s="86" t="s">
        <v>4463</v>
      </c>
      <c r="B68" s="87">
        <v>38245090</v>
      </c>
      <c r="C68" s="87" t="s">
        <v>4369</v>
      </c>
      <c r="D68" s="87" t="s">
        <v>4332</v>
      </c>
      <c r="E68" s="87" t="s">
        <v>4464</v>
      </c>
      <c r="F68" s="88" t="s">
        <v>3515</v>
      </c>
      <c r="G68" s="89">
        <v>352.77777777777777</v>
      </c>
      <c r="H68" s="89">
        <v>381</v>
      </c>
      <c r="I68" s="88">
        <v>1115</v>
      </c>
      <c r="L68" s="77"/>
    </row>
    <row r="69" spans="1:12">
      <c r="A69" s="86" t="s">
        <v>4465</v>
      </c>
      <c r="B69" s="87">
        <v>38245090</v>
      </c>
      <c r="C69" s="87" t="s">
        <v>4369</v>
      </c>
      <c r="D69" s="87" t="s">
        <v>4332</v>
      </c>
      <c r="E69" s="87" t="s">
        <v>4466</v>
      </c>
      <c r="F69" s="88" t="s">
        <v>3515</v>
      </c>
      <c r="G69" s="89">
        <v>352.77777777777777</v>
      </c>
      <c r="H69" s="89">
        <v>381</v>
      </c>
      <c r="I69" s="88">
        <v>1115</v>
      </c>
      <c r="L69" s="77"/>
    </row>
    <row r="70" spans="1:12">
      <c r="A70" s="86" t="s">
        <v>4467</v>
      </c>
      <c r="B70" s="87">
        <v>38245090</v>
      </c>
      <c r="C70" s="87" t="s">
        <v>4369</v>
      </c>
      <c r="D70" s="87" t="s">
        <v>4332</v>
      </c>
      <c r="E70" s="87" t="s">
        <v>4468</v>
      </c>
      <c r="F70" s="88" t="s">
        <v>3515</v>
      </c>
      <c r="G70" s="89">
        <v>352.77777777777777</v>
      </c>
      <c r="H70" s="89">
        <v>381</v>
      </c>
      <c r="I70" s="88">
        <v>1115</v>
      </c>
      <c r="L70" s="77"/>
    </row>
    <row r="71" spans="1:12">
      <c r="A71" s="86" t="s">
        <v>4469</v>
      </c>
      <c r="B71" s="87">
        <v>38245090</v>
      </c>
      <c r="C71" s="87" t="s">
        <v>4369</v>
      </c>
      <c r="D71" s="87" t="s">
        <v>4332</v>
      </c>
      <c r="E71" s="87" t="s">
        <v>4470</v>
      </c>
      <c r="F71" s="88" t="s">
        <v>3515</v>
      </c>
      <c r="G71" s="89">
        <v>352.77777777777777</v>
      </c>
      <c r="H71" s="89">
        <v>381</v>
      </c>
      <c r="I71" s="88">
        <v>1115</v>
      </c>
      <c r="L71" s="77"/>
    </row>
    <row r="72" spans="1:12">
      <c r="A72" s="86" t="s">
        <v>4471</v>
      </c>
      <c r="B72" s="87">
        <v>38245090</v>
      </c>
      <c r="C72" s="87" t="s">
        <v>4369</v>
      </c>
      <c r="D72" s="87" t="s">
        <v>4332</v>
      </c>
      <c r="E72" s="87" t="s">
        <v>4472</v>
      </c>
      <c r="F72" s="88" t="s">
        <v>3515</v>
      </c>
      <c r="G72" s="89">
        <v>352.77777777777777</v>
      </c>
      <c r="H72" s="89">
        <v>381</v>
      </c>
      <c r="I72" s="88">
        <v>1115</v>
      </c>
      <c r="L72" s="77"/>
    </row>
    <row r="73" spans="1:12">
      <c r="A73" s="86" t="s">
        <v>4473</v>
      </c>
      <c r="B73" s="87">
        <v>38245090</v>
      </c>
      <c r="C73" s="87" t="s">
        <v>4369</v>
      </c>
      <c r="D73" s="87" t="s">
        <v>4332</v>
      </c>
      <c r="E73" s="87" t="s">
        <v>4474</v>
      </c>
      <c r="F73" s="88" t="s">
        <v>3515</v>
      </c>
      <c r="G73" s="89">
        <v>352.77777777777777</v>
      </c>
      <c r="H73" s="89">
        <v>381</v>
      </c>
      <c r="I73" s="88">
        <v>1115</v>
      </c>
      <c r="L73" s="77"/>
    </row>
    <row r="74" spans="1:12">
      <c r="A74" s="86" t="s">
        <v>4475</v>
      </c>
      <c r="B74" s="87">
        <v>38245090</v>
      </c>
      <c r="C74" s="87" t="s">
        <v>4369</v>
      </c>
      <c r="D74" s="87" t="s">
        <v>4332</v>
      </c>
      <c r="E74" s="87" t="s">
        <v>4476</v>
      </c>
      <c r="F74" s="88" t="s">
        <v>3515</v>
      </c>
      <c r="G74" s="89">
        <v>352.77777777777777</v>
      </c>
      <c r="H74" s="89">
        <v>381</v>
      </c>
      <c r="I74" s="88">
        <v>1115</v>
      </c>
      <c r="L74" s="77"/>
    </row>
    <row r="75" spans="1:12">
      <c r="A75" s="86" t="s">
        <v>4477</v>
      </c>
      <c r="B75" s="87">
        <v>38245090</v>
      </c>
      <c r="C75" s="87" t="s">
        <v>4369</v>
      </c>
      <c r="D75" s="87" t="s">
        <v>4332</v>
      </c>
      <c r="E75" s="87" t="s">
        <v>4478</v>
      </c>
      <c r="F75" s="88" t="s">
        <v>3515</v>
      </c>
      <c r="G75" s="89">
        <v>352.77777777777777</v>
      </c>
      <c r="H75" s="89">
        <v>381</v>
      </c>
      <c r="I75" s="88">
        <v>1115</v>
      </c>
      <c r="L75" s="77"/>
    </row>
    <row r="76" spans="1:12">
      <c r="A76" s="86" t="s">
        <v>4479</v>
      </c>
      <c r="B76" s="87">
        <v>38245090</v>
      </c>
      <c r="C76" s="87" t="s">
        <v>4369</v>
      </c>
      <c r="D76" s="87" t="s">
        <v>4332</v>
      </c>
      <c r="E76" s="87" t="s">
        <v>4480</v>
      </c>
      <c r="F76" s="88" t="s">
        <v>3515</v>
      </c>
      <c r="G76" s="89">
        <v>352.77777777777777</v>
      </c>
      <c r="H76" s="89">
        <v>381</v>
      </c>
      <c r="I76" s="88">
        <v>1115</v>
      </c>
      <c r="L76" s="77"/>
    </row>
    <row r="77" spans="1:12">
      <c r="A77" s="86" t="s">
        <v>4481</v>
      </c>
      <c r="B77" s="87">
        <v>38244010</v>
      </c>
      <c r="C77" s="87" t="s">
        <v>4369</v>
      </c>
      <c r="D77" s="87" t="s">
        <v>4332</v>
      </c>
      <c r="E77" s="87" t="s">
        <v>4482</v>
      </c>
      <c r="F77" s="88" t="s">
        <v>3515</v>
      </c>
      <c r="G77" s="89">
        <v>81.481481481481481</v>
      </c>
      <c r="H77" s="89">
        <v>88</v>
      </c>
      <c r="I77" s="88">
        <v>170</v>
      </c>
      <c r="L77" s="77"/>
    </row>
    <row r="78" spans="1:12">
      <c r="A78" s="86" t="s">
        <v>4483</v>
      </c>
      <c r="B78" s="87">
        <v>38245090</v>
      </c>
      <c r="C78" s="87" t="s">
        <v>4484</v>
      </c>
      <c r="D78" s="87" t="s">
        <v>4332</v>
      </c>
      <c r="E78" s="87" t="s">
        <v>4485</v>
      </c>
      <c r="F78" s="88" t="s">
        <v>3515</v>
      </c>
      <c r="G78" s="89">
        <v>455.45696111111113</v>
      </c>
      <c r="H78" s="89">
        <v>491.89351800000003</v>
      </c>
      <c r="I78" s="88">
        <v>1100</v>
      </c>
      <c r="L78" s="77"/>
    </row>
    <row r="79" spans="1:12">
      <c r="A79" s="86" t="s">
        <v>4486</v>
      </c>
      <c r="B79" s="87">
        <v>38249900</v>
      </c>
      <c r="C79" s="87" t="s">
        <v>4484</v>
      </c>
      <c r="D79" s="87" t="s">
        <v>4332</v>
      </c>
      <c r="E79" s="87" t="s">
        <v>4487</v>
      </c>
      <c r="F79" s="88" t="s">
        <v>3515</v>
      </c>
      <c r="G79" s="89">
        <v>90.93483333333333</v>
      </c>
      <c r="H79" s="89">
        <v>98.209619999999987</v>
      </c>
      <c r="I79" s="88">
        <v>220</v>
      </c>
      <c r="L79" s="77"/>
    </row>
    <row r="80" spans="1:12">
      <c r="A80" s="86" t="s">
        <v>4488</v>
      </c>
      <c r="B80" s="87">
        <v>38249900</v>
      </c>
      <c r="C80" s="87" t="s">
        <v>4484</v>
      </c>
      <c r="D80" s="87" t="s">
        <v>4332</v>
      </c>
      <c r="E80" s="87" t="s">
        <v>4489</v>
      </c>
      <c r="F80" s="88" t="s">
        <v>3515</v>
      </c>
      <c r="G80" s="89">
        <v>90.93483333333333</v>
      </c>
      <c r="H80" s="89">
        <v>98.209619999999987</v>
      </c>
      <c r="I80" s="88">
        <v>220</v>
      </c>
      <c r="L80" s="77"/>
    </row>
    <row r="81" spans="1:12">
      <c r="A81" s="86" t="s">
        <v>4490</v>
      </c>
      <c r="B81" s="87">
        <v>38249900</v>
      </c>
      <c r="C81" s="87" t="s">
        <v>4484</v>
      </c>
      <c r="D81" s="87" t="s">
        <v>4332</v>
      </c>
      <c r="E81" s="87" t="s">
        <v>4491</v>
      </c>
      <c r="F81" s="88" t="s">
        <v>3515</v>
      </c>
      <c r="G81" s="89">
        <v>89.177344444444444</v>
      </c>
      <c r="H81" s="89">
        <v>96.311532</v>
      </c>
      <c r="I81" s="88">
        <v>220</v>
      </c>
      <c r="L81" s="77"/>
    </row>
    <row r="82" spans="1:12">
      <c r="A82" s="86" t="s">
        <v>4492</v>
      </c>
      <c r="B82" s="87">
        <v>38249900</v>
      </c>
      <c r="C82" s="87" t="s">
        <v>4484</v>
      </c>
      <c r="D82" s="87" t="s">
        <v>4332</v>
      </c>
      <c r="E82" s="87" t="s">
        <v>4493</v>
      </c>
      <c r="F82" s="88" t="s">
        <v>3515</v>
      </c>
      <c r="G82" s="89">
        <v>89.177344444444444</v>
      </c>
      <c r="H82" s="89">
        <v>96.311532</v>
      </c>
      <c r="I82" s="88">
        <v>220</v>
      </c>
      <c r="L82" s="77"/>
    </row>
    <row r="83" spans="1:12">
      <c r="A83" s="86" t="s">
        <v>4494</v>
      </c>
      <c r="B83" s="87">
        <v>38249900</v>
      </c>
      <c r="C83" s="87" t="s">
        <v>4484</v>
      </c>
      <c r="D83" s="87" t="s">
        <v>4332</v>
      </c>
      <c r="E83" s="87" t="s">
        <v>4495</v>
      </c>
      <c r="F83" s="88" t="s">
        <v>3515</v>
      </c>
      <c r="G83" s="89">
        <v>89.177344444444444</v>
      </c>
      <c r="H83" s="89">
        <v>96.311532</v>
      </c>
      <c r="I83" s="88">
        <v>220</v>
      </c>
      <c r="L83" s="77"/>
    </row>
    <row r="84" spans="1:12">
      <c r="A84" s="86" t="s">
        <v>4496</v>
      </c>
      <c r="B84" s="87">
        <v>38249900</v>
      </c>
      <c r="C84" s="87" t="s">
        <v>4484</v>
      </c>
      <c r="D84" s="87" t="s">
        <v>4332</v>
      </c>
      <c r="E84" s="87" t="s">
        <v>4497</v>
      </c>
      <c r="F84" s="88" t="s">
        <v>3515</v>
      </c>
      <c r="G84" s="89">
        <v>89.177344444444444</v>
      </c>
      <c r="H84" s="89">
        <v>96.311532</v>
      </c>
      <c r="I84" s="88">
        <v>220</v>
      </c>
      <c r="L84" s="77"/>
    </row>
    <row r="85" spans="1:12">
      <c r="A85" s="86" t="s">
        <v>4498</v>
      </c>
      <c r="B85" s="87">
        <v>38249900</v>
      </c>
      <c r="C85" s="87" t="s">
        <v>4484</v>
      </c>
      <c r="D85" s="87" t="s">
        <v>4332</v>
      </c>
      <c r="E85" s="87" t="s">
        <v>4499</v>
      </c>
      <c r="F85" s="88" t="s">
        <v>3515</v>
      </c>
      <c r="G85" s="89">
        <v>89.177344444444444</v>
      </c>
      <c r="H85" s="89">
        <v>96.311532</v>
      </c>
      <c r="I85" s="88">
        <v>220</v>
      </c>
      <c r="L85" s="77"/>
    </row>
    <row r="86" spans="1:12">
      <c r="A86" s="86" t="s">
        <v>4500</v>
      </c>
      <c r="B86" s="87">
        <v>38249900</v>
      </c>
      <c r="C86" s="87" t="s">
        <v>4484</v>
      </c>
      <c r="D86" s="87" t="s">
        <v>4332</v>
      </c>
      <c r="E86" s="87" t="s">
        <v>4501</v>
      </c>
      <c r="F86" s="88" t="s">
        <v>3515</v>
      </c>
      <c r="G86" s="89">
        <v>89.177344444444444</v>
      </c>
      <c r="H86" s="89">
        <v>96.311532</v>
      </c>
      <c r="I86" s="88">
        <v>220</v>
      </c>
      <c r="L86" s="77"/>
    </row>
    <row r="87" spans="1:12">
      <c r="A87" s="86" t="s">
        <v>4502</v>
      </c>
      <c r="B87" s="87">
        <v>38249900</v>
      </c>
      <c r="C87" s="87" t="s">
        <v>4484</v>
      </c>
      <c r="D87" s="87" t="s">
        <v>4332</v>
      </c>
      <c r="E87" s="87" t="s">
        <v>4503</v>
      </c>
      <c r="F87" s="88" t="s">
        <v>3515</v>
      </c>
      <c r="G87" s="89">
        <v>89.177344444444444</v>
      </c>
      <c r="H87" s="89">
        <v>96.311532</v>
      </c>
      <c r="I87" s="88">
        <v>220</v>
      </c>
      <c r="L87" s="77"/>
    </row>
    <row r="88" spans="1:12">
      <c r="A88" s="86" t="s">
        <v>4504</v>
      </c>
      <c r="B88" s="87">
        <v>38249900</v>
      </c>
      <c r="C88" s="87" t="s">
        <v>4484</v>
      </c>
      <c r="D88" s="87" t="s">
        <v>4332</v>
      </c>
      <c r="E88" s="87" t="s">
        <v>4505</v>
      </c>
      <c r="F88" s="88" t="s">
        <v>3515</v>
      </c>
      <c r="G88" s="89">
        <v>89.177344444444444</v>
      </c>
      <c r="H88" s="89">
        <v>96.311532</v>
      </c>
      <c r="I88" s="88">
        <v>220</v>
      </c>
      <c r="L88" s="77"/>
    </row>
    <row r="89" spans="1:12">
      <c r="A89" s="86" t="s">
        <v>4506</v>
      </c>
      <c r="B89" s="87">
        <v>38249900</v>
      </c>
      <c r="C89" s="87" t="s">
        <v>4484</v>
      </c>
      <c r="D89" s="87" t="s">
        <v>4332</v>
      </c>
      <c r="E89" s="87" t="s">
        <v>4507</v>
      </c>
      <c r="F89" s="88" t="s">
        <v>3515</v>
      </c>
      <c r="G89" s="89">
        <v>89.177344444444444</v>
      </c>
      <c r="H89" s="89">
        <v>96.311532</v>
      </c>
      <c r="I89" s="88">
        <v>220</v>
      </c>
      <c r="L89" s="77"/>
    </row>
    <row r="90" spans="1:12">
      <c r="A90" s="86" t="s">
        <v>4508</v>
      </c>
      <c r="B90" s="87">
        <v>38249900</v>
      </c>
      <c r="C90" s="87" t="s">
        <v>4484</v>
      </c>
      <c r="D90" s="87" t="s">
        <v>4332</v>
      </c>
      <c r="E90" s="87" t="s">
        <v>4509</v>
      </c>
      <c r="F90" s="88" t="s">
        <v>3515</v>
      </c>
      <c r="G90" s="89">
        <v>89.177344444444444</v>
      </c>
      <c r="H90" s="89">
        <v>96.311532</v>
      </c>
      <c r="I90" s="88">
        <v>220</v>
      </c>
      <c r="L90" s="77"/>
    </row>
    <row r="91" spans="1:12">
      <c r="A91" s="86" t="s">
        <v>4510</v>
      </c>
      <c r="B91" s="87">
        <v>38249900</v>
      </c>
      <c r="C91" s="87" t="s">
        <v>4484</v>
      </c>
      <c r="D91" s="87" t="s">
        <v>4332</v>
      </c>
      <c r="E91" s="87" t="s">
        <v>4511</v>
      </c>
      <c r="F91" s="88" t="s">
        <v>3515</v>
      </c>
      <c r="G91" s="89">
        <v>89.177344444444444</v>
      </c>
      <c r="H91" s="89">
        <v>96.311532</v>
      </c>
      <c r="I91" s="88">
        <v>220</v>
      </c>
      <c r="L91" s="77"/>
    </row>
    <row r="92" spans="1:12">
      <c r="A92" s="86" t="s">
        <v>4512</v>
      </c>
      <c r="B92" s="87">
        <v>38249900</v>
      </c>
      <c r="C92" s="87" t="s">
        <v>4484</v>
      </c>
      <c r="D92" s="87" t="s">
        <v>4332</v>
      </c>
      <c r="E92" s="87" t="s">
        <v>4513</v>
      </c>
      <c r="F92" s="88" t="s">
        <v>3515</v>
      </c>
      <c r="G92" s="89">
        <v>89.177344444444444</v>
      </c>
      <c r="H92" s="89">
        <v>96.311532</v>
      </c>
      <c r="I92" s="88">
        <v>220</v>
      </c>
      <c r="L92" s="77"/>
    </row>
    <row r="93" spans="1:12">
      <c r="A93" s="86" t="s">
        <v>4514</v>
      </c>
      <c r="B93" s="87">
        <v>38249900</v>
      </c>
      <c r="C93" s="87" t="s">
        <v>4484</v>
      </c>
      <c r="D93" s="87" t="s">
        <v>4332</v>
      </c>
      <c r="E93" s="87" t="s">
        <v>4515</v>
      </c>
      <c r="F93" s="88" t="s">
        <v>3515</v>
      </c>
      <c r="G93" s="89">
        <v>89.177344444444444</v>
      </c>
      <c r="H93" s="89">
        <v>96.311532</v>
      </c>
      <c r="I93" s="88">
        <v>220</v>
      </c>
      <c r="L93" s="77"/>
    </row>
    <row r="94" spans="1:12">
      <c r="A94" s="86" t="s">
        <v>4516</v>
      </c>
      <c r="B94" s="87">
        <v>38249900</v>
      </c>
      <c r="C94" s="87" t="s">
        <v>4484</v>
      </c>
      <c r="D94" s="87" t="s">
        <v>4332</v>
      </c>
      <c r="E94" s="87" t="s">
        <v>4517</v>
      </c>
      <c r="F94" s="88" t="s">
        <v>3515</v>
      </c>
      <c r="G94" s="89">
        <v>89.177344444444444</v>
      </c>
      <c r="H94" s="89">
        <v>96.311532</v>
      </c>
      <c r="I94" s="88">
        <v>220</v>
      </c>
      <c r="L94" s="77"/>
    </row>
    <row r="95" spans="1:12">
      <c r="A95" s="86" t="s">
        <v>4518</v>
      </c>
      <c r="B95" s="87">
        <v>38249900</v>
      </c>
      <c r="C95" s="87" t="s">
        <v>4484</v>
      </c>
      <c r="D95" s="87" t="s">
        <v>4332</v>
      </c>
      <c r="E95" s="87" t="s">
        <v>4519</v>
      </c>
      <c r="F95" s="88" t="s">
        <v>3515</v>
      </c>
      <c r="G95" s="89">
        <v>89.177344444444444</v>
      </c>
      <c r="H95" s="89">
        <v>96.311532</v>
      </c>
      <c r="I95" s="88">
        <v>220</v>
      </c>
      <c r="L95" s="77"/>
    </row>
    <row r="96" spans="1:12">
      <c r="A96" s="86" t="s">
        <v>4520</v>
      </c>
      <c r="B96" s="87">
        <v>38249900</v>
      </c>
      <c r="C96" s="87" t="s">
        <v>4484</v>
      </c>
      <c r="D96" s="87" t="s">
        <v>4332</v>
      </c>
      <c r="E96" s="87" t="s">
        <v>4521</v>
      </c>
      <c r="F96" s="88" t="s">
        <v>3515</v>
      </c>
      <c r="G96" s="89">
        <v>89.177344444444444</v>
      </c>
      <c r="H96" s="89">
        <v>96.311532</v>
      </c>
      <c r="I96" s="88">
        <v>220</v>
      </c>
      <c r="L96" s="77"/>
    </row>
    <row r="97" spans="1:12">
      <c r="A97" s="86" t="s">
        <v>4522</v>
      </c>
      <c r="B97" s="87">
        <v>38249900</v>
      </c>
      <c r="C97" s="87" t="s">
        <v>4484</v>
      </c>
      <c r="D97" s="87" t="s">
        <v>4332</v>
      </c>
      <c r="E97" s="87" t="s">
        <v>4523</v>
      </c>
      <c r="F97" s="88" t="s">
        <v>3515</v>
      </c>
      <c r="G97" s="89">
        <v>89.177344444444444</v>
      </c>
      <c r="H97" s="89">
        <v>96.311532</v>
      </c>
      <c r="I97" s="88">
        <v>220</v>
      </c>
      <c r="L97" s="77"/>
    </row>
    <row r="98" spans="1:12">
      <c r="A98" s="86" t="s">
        <v>4524</v>
      </c>
      <c r="B98" s="87">
        <v>38249900</v>
      </c>
      <c r="C98" s="87" t="s">
        <v>4484</v>
      </c>
      <c r="D98" s="87" t="s">
        <v>4332</v>
      </c>
      <c r="E98" s="87" t="s">
        <v>4525</v>
      </c>
      <c r="F98" s="88" t="s">
        <v>3515</v>
      </c>
      <c r="G98" s="89">
        <v>89.177344444444444</v>
      </c>
      <c r="H98" s="89">
        <v>96.311532</v>
      </c>
      <c r="I98" s="88">
        <v>220</v>
      </c>
      <c r="L98" s="77"/>
    </row>
    <row r="99" spans="1:12">
      <c r="A99" s="86" t="s">
        <v>4526</v>
      </c>
      <c r="B99" s="87">
        <v>38249900</v>
      </c>
      <c r="C99" s="87" t="s">
        <v>4484</v>
      </c>
      <c r="D99" s="87" t="s">
        <v>4332</v>
      </c>
      <c r="E99" s="87" t="s">
        <v>4527</v>
      </c>
      <c r="F99" s="88" t="s">
        <v>3515</v>
      </c>
      <c r="G99" s="89">
        <v>89.177344444444444</v>
      </c>
      <c r="H99" s="89">
        <v>96.311532</v>
      </c>
      <c r="I99" s="88">
        <v>220</v>
      </c>
      <c r="L99" s="77"/>
    </row>
    <row r="100" spans="1:12">
      <c r="A100" s="86" t="s">
        <v>4528</v>
      </c>
      <c r="B100" s="87">
        <v>38249900</v>
      </c>
      <c r="C100" s="87" t="s">
        <v>4484</v>
      </c>
      <c r="D100" s="87" t="s">
        <v>4332</v>
      </c>
      <c r="E100" s="87" t="s">
        <v>4529</v>
      </c>
      <c r="F100" s="88" t="s">
        <v>3515</v>
      </c>
      <c r="G100" s="89">
        <v>89.177344444444444</v>
      </c>
      <c r="H100" s="89">
        <v>96.311532</v>
      </c>
      <c r="I100" s="88">
        <v>220</v>
      </c>
      <c r="L100" s="77"/>
    </row>
    <row r="101" spans="1:12">
      <c r="A101" s="86" t="s">
        <v>4530</v>
      </c>
      <c r="B101" s="87">
        <v>38249900</v>
      </c>
      <c r="C101" s="87" t="s">
        <v>4484</v>
      </c>
      <c r="D101" s="87" t="s">
        <v>4332</v>
      </c>
      <c r="E101" s="87" t="s">
        <v>4531</v>
      </c>
      <c r="F101" s="88" t="s">
        <v>3515</v>
      </c>
      <c r="G101" s="89">
        <v>89.177344444444444</v>
      </c>
      <c r="H101" s="89">
        <v>96.311532</v>
      </c>
      <c r="I101" s="88">
        <v>220</v>
      </c>
      <c r="L101" s="77"/>
    </row>
    <row r="102" spans="1:12">
      <c r="A102" s="86" t="s">
        <v>4532</v>
      </c>
      <c r="B102" s="87">
        <v>38249900</v>
      </c>
      <c r="C102" s="87" t="s">
        <v>4484</v>
      </c>
      <c r="D102" s="87" t="s">
        <v>4332</v>
      </c>
      <c r="E102" s="87" t="s">
        <v>4533</v>
      </c>
      <c r="F102" s="88" t="s">
        <v>3515</v>
      </c>
      <c r="G102" s="89">
        <v>89.177344444444444</v>
      </c>
      <c r="H102" s="89">
        <v>96.311532</v>
      </c>
      <c r="I102" s="88">
        <v>220</v>
      </c>
      <c r="L102" s="77"/>
    </row>
    <row r="103" spans="1:12">
      <c r="A103" s="86" t="s">
        <v>4534</v>
      </c>
      <c r="B103" s="87">
        <v>38249900</v>
      </c>
      <c r="C103" s="87" t="s">
        <v>4484</v>
      </c>
      <c r="D103" s="87" t="s">
        <v>4332</v>
      </c>
      <c r="E103" s="87" t="s">
        <v>4535</v>
      </c>
      <c r="F103" s="88" t="s">
        <v>3515</v>
      </c>
      <c r="G103" s="89">
        <v>89.177344444444444</v>
      </c>
      <c r="H103" s="89">
        <v>96.311532</v>
      </c>
      <c r="I103" s="88">
        <v>220</v>
      </c>
      <c r="L103" s="77"/>
    </row>
    <row r="104" spans="1:12">
      <c r="A104" s="86" t="s">
        <v>4536</v>
      </c>
      <c r="B104" s="87">
        <v>38249900</v>
      </c>
      <c r="C104" s="87" t="s">
        <v>4484</v>
      </c>
      <c r="D104" s="87" t="s">
        <v>4332</v>
      </c>
      <c r="E104" s="87" t="s">
        <v>4537</v>
      </c>
      <c r="F104" s="88" t="s">
        <v>3515</v>
      </c>
      <c r="G104" s="89">
        <v>89.177344444444444</v>
      </c>
      <c r="H104" s="89">
        <v>96.311532</v>
      </c>
      <c r="I104" s="88">
        <v>220</v>
      </c>
      <c r="L104" s="77"/>
    </row>
    <row r="105" spans="1:12">
      <c r="A105" s="86" t="s">
        <v>4538</v>
      </c>
      <c r="B105" s="87">
        <v>38249900</v>
      </c>
      <c r="C105" s="87" t="s">
        <v>4484</v>
      </c>
      <c r="D105" s="87" t="s">
        <v>4332</v>
      </c>
      <c r="E105" s="87" t="s">
        <v>4539</v>
      </c>
      <c r="F105" s="88" t="s">
        <v>3515</v>
      </c>
      <c r="G105" s="89">
        <v>89.177344444444444</v>
      </c>
      <c r="H105" s="89">
        <v>96.311532</v>
      </c>
      <c r="I105" s="88">
        <v>220</v>
      </c>
      <c r="L105" s="77"/>
    </row>
    <row r="106" spans="1:12">
      <c r="A106" s="86" t="s">
        <v>4540</v>
      </c>
      <c r="B106" s="87">
        <v>38249900</v>
      </c>
      <c r="C106" s="87" t="s">
        <v>4484</v>
      </c>
      <c r="D106" s="87" t="s">
        <v>4332</v>
      </c>
      <c r="E106" s="87" t="s">
        <v>4541</v>
      </c>
      <c r="F106" s="88" t="s">
        <v>3515</v>
      </c>
      <c r="G106" s="89">
        <v>89.177344444444444</v>
      </c>
      <c r="H106" s="89">
        <v>96.311532</v>
      </c>
      <c r="I106" s="88">
        <v>220</v>
      </c>
      <c r="L106" s="77"/>
    </row>
    <row r="107" spans="1:12">
      <c r="A107" s="86" t="s">
        <v>4542</v>
      </c>
      <c r="B107" s="87">
        <v>38249900</v>
      </c>
      <c r="C107" s="87" t="s">
        <v>4484</v>
      </c>
      <c r="D107" s="87" t="s">
        <v>4332</v>
      </c>
      <c r="E107" s="87" t="s">
        <v>4543</v>
      </c>
      <c r="F107" s="88" t="s">
        <v>3515</v>
      </c>
      <c r="G107" s="89">
        <v>89.177344444444444</v>
      </c>
      <c r="H107" s="89">
        <v>96.311532</v>
      </c>
      <c r="I107" s="88">
        <v>220</v>
      </c>
      <c r="L107" s="77"/>
    </row>
    <row r="108" spans="1:12">
      <c r="A108" s="86" t="s">
        <v>4544</v>
      </c>
      <c r="B108" s="87">
        <v>38249900</v>
      </c>
      <c r="C108" s="87" t="s">
        <v>4484</v>
      </c>
      <c r="D108" s="87" t="s">
        <v>4332</v>
      </c>
      <c r="E108" s="87" t="s">
        <v>4545</v>
      </c>
      <c r="F108" s="88" t="s">
        <v>3515</v>
      </c>
      <c r="G108" s="89">
        <v>89.177344444444444</v>
      </c>
      <c r="H108" s="89">
        <v>96.311532</v>
      </c>
      <c r="I108" s="88">
        <v>220</v>
      </c>
      <c r="L108" s="77"/>
    </row>
    <row r="109" spans="1:12">
      <c r="A109" s="86" t="s">
        <v>4546</v>
      </c>
      <c r="B109" s="87">
        <v>38249900</v>
      </c>
      <c r="C109" s="87" t="s">
        <v>4484</v>
      </c>
      <c r="D109" s="87" t="s">
        <v>4332</v>
      </c>
      <c r="E109" s="87" t="s">
        <v>4547</v>
      </c>
      <c r="F109" s="88" t="s">
        <v>3515</v>
      </c>
      <c r="G109" s="89">
        <v>435.79633333333334</v>
      </c>
      <c r="H109" s="89">
        <v>470.66003999999998</v>
      </c>
      <c r="I109" s="88">
        <v>940</v>
      </c>
      <c r="L109" s="77"/>
    </row>
    <row r="110" spans="1:12">
      <c r="A110" s="86" t="s">
        <v>4548</v>
      </c>
      <c r="B110" s="87">
        <v>38249900</v>
      </c>
      <c r="C110" s="87" t="s">
        <v>4484</v>
      </c>
      <c r="D110" s="87" t="s">
        <v>4332</v>
      </c>
      <c r="E110" s="87" t="s">
        <v>4549</v>
      </c>
      <c r="F110" s="88" t="s">
        <v>3515</v>
      </c>
      <c r="G110" s="89">
        <v>444.0383333333333</v>
      </c>
      <c r="H110" s="89">
        <v>479.56139999999994</v>
      </c>
      <c r="I110" s="88">
        <v>955</v>
      </c>
      <c r="L110" s="77"/>
    </row>
    <row r="111" spans="1:12">
      <c r="A111" s="86" t="s">
        <v>4550</v>
      </c>
      <c r="B111" s="87">
        <v>38249900</v>
      </c>
      <c r="C111" s="87" t="s">
        <v>4484</v>
      </c>
      <c r="D111" s="87" t="s">
        <v>4332</v>
      </c>
      <c r="E111" s="87" t="s">
        <v>4551</v>
      </c>
      <c r="F111" s="88" t="s">
        <v>3515</v>
      </c>
      <c r="G111" s="89">
        <v>444.0383333333333</v>
      </c>
      <c r="H111" s="89">
        <v>479.56139999999994</v>
      </c>
      <c r="I111" s="88">
        <v>955</v>
      </c>
      <c r="L111" s="77"/>
    </row>
    <row r="112" spans="1:12">
      <c r="A112" s="86" t="s">
        <v>4552</v>
      </c>
      <c r="B112" s="87">
        <v>38249900</v>
      </c>
      <c r="C112" s="87" t="s">
        <v>4484</v>
      </c>
      <c r="D112" s="87" t="s">
        <v>4332</v>
      </c>
      <c r="E112" s="87" t="s">
        <v>4553</v>
      </c>
      <c r="F112" s="88" t="s">
        <v>3515</v>
      </c>
      <c r="G112" s="89">
        <v>444.0383333333333</v>
      </c>
      <c r="H112" s="89">
        <v>479.56139999999994</v>
      </c>
      <c r="I112" s="88">
        <v>955</v>
      </c>
      <c r="L112" s="77"/>
    </row>
    <row r="113" spans="1:12">
      <c r="A113" s="86" t="s">
        <v>4554</v>
      </c>
      <c r="B113" s="87">
        <v>38249900</v>
      </c>
      <c r="C113" s="87" t="s">
        <v>4484</v>
      </c>
      <c r="D113" s="87" t="s">
        <v>4332</v>
      </c>
      <c r="E113" s="87" t="s">
        <v>4555</v>
      </c>
      <c r="F113" s="88" t="s">
        <v>3515</v>
      </c>
      <c r="G113" s="89">
        <v>444.0383333333333</v>
      </c>
      <c r="H113" s="89">
        <v>479.56139999999994</v>
      </c>
      <c r="I113" s="88">
        <v>955</v>
      </c>
      <c r="L113" s="77"/>
    </row>
    <row r="114" spans="1:12">
      <c r="A114" s="86" t="s">
        <v>4556</v>
      </c>
      <c r="B114" s="87">
        <v>38249900</v>
      </c>
      <c r="C114" s="87" t="s">
        <v>4484</v>
      </c>
      <c r="D114" s="87" t="s">
        <v>4332</v>
      </c>
      <c r="E114" s="87" t="s">
        <v>4557</v>
      </c>
      <c r="F114" s="88" t="s">
        <v>3515</v>
      </c>
      <c r="G114" s="89">
        <v>444.0383333333333</v>
      </c>
      <c r="H114" s="89">
        <v>479.56139999999994</v>
      </c>
      <c r="I114" s="88">
        <v>955</v>
      </c>
      <c r="L114" s="77"/>
    </row>
    <row r="115" spans="1:12">
      <c r="A115" s="86" t="s">
        <v>4558</v>
      </c>
      <c r="B115" s="87">
        <v>38249900</v>
      </c>
      <c r="C115" s="87" t="s">
        <v>4484</v>
      </c>
      <c r="D115" s="87" t="s">
        <v>4332</v>
      </c>
      <c r="E115" s="87" t="s">
        <v>4559</v>
      </c>
      <c r="F115" s="88" t="s">
        <v>3515</v>
      </c>
      <c r="G115" s="89">
        <v>444.0383333333333</v>
      </c>
      <c r="H115" s="89">
        <v>479.56139999999994</v>
      </c>
      <c r="I115" s="88">
        <v>955</v>
      </c>
      <c r="L115" s="77"/>
    </row>
    <row r="116" spans="1:12">
      <c r="A116" s="86" t="s">
        <v>4560</v>
      </c>
      <c r="B116" s="87">
        <v>38249900</v>
      </c>
      <c r="C116" s="87" t="s">
        <v>4484</v>
      </c>
      <c r="D116" s="87" t="s">
        <v>4332</v>
      </c>
      <c r="E116" s="87" t="s">
        <v>4561</v>
      </c>
      <c r="F116" s="88" t="s">
        <v>3515</v>
      </c>
      <c r="G116" s="89">
        <v>444.0383333333333</v>
      </c>
      <c r="H116" s="89">
        <v>479.56139999999994</v>
      </c>
      <c r="I116" s="88">
        <v>955</v>
      </c>
      <c r="L116" s="77"/>
    </row>
    <row r="117" spans="1:12">
      <c r="A117" s="86" t="s">
        <v>4562</v>
      </c>
      <c r="B117" s="87">
        <v>38249900</v>
      </c>
      <c r="C117" s="87" t="s">
        <v>4484</v>
      </c>
      <c r="D117" s="87" t="s">
        <v>4332</v>
      </c>
      <c r="E117" s="87" t="s">
        <v>4563</v>
      </c>
      <c r="F117" s="88" t="s">
        <v>3515</v>
      </c>
      <c r="G117" s="89">
        <v>444.0383333333333</v>
      </c>
      <c r="H117" s="89">
        <v>479.56139999999994</v>
      </c>
      <c r="I117" s="88">
        <v>955</v>
      </c>
      <c r="L117" s="77"/>
    </row>
    <row r="118" spans="1:12">
      <c r="A118" s="86" t="s">
        <v>4564</v>
      </c>
      <c r="B118" s="87">
        <v>38249900</v>
      </c>
      <c r="C118" s="87" t="s">
        <v>4484</v>
      </c>
      <c r="D118" s="87" t="s">
        <v>4332</v>
      </c>
      <c r="E118" s="87" t="s">
        <v>4565</v>
      </c>
      <c r="F118" s="88" t="s">
        <v>3515</v>
      </c>
      <c r="G118" s="89">
        <v>444.0383333333333</v>
      </c>
      <c r="H118" s="89">
        <v>479.56139999999994</v>
      </c>
      <c r="I118" s="88">
        <v>955</v>
      </c>
      <c r="L118" s="77"/>
    </row>
    <row r="119" spans="1:12">
      <c r="A119" s="86" t="s">
        <v>4566</v>
      </c>
      <c r="B119" s="87">
        <v>38249900</v>
      </c>
      <c r="C119" s="87" t="s">
        <v>4484</v>
      </c>
      <c r="D119" s="87" t="s">
        <v>4332</v>
      </c>
      <c r="E119" s="87" t="s">
        <v>4567</v>
      </c>
      <c r="F119" s="88" t="s">
        <v>3515</v>
      </c>
      <c r="G119" s="89">
        <v>444.0383333333333</v>
      </c>
      <c r="H119" s="89">
        <v>479.56139999999994</v>
      </c>
      <c r="I119" s="88">
        <v>955</v>
      </c>
      <c r="L119" s="77"/>
    </row>
    <row r="120" spans="1:12">
      <c r="A120" s="86" t="s">
        <v>4568</v>
      </c>
      <c r="B120" s="87">
        <v>38249900</v>
      </c>
      <c r="C120" s="87" t="s">
        <v>4484</v>
      </c>
      <c r="D120" s="87" t="s">
        <v>4332</v>
      </c>
      <c r="E120" s="87" t="s">
        <v>4569</v>
      </c>
      <c r="F120" s="88" t="s">
        <v>3515</v>
      </c>
      <c r="G120" s="89">
        <v>444.0383333333333</v>
      </c>
      <c r="H120" s="89">
        <v>479.56139999999994</v>
      </c>
      <c r="I120" s="88">
        <v>955</v>
      </c>
      <c r="L120" s="77"/>
    </row>
    <row r="121" spans="1:12">
      <c r="A121" s="86" t="s">
        <v>4570</v>
      </c>
      <c r="B121" s="87">
        <v>38249900</v>
      </c>
      <c r="C121" s="87" t="s">
        <v>4484</v>
      </c>
      <c r="D121" s="87" t="s">
        <v>4332</v>
      </c>
      <c r="E121" s="87" t="s">
        <v>4571</v>
      </c>
      <c r="F121" s="88" t="s">
        <v>3515</v>
      </c>
      <c r="G121" s="89">
        <v>444.0383333333333</v>
      </c>
      <c r="H121" s="89">
        <v>479.56139999999994</v>
      </c>
      <c r="I121" s="88">
        <v>955</v>
      </c>
      <c r="L121" s="77"/>
    </row>
    <row r="122" spans="1:12">
      <c r="A122" s="86" t="s">
        <v>4572</v>
      </c>
      <c r="B122" s="87">
        <v>38249900</v>
      </c>
      <c r="C122" s="87" t="s">
        <v>4484</v>
      </c>
      <c r="D122" s="87" t="s">
        <v>4332</v>
      </c>
      <c r="E122" s="87" t="s">
        <v>4573</v>
      </c>
      <c r="F122" s="88" t="s">
        <v>3515</v>
      </c>
      <c r="G122" s="89">
        <v>444.0383333333333</v>
      </c>
      <c r="H122" s="89">
        <v>479.56139999999994</v>
      </c>
      <c r="I122" s="88">
        <v>955</v>
      </c>
      <c r="L122" s="77"/>
    </row>
    <row r="123" spans="1:12">
      <c r="A123" s="86" t="s">
        <v>4574</v>
      </c>
      <c r="B123" s="87">
        <v>38249900</v>
      </c>
      <c r="C123" s="87" t="s">
        <v>4484</v>
      </c>
      <c r="D123" s="87" t="s">
        <v>4332</v>
      </c>
      <c r="E123" s="87" t="s">
        <v>4575</v>
      </c>
      <c r="F123" s="88" t="s">
        <v>3515</v>
      </c>
      <c r="G123" s="89">
        <v>444.0383333333333</v>
      </c>
      <c r="H123" s="89">
        <v>479.56139999999994</v>
      </c>
      <c r="I123" s="88">
        <v>955</v>
      </c>
      <c r="L123" s="77"/>
    </row>
    <row r="124" spans="1:12">
      <c r="A124" s="86" t="s">
        <v>4576</v>
      </c>
      <c r="B124" s="87">
        <v>38249900</v>
      </c>
      <c r="C124" s="87" t="s">
        <v>4484</v>
      </c>
      <c r="D124" s="87" t="s">
        <v>4332</v>
      </c>
      <c r="E124" s="87" t="s">
        <v>4577</v>
      </c>
      <c r="F124" s="88" t="s">
        <v>3515</v>
      </c>
      <c r="G124" s="89">
        <v>444.0383333333333</v>
      </c>
      <c r="H124" s="89">
        <v>479.56139999999994</v>
      </c>
      <c r="I124" s="88">
        <v>955</v>
      </c>
      <c r="L124" s="77"/>
    </row>
    <row r="125" spans="1:12">
      <c r="A125" s="86" t="s">
        <v>4578</v>
      </c>
      <c r="B125" s="87">
        <v>38249900</v>
      </c>
      <c r="C125" s="87" t="s">
        <v>4484</v>
      </c>
      <c r="D125" s="87" t="s">
        <v>4332</v>
      </c>
      <c r="E125" s="87" t="s">
        <v>4579</v>
      </c>
      <c r="F125" s="88" t="s">
        <v>3515</v>
      </c>
      <c r="G125" s="89">
        <v>444.0383333333333</v>
      </c>
      <c r="H125" s="89">
        <v>479.56139999999994</v>
      </c>
      <c r="I125" s="88">
        <v>955</v>
      </c>
      <c r="L125" s="77"/>
    </row>
    <row r="126" spans="1:12">
      <c r="A126" s="86" t="s">
        <v>4580</v>
      </c>
      <c r="B126" s="87">
        <v>38249900</v>
      </c>
      <c r="C126" s="87" t="s">
        <v>4484</v>
      </c>
      <c r="D126" s="87" t="s">
        <v>4332</v>
      </c>
      <c r="E126" s="87" t="s">
        <v>4581</v>
      </c>
      <c r="F126" s="88" t="s">
        <v>3515</v>
      </c>
      <c r="G126" s="89">
        <v>444.0383333333333</v>
      </c>
      <c r="H126" s="89">
        <v>479.56139999999994</v>
      </c>
      <c r="I126" s="88">
        <v>955</v>
      </c>
      <c r="L126" s="77"/>
    </row>
    <row r="127" spans="1:12">
      <c r="A127" s="86" t="s">
        <v>4582</v>
      </c>
      <c r="B127" s="87">
        <v>38249900</v>
      </c>
      <c r="C127" s="87" t="s">
        <v>4484</v>
      </c>
      <c r="D127" s="87" t="s">
        <v>4332</v>
      </c>
      <c r="E127" s="87" t="s">
        <v>4583</v>
      </c>
      <c r="F127" s="88" t="s">
        <v>3515</v>
      </c>
      <c r="G127" s="89">
        <v>444.0383333333333</v>
      </c>
      <c r="H127" s="89">
        <v>479.56139999999994</v>
      </c>
      <c r="I127" s="88">
        <v>955</v>
      </c>
      <c r="L127" s="77"/>
    </row>
    <row r="128" spans="1:12">
      <c r="A128" s="86" t="s">
        <v>4584</v>
      </c>
      <c r="B128" s="87">
        <v>38249900</v>
      </c>
      <c r="C128" s="87" t="s">
        <v>4484</v>
      </c>
      <c r="D128" s="87" t="s">
        <v>4332</v>
      </c>
      <c r="E128" s="87" t="s">
        <v>4585</v>
      </c>
      <c r="F128" s="88" t="s">
        <v>3515</v>
      </c>
      <c r="G128" s="89">
        <v>444.0383333333333</v>
      </c>
      <c r="H128" s="89">
        <v>479.56139999999994</v>
      </c>
      <c r="I128" s="88">
        <v>955</v>
      </c>
      <c r="L128" s="77"/>
    </row>
    <row r="129" spans="1:16">
      <c r="A129" s="86" t="s">
        <v>4586</v>
      </c>
      <c r="B129" s="87">
        <v>38249900</v>
      </c>
      <c r="C129" s="87" t="s">
        <v>4484</v>
      </c>
      <c r="D129" s="87" t="s">
        <v>4332</v>
      </c>
      <c r="E129" s="87" t="s">
        <v>4587</v>
      </c>
      <c r="F129" s="88" t="s">
        <v>3515</v>
      </c>
      <c r="G129" s="89">
        <v>444.0383333333333</v>
      </c>
      <c r="H129" s="89">
        <v>479.56139999999994</v>
      </c>
      <c r="I129" s="88">
        <v>955</v>
      </c>
      <c r="L129" s="77"/>
    </row>
    <row r="130" spans="1:16">
      <c r="A130" s="86" t="s">
        <v>4588</v>
      </c>
      <c r="B130" s="87">
        <v>38249900</v>
      </c>
      <c r="C130" s="87" t="s">
        <v>4484</v>
      </c>
      <c r="D130" s="87" t="s">
        <v>4332</v>
      </c>
      <c r="E130" s="87" t="s">
        <v>4589</v>
      </c>
      <c r="F130" s="88" t="s">
        <v>3515</v>
      </c>
      <c r="G130" s="89">
        <v>444.0383333333333</v>
      </c>
      <c r="H130" s="89">
        <v>479.56139999999994</v>
      </c>
      <c r="I130" s="88">
        <v>955</v>
      </c>
      <c r="L130" s="77"/>
    </row>
    <row r="131" spans="1:16">
      <c r="A131" s="86" t="s">
        <v>4590</v>
      </c>
      <c r="B131" s="87">
        <v>38249900</v>
      </c>
      <c r="C131" s="87" t="s">
        <v>4484</v>
      </c>
      <c r="D131" s="87" t="s">
        <v>4332</v>
      </c>
      <c r="E131" s="87" t="s">
        <v>4591</v>
      </c>
      <c r="F131" s="88" t="s">
        <v>3515</v>
      </c>
      <c r="G131" s="89">
        <v>444.0383333333333</v>
      </c>
      <c r="H131" s="89">
        <v>479.56139999999994</v>
      </c>
      <c r="I131" s="88">
        <v>955</v>
      </c>
      <c r="L131" s="77"/>
    </row>
    <row r="132" spans="1:16">
      <c r="A132" s="86" t="s">
        <v>4592</v>
      </c>
      <c r="B132" s="87">
        <v>38249900</v>
      </c>
      <c r="C132" s="87" t="s">
        <v>4484</v>
      </c>
      <c r="D132" s="87" t="s">
        <v>4332</v>
      </c>
      <c r="E132" s="87" t="s">
        <v>4593</v>
      </c>
      <c r="F132" s="88" t="s">
        <v>3515</v>
      </c>
      <c r="G132" s="89">
        <v>444.0383333333333</v>
      </c>
      <c r="H132" s="89">
        <v>479.56139999999994</v>
      </c>
      <c r="I132" s="88">
        <v>955</v>
      </c>
      <c r="L132" s="77"/>
    </row>
    <row r="133" spans="1:16">
      <c r="A133" s="86" t="s">
        <v>4594</v>
      </c>
      <c r="B133" s="87">
        <v>38249900</v>
      </c>
      <c r="C133" s="87" t="s">
        <v>4484</v>
      </c>
      <c r="D133" s="87" t="s">
        <v>4332</v>
      </c>
      <c r="E133" s="87" t="s">
        <v>4595</v>
      </c>
      <c r="F133" s="88" t="s">
        <v>3515</v>
      </c>
      <c r="G133" s="89">
        <v>444.0383333333333</v>
      </c>
      <c r="H133" s="89">
        <v>479.56139999999994</v>
      </c>
      <c r="I133" s="88">
        <v>955</v>
      </c>
      <c r="L133" s="77"/>
    </row>
    <row r="134" spans="1:16">
      <c r="A134" s="86" t="s">
        <v>4596</v>
      </c>
      <c r="B134" s="87">
        <v>38249900</v>
      </c>
      <c r="C134" s="87" t="s">
        <v>4484</v>
      </c>
      <c r="D134" s="87" t="s">
        <v>4332</v>
      </c>
      <c r="E134" s="87" t="s">
        <v>4597</v>
      </c>
      <c r="F134" s="88" t="s">
        <v>3515</v>
      </c>
      <c r="G134" s="89">
        <v>444.0383333333333</v>
      </c>
      <c r="H134" s="89">
        <v>479.56139999999994</v>
      </c>
      <c r="I134" s="88">
        <v>955</v>
      </c>
      <c r="L134" s="77"/>
    </row>
    <row r="135" spans="1:16">
      <c r="A135" s="86" t="s">
        <v>4598</v>
      </c>
      <c r="B135" s="87">
        <v>38249900</v>
      </c>
      <c r="C135" s="87" t="s">
        <v>4484</v>
      </c>
      <c r="D135" s="87" t="s">
        <v>4332</v>
      </c>
      <c r="E135" s="87" t="s">
        <v>4599</v>
      </c>
      <c r="F135" s="88" t="s">
        <v>3515</v>
      </c>
      <c r="G135" s="89">
        <v>444.0383333333333</v>
      </c>
      <c r="H135" s="89">
        <v>479.56139999999994</v>
      </c>
      <c r="I135" s="88">
        <v>955</v>
      </c>
      <c r="L135" s="77">
        <f>3.69+1.31</f>
        <v>5</v>
      </c>
      <c r="M135">
        <f>955+4140</f>
        <v>5095</v>
      </c>
    </row>
    <row r="136" spans="1:16">
      <c r="A136" s="86" t="s">
        <v>4600</v>
      </c>
      <c r="B136" s="87">
        <v>38249900</v>
      </c>
      <c r="C136" s="87" t="s">
        <v>4484</v>
      </c>
      <c r="D136" s="87" t="s">
        <v>4332</v>
      </c>
      <c r="E136" s="87" t="s">
        <v>4601</v>
      </c>
      <c r="F136" s="88" t="s">
        <v>3515</v>
      </c>
      <c r="G136" s="89">
        <v>444.0383333333333</v>
      </c>
      <c r="H136" s="89">
        <v>479.56139999999994</v>
      </c>
      <c r="I136" s="88">
        <v>955</v>
      </c>
      <c r="L136" s="77"/>
      <c r="M136">
        <f>444.04+1512.85</f>
        <v>1956.8899999999999</v>
      </c>
      <c r="P136">
        <f>M136/5</f>
        <v>391.37799999999999</v>
      </c>
    </row>
    <row r="137" spans="1:16">
      <c r="A137" s="86" t="s">
        <v>4602</v>
      </c>
      <c r="B137" s="87">
        <v>38249900</v>
      </c>
      <c r="C137" s="87" t="s">
        <v>4484</v>
      </c>
      <c r="D137" s="87" t="s">
        <v>4332</v>
      </c>
      <c r="E137" s="87" t="s">
        <v>4603</v>
      </c>
      <c r="F137" s="88" t="s">
        <v>3515</v>
      </c>
      <c r="G137" s="89">
        <v>444.0383333333333</v>
      </c>
      <c r="H137" s="89">
        <v>479.56139999999994</v>
      </c>
      <c r="I137" s="88">
        <v>955</v>
      </c>
      <c r="L137" s="77">
        <f>3.69+5.24</f>
        <v>8.93</v>
      </c>
    </row>
    <row r="138" spans="1:16">
      <c r="A138" s="86" t="s">
        <v>4604</v>
      </c>
      <c r="B138" s="87">
        <v>38245090</v>
      </c>
      <c r="C138" s="87" t="s">
        <v>4484</v>
      </c>
      <c r="D138" s="87" t="s">
        <v>4332</v>
      </c>
      <c r="E138" s="87" t="s">
        <v>4605</v>
      </c>
      <c r="F138" s="88" t="s">
        <v>3515</v>
      </c>
      <c r="G138" s="89">
        <v>1512.8477777777778</v>
      </c>
      <c r="H138" s="89">
        <v>1633.8756000000001</v>
      </c>
      <c r="I138" s="88">
        <v>4140</v>
      </c>
      <c r="L138" s="77"/>
      <c r="N138">
        <f>1955/5</f>
        <v>391</v>
      </c>
    </row>
    <row r="139" spans="1:16">
      <c r="A139" s="86" t="s">
        <v>4606</v>
      </c>
      <c r="B139" s="87">
        <v>38245090</v>
      </c>
      <c r="C139" s="87" t="s">
        <v>4484</v>
      </c>
      <c r="D139" s="87" t="s">
        <v>4332</v>
      </c>
      <c r="E139" s="87" t="s">
        <v>4607</v>
      </c>
      <c r="F139" s="88" t="s">
        <v>3515</v>
      </c>
      <c r="G139" s="89">
        <v>5641.2423888888879</v>
      </c>
      <c r="H139" s="89">
        <v>6092.5417799999987</v>
      </c>
      <c r="I139" s="88">
        <v>12970</v>
      </c>
      <c r="L139" s="77"/>
      <c r="M139">
        <f>1375*5</f>
        <v>6875</v>
      </c>
    </row>
    <row r="140" spans="1:16">
      <c r="A140" s="86" t="s">
        <v>4608</v>
      </c>
      <c r="B140" s="87">
        <v>39269099</v>
      </c>
      <c r="C140" s="87" t="s">
        <v>4484</v>
      </c>
      <c r="D140" s="87" t="s">
        <v>4332</v>
      </c>
      <c r="E140" s="87" t="s">
        <v>4609</v>
      </c>
      <c r="F140" s="88" t="s">
        <v>3515</v>
      </c>
      <c r="G140" s="89">
        <v>300.36877777777778</v>
      </c>
      <c r="H140" s="89">
        <v>324.39828</v>
      </c>
      <c r="I140" s="88">
        <v>630</v>
      </c>
      <c r="L140" s="77"/>
    </row>
    <row r="141" spans="1:16">
      <c r="A141" s="86" t="s">
        <v>4610</v>
      </c>
      <c r="B141" s="87">
        <v>39269099</v>
      </c>
      <c r="C141" s="87" t="s">
        <v>4484</v>
      </c>
      <c r="D141" s="87" t="s">
        <v>4332</v>
      </c>
      <c r="E141" s="87" t="s">
        <v>4611</v>
      </c>
      <c r="F141" s="88" t="s">
        <v>3515</v>
      </c>
      <c r="G141" s="89">
        <v>300.36877777777778</v>
      </c>
      <c r="H141" s="89">
        <v>324.39828</v>
      </c>
      <c r="I141" s="88">
        <v>630</v>
      </c>
      <c r="L141" s="77"/>
    </row>
    <row r="142" spans="1:16">
      <c r="A142" s="86" t="s">
        <v>4612</v>
      </c>
      <c r="B142" s="87">
        <v>39269099</v>
      </c>
      <c r="C142" s="87" t="s">
        <v>4484</v>
      </c>
      <c r="D142" s="87" t="s">
        <v>4332</v>
      </c>
      <c r="E142" s="87" t="s">
        <v>4613</v>
      </c>
      <c r="F142" s="88" t="s">
        <v>3515</v>
      </c>
      <c r="G142" s="89">
        <v>300.36877777777778</v>
      </c>
      <c r="H142" s="89">
        <v>324.39828</v>
      </c>
      <c r="I142" s="88">
        <v>630</v>
      </c>
      <c r="L142" s="77"/>
    </row>
    <row r="143" spans="1:16">
      <c r="A143" s="86" t="s">
        <v>4614</v>
      </c>
      <c r="B143" s="87"/>
      <c r="C143" s="87" t="s">
        <v>4484</v>
      </c>
      <c r="D143" s="87" t="s">
        <v>4332</v>
      </c>
      <c r="E143" s="87" t="s">
        <v>4615</v>
      </c>
      <c r="F143" s="88" t="s">
        <v>3515</v>
      </c>
      <c r="G143" s="89">
        <v>1660</v>
      </c>
      <c r="H143" s="89">
        <v>1792.8</v>
      </c>
      <c r="I143" s="88">
        <v>4250</v>
      </c>
      <c r="L143" s="77"/>
    </row>
    <row r="144" spans="1:16">
      <c r="A144" s="86" t="s">
        <v>4616</v>
      </c>
      <c r="B144" s="87"/>
      <c r="C144" s="87" t="s">
        <v>4484</v>
      </c>
      <c r="D144" s="87" t="s">
        <v>4332</v>
      </c>
      <c r="E144" s="87" t="s">
        <v>4617</v>
      </c>
      <c r="F144" s="88" t="s">
        <v>3515</v>
      </c>
      <c r="G144" s="89">
        <v>1660</v>
      </c>
      <c r="H144" s="89">
        <v>1792.8</v>
      </c>
      <c r="I144" s="88">
        <v>4250</v>
      </c>
      <c r="L144" s="77"/>
    </row>
    <row r="145" spans="1:12">
      <c r="A145" s="86" t="s">
        <v>4618</v>
      </c>
      <c r="B145" s="87"/>
      <c r="C145" s="87" t="s">
        <v>4484</v>
      </c>
      <c r="D145" s="87" t="s">
        <v>4332</v>
      </c>
      <c r="E145" s="87" t="s">
        <v>4619</v>
      </c>
      <c r="F145" s="88" t="s">
        <v>3515</v>
      </c>
      <c r="G145" s="89">
        <v>1660</v>
      </c>
      <c r="H145" s="89">
        <v>1792.8</v>
      </c>
      <c r="I145" s="88">
        <v>4250</v>
      </c>
      <c r="L145" s="77"/>
    </row>
    <row r="146" spans="1:12">
      <c r="A146" s="86" t="s">
        <v>4620</v>
      </c>
      <c r="B146" s="87"/>
      <c r="C146" s="87" t="s">
        <v>4484</v>
      </c>
      <c r="D146" s="87" t="s">
        <v>4332</v>
      </c>
      <c r="E146" s="87" t="s">
        <v>4621</v>
      </c>
      <c r="F146" s="88" t="s">
        <v>3515</v>
      </c>
      <c r="G146" s="89">
        <v>1660</v>
      </c>
      <c r="H146" s="89">
        <v>1792.8</v>
      </c>
      <c r="I146" s="88">
        <v>4250</v>
      </c>
      <c r="L146" s="77"/>
    </row>
    <row r="147" spans="1:12">
      <c r="A147" s="86" t="s">
        <v>4622</v>
      </c>
      <c r="B147" s="87"/>
      <c r="C147" s="87" t="s">
        <v>4484</v>
      </c>
      <c r="D147" s="87" t="s">
        <v>4332</v>
      </c>
      <c r="E147" s="87" t="s">
        <v>4623</v>
      </c>
      <c r="F147" s="88" t="s">
        <v>3515</v>
      </c>
      <c r="G147" s="89">
        <v>1660</v>
      </c>
      <c r="H147" s="89">
        <v>1792.8</v>
      </c>
      <c r="I147" s="88">
        <v>4250</v>
      </c>
      <c r="L147" s="77"/>
    </row>
    <row r="148" spans="1:12">
      <c r="A148" s="86" t="s">
        <v>4624</v>
      </c>
      <c r="B148" s="87"/>
      <c r="C148" s="87" t="s">
        <v>4484</v>
      </c>
      <c r="D148" s="87" t="s">
        <v>4332</v>
      </c>
      <c r="E148" s="87" t="s">
        <v>4625</v>
      </c>
      <c r="F148" s="88" t="s">
        <v>3515</v>
      </c>
      <c r="G148" s="89">
        <v>1660</v>
      </c>
      <c r="H148" s="89">
        <v>1792.8</v>
      </c>
      <c r="I148" s="88">
        <v>4250</v>
      </c>
      <c r="L148" s="77"/>
    </row>
    <row r="149" spans="1:12">
      <c r="A149" s="86" t="s">
        <v>4626</v>
      </c>
      <c r="B149" s="87"/>
      <c r="C149" s="87" t="s">
        <v>4484</v>
      </c>
      <c r="D149" s="87" t="s">
        <v>4332</v>
      </c>
      <c r="E149" s="87" t="s">
        <v>4627</v>
      </c>
      <c r="F149" s="88" t="s">
        <v>3515</v>
      </c>
      <c r="G149" s="89">
        <v>1660</v>
      </c>
      <c r="H149" s="89">
        <v>1792.8</v>
      </c>
      <c r="I149" s="88">
        <v>4250</v>
      </c>
      <c r="L149" s="77"/>
    </row>
    <row r="150" spans="1:12">
      <c r="A150" s="86" t="s">
        <v>4628</v>
      </c>
      <c r="B150" s="87"/>
      <c r="C150" s="87" t="s">
        <v>4484</v>
      </c>
      <c r="D150" s="87" t="s">
        <v>4332</v>
      </c>
      <c r="E150" s="87" t="s">
        <v>4629</v>
      </c>
      <c r="F150" s="88" t="s">
        <v>3515</v>
      </c>
      <c r="G150" s="89">
        <v>1660</v>
      </c>
      <c r="H150" s="89">
        <v>1792.8</v>
      </c>
      <c r="I150" s="88">
        <v>4250</v>
      </c>
      <c r="L150" s="77"/>
    </row>
    <row r="151" spans="1:12">
      <c r="A151" s="86" t="s">
        <v>4630</v>
      </c>
      <c r="B151" s="87"/>
      <c r="C151" s="87" t="s">
        <v>4484</v>
      </c>
      <c r="D151" s="87" t="s">
        <v>4332</v>
      </c>
      <c r="E151" s="87" t="s">
        <v>4631</v>
      </c>
      <c r="F151" s="88" t="s">
        <v>3515</v>
      </c>
      <c r="G151" s="89">
        <v>1660</v>
      </c>
      <c r="H151" s="89">
        <v>1792.8</v>
      </c>
      <c r="I151" s="88">
        <v>4250</v>
      </c>
      <c r="L151" s="77"/>
    </row>
    <row r="152" spans="1:12">
      <c r="A152" s="86" t="s">
        <v>4632</v>
      </c>
      <c r="B152" s="87"/>
      <c r="C152" s="87" t="s">
        <v>4484</v>
      </c>
      <c r="D152" s="87" t="s">
        <v>4332</v>
      </c>
      <c r="E152" s="87" t="s">
        <v>4633</v>
      </c>
      <c r="F152" s="88" t="s">
        <v>3515</v>
      </c>
      <c r="G152" s="89">
        <v>1660</v>
      </c>
      <c r="H152" s="89">
        <v>1792.8</v>
      </c>
      <c r="I152" s="88">
        <v>4250</v>
      </c>
      <c r="L152" s="77"/>
    </row>
    <row r="153" spans="1:12">
      <c r="A153" s="86" t="s">
        <v>4634</v>
      </c>
      <c r="B153" s="87"/>
      <c r="C153" s="87" t="s">
        <v>4484</v>
      </c>
      <c r="D153" s="87" t="s">
        <v>4332</v>
      </c>
      <c r="E153" s="87" t="s">
        <v>4635</v>
      </c>
      <c r="F153" s="88" t="s">
        <v>3515</v>
      </c>
      <c r="G153" s="89">
        <v>1660</v>
      </c>
      <c r="H153" s="89">
        <v>1792.8</v>
      </c>
      <c r="I153" s="88">
        <v>4250</v>
      </c>
      <c r="L153" s="77"/>
    </row>
    <row r="154" spans="1:12">
      <c r="A154" s="86" t="s">
        <v>4636</v>
      </c>
      <c r="B154" s="87"/>
      <c r="C154" s="87" t="s">
        <v>4484</v>
      </c>
      <c r="D154" s="87" t="s">
        <v>4332</v>
      </c>
      <c r="E154" s="87" t="s">
        <v>4637</v>
      </c>
      <c r="F154" s="88" t="s">
        <v>3515</v>
      </c>
      <c r="G154" s="89">
        <v>1660</v>
      </c>
      <c r="H154" s="89">
        <v>1792.8</v>
      </c>
      <c r="I154" s="88">
        <v>4250</v>
      </c>
      <c r="L154" s="77"/>
    </row>
    <row r="155" spans="1:12">
      <c r="A155" s="86" t="s">
        <v>4638</v>
      </c>
      <c r="B155" s="87"/>
      <c r="C155" s="87" t="s">
        <v>4484</v>
      </c>
      <c r="D155" s="87" t="s">
        <v>4332</v>
      </c>
      <c r="E155" s="87" t="s">
        <v>4639</v>
      </c>
      <c r="F155" s="88" t="s">
        <v>3515</v>
      </c>
      <c r="G155" s="89">
        <v>1660</v>
      </c>
      <c r="H155" s="89">
        <v>1792.8</v>
      </c>
      <c r="I155" s="88">
        <v>4250</v>
      </c>
      <c r="L155" s="77"/>
    </row>
    <row r="156" spans="1:12">
      <c r="A156" s="86" t="s">
        <v>4640</v>
      </c>
      <c r="B156" s="87"/>
      <c r="C156" s="87" t="s">
        <v>4484</v>
      </c>
      <c r="D156" s="87" t="s">
        <v>4332</v>
      </c>
      <c r="E156" s="87" t="s">
        <v>4641</v>
      </c>
      <c r="F156" s="88" t="s">
        <v>3515</v>
      </c>
      <c r="G156" s="89">
        <v>1660</v>
      </c>
      <c r="H156" s="89">
        <v>1792.8</v>
      </c>
      <c r="I156" s="88">
        <v>4250</v>
      </c>
      <c r="L156" s="77"/>
    </row>
    <row r="157" spans="1:12">
      <c r="A157" s="86" t="s">
        <v>4642</v>
      </c>
      <c r="B157" s="87"/>
      <c r="C157" s="87" t="s">
        <v>4484</v>
      </c>
      <c r="D157" s="87" t="s">
        <v>4332</v>
      </c>
      <c r="E157" s="87" t="s">
        <v>4643</v>
      </c>
      <c r="F157" s="88" t="s">
        <v>3515</v>
      </c>
      <c r="G157" s="89">
        <v>429</v>
      </c>
      <c r="H157" s="89">
        <v>463.32</v>
      </c>
      <c r="I157" s="88">
        <v>1250</v>
      </c>
      <c r="L157" s="77"/>
    </row>
    <row r="158" spans="1:12">
      <c r="A158" s="86" t="s">
        <v>4644</v>
      </c>
      <c r="B158" s="87"/>
      <c r="C158" s="87" t="s">
        <v>4484</v>
      </c>
      <c r="D158" s="87" t="s">
        <v>4332</v>
      </c>
      <c r="E158" s="87" t="s">
        <v>4645</v>
      </c>
      <c r="F158" s="88" t="s">
        <v>3515</v>
      </c>
      <c r="G158" s="89">
        <v>429</v>
      </c>
      <c r="H158" s="89">
        <v>463.32</v>
      </c>
      <c r="I158" s="88">
        <v>1250</v>
      </c>
      <c r="L158" s="77"/>
    </row>
    <row r="159" spans="1:12">
      <c r="A159" s="86" t="s">
        <v>4646</v>
      </c>
      <c r="B159" s="87"/>
      <c r="C159" s="87" t="s">
        <v>4484</v>
      </c>
      <c r="D159" s="87" t="s">
        <v>4332</v>
      </c>
      <c r="E159" s="87" t="s">
        <v>4647</v>
      </c>
      <c r="F159" s="88" t="s">
        <v>3515</v>
      </c>
      <c r="G159" s="89">
        <v>429</v>
      </c>
      <c r="H159" s="89">
        <v>463.32</v>
      </c>
      <c r="I159" s="88">
        <v>1250</v>
      </c>
      <c r="L159" s="77"/>
    </row>
    <row r="160" spans="1:12">
      <c r="A160" s="86" t="s">
        <v>4648</v>
      </c>
      <c r="B160" s="87"/>
      <c r="C160" s="87" t="s">
        <v>4484</v>
      </c>
      <c r="D160" s="87" t="s">
        <v>4332</v>
      </c>
      <c r="E160" s="87" t="s">
        <v>4649</v>
      </c>
      <c r="F160" s="88" t="s">
        <v>3515</v>
      </c>
      <c r="G160" s="89">
        <v>429</v>
      </c>
      <c r="H160" s="89">
        <v>463.32</v>
      </c>
      <c r="I160" s="88">
        <v>1250</v>
      </c>
      <c r="L160" s="77"/>
    </row>
    <row r="161" spans="1:12">
      <c r="A161" s="86" t="s">
        <v>4650</v>
      </c>
      <c r="B161" s="87"/>
      <c r="C161" s="87" t="s">
        <v>4484</v>
      </c>
      <c r="D161" s="87" t="s">
        <v>4332</v>
      </c>
      <c r="E161" s="87" t="s">
        <v>4651</v>
      </c>
      <c r="F161" s="88" t="s">
        <v>3515</v>
      </c>
      <c r="G161" s="89">
        <v>429</v>
      </c>
      <c r="H161" s="89">
        <v>463.32</v>
      </c>
      <c r="I161" s="88">
        <v>1250</v>
      </c>
      <c r="L161" s="77"/>
    </row>
    <row r="162" spans="1:12">
      <c r="A162" s="86" t="s">
        <v>4652</v>
      </c>
      <c r="B162" s="87"/>
      <c r="C162" s="87" t="s">
        <v>4484</v>
      </c>
      <c r="D162" s="87" t="s">
        <v>4332</v>
      </c>
      <c r="E162" s="87" t="s">
        <v>4653</v>
      </c>
      <c r="F162" s="88" t="s">
        <v>3515</v>
      </c>
      <c r="G162" s="89">
        <v>429</v>
      </c>
      <c r="H162" s="89">
        <v>463.32</v>
      </c>
      <c r="I162" s="88">
        <v>1250</v>
      </c>
      <c r="L162" s="77"/>
    </row>
    <row r="163" spans="1:12">
      <c r="A163" s="86" t="s">
        <v>4654</v>
      </c>
      <c r="B163" s="87"/>
      <c r="C163" s="87" t="s">
        <v>4484</v>
      </c>
      <c r="D163" s="87" t="s">
        <v>4332</v>
      </c>
      <c r="E163" s="87" t="s">
        <v>4655</v>
      </c>
      <c r="F163" s="88" t="s">
        <v>3515</v>
      </c>
      <c r="G163" s="89">
        <v>429</v>
      </c>
      <c r="H163" s="89">
        <v>463.32</v>
      </c>
      <c r="I163" s="88">
        <v>1250</v>
      </c>
      <c r="L163" s="77"/>
    </row>
    <row r="164" spans="1:12">
      <c r="A164" s="86" t="s">
        <v>4656</v>
      </c>
      <c r="B164" s="87"/>
      <c r="C164" s="87" t="s">
        <v>4484</v>
      </c>
      <c r="D164" s="87" t="s">
        <v>4332</v>
      </c>
      <c r="E164" s="87" t="s">
        <v>4657</v>
      </c>
      <c r="F164" s="88" t="s">
        <v>3515</v>
      </c>
      <c r="G164" s="89">
        <v>429</v>
      </c>
      <c r="H164" s="89">
        <v>463.32</v>
      </c>
      <c r="I164" s="88">
        <v>1250</v>
      </c>
      <c r="L164" s="77"/>
    </row>
    <row r="165" spans="1:12">
      <c r="A165" s="86" t="s">
        <v>4658</v>
      </c>
      <c r="B165" s="87"/>
      <c r="C165" s="87" t="s">
        <v>4484</v>
      </c>
      <c r="D165" s="87" t="s">
        <v>4332</v>
      </c>
      <c r="E165" s="87" t="s">
        <v>4659</v>
      </c>
      <c r="F165" s="88" t="s">
        <v>3515</v>
      </c>
      <c r="G165" s="89">
        <v>429</v>
      </c>
      <c r="H165" s="89">
        <v>463.32</v>
      </c>
      <c r="I165" s="88">
        <v>1250</v>
      </c>
      <c r="L165" s="77"/>
    </row>
    <row r="166" spans="1:12">
      <c r="A166" s="86" t="s">
        <v>4660</v>
      </c>
      <c r="B166" s="87"/>
      <c r="C166" s="87" t="s">
        <v>4484</v>
      </c>
      <c r="D166" s="87" t="s">
        <v>4332</v>
      </c>
      <c r="E166" s="87" t="s">
        <v>4661</v>
      </c>
      <c r="F166" s="88" t="s">
        <v>3515</v>
      </c>
      <c r="G166" s="89">
        <v>429</v>
      </c>
      <c r="H166" s="89">
        <v>463.32</v>
      </c>
      <c r="I166" s="88">
        <v>1250</v>
      </c>
      <c r="L166" s="77"/>
    </row>
    <row r="167" spans="1:12">
      <c r="A167" s="86" t="s">
        <v>4662</v>
      </c>
      <c r="B167" s="87"/>
      <c r="C167" s="87" t="s">
        <v>4484</v>
      </c>
      <c r="D167" s="87" t="s">
        <v>4332</v>
      </c>
      <c r="E167" s="87" t="s">
        <v>4663</v>
      </c>
      <c r="F167" s="88" t="s">
        <v>3515</v>
      </c>
      <c r="G167" s="89">
        <v>429</v>
      </c>
      <c r="H167" s="89">
        <v>463.32</v>
      </c>
      <c r="I167" s="88">
        <v>1250</v>
      </c>
      <c r="L167" s="77"/>
    </row>
    <row r="168" spans="1:12">
      <c r="A168" s="86" t="s">
        <v>4664</v>
      </c>
      <c r="B168" s="87"/>
      <c r="C168" s="87" t="s">
        <v>4484</v>
      </c>
      <c r="D168" s="87" t="s">
        <v>4332</v>
      </c>
      <c r="E168" s="87" t="s">
        <v>4665</v>
      </c>
      <c r="F168" s="88" t="s">
        <v>3515</v>
      </c>
      <c r="G168" s="89">
        <v>429</v>
      </c>
      <c r="H168" s="89">
        <v>463.32</v>
      </c>
      <c r="I168" s="88">
        <v>1250</v>
      </c>
      <c r="L168" s="77"/>
    </row>
    <row r="169" spans="1:12">
      <c r="A169" s="86" t="s">
        <v>4666</v>
      </c>
      <c r="B169" s="87"/>
      <c r="C169" s="87" t="s">
        <v>4484</v>
      </c>
      <c r="D169" s="87" t="s">
        <v>4332</v>
      </c>
      <c r="E169" s="87" t="s">
        <v>4667</v>
      </c>
      <c r="F169" s="88" t="s">
        <v>3515</v>
      </c>
      <c r="G169" s="89">
        <v>429</v>
      </c>
      <c r="H169" s="89">
        <v>463.32</v>
      </c>
      <c r="I169" s="88">
        <v>1250</v>
      </c>
      <c r="L169" s="77"/>
    </row>
    <row r="170" spans="1:12">
      <c r="A170" s="86" t="s">
        <v>4668</v>
      </c>
      <c r="B170" s="87"/>
      <c r="C170" s="87" t="s">
        <v>4484</v>
      </c>
      <c r="D170" s="87" t="s">
        <v>4332</v>
      </c>
      <c r="E170" s="87" t="s">
        <v>4669</v>
      </c>
      <c r="F170" s="88" t="s">
        <v>3515</v>
      </c>
      <c r="G170" s="89">
        <v>429</v>
      </c>
      <c r="H170" s="89">
        <v>463.32</v>
      </c>
      <c r="I170" s="88">
        <v>1250</v>
      </c>
      <c r="L170" s="77"/>
    </row>
    <row r="171" spans="1:12">
      <c r="A171" s="86" t="s">
        <v>4670</v>
      </c>
      <c r="B171" s="87">
        <v>35061000</v>
      </c>
      <c r="C171" s="87" t="s">
        <v>4671</v>
      </c>
      <c r="D171" s="87" t="s">
        <v>4332</v>
      </c>
      <c r="E171" s="87" t="s">
        <v>4672</v>
      </c>
      <c r="F171" s="88" t="s">
        <v>3515</v>
      </c>
      <c r="G171" s="89">
        <v>572.20577777777771</v>
      </c>
      <c r="H171" s="89">
        <v>617.98223999999993</v>
      </c>
      <c r="I171" s="88">
        <v>1375</v>
      </c>
      <c r="L171" s="77"/>
    </row>
    <row r="172" spans="1:12">
      <c r="A172" s="86" t="s">
        <v>4673</v>
      </c>
      <c r="B172" s="87">
        <v>35061000</v>
      </c>
      <c r="C172" s="87" t="s">
        <v>4671</v>
      </c>
      <c r="D172" s="87" t="s">
        <v>4332</v>
      </c>
      <c r="E172" s="87" t="s">
        <v>4674</v>
      </c>
      <c r="F172" s="88" t="s">
        <v>3515</v>
      </c>
      <c r="G172" s="89">
        <v>572.22222222222217</v>
      </c>
      <c r="H172" s="89">
        <v>618</v>
      </c>
      <c r="I172" s="88">
        <v>1375</v>
      </c>
      <c r="L172" s="77"/>
    </row>
    <row r="173" spans="1:12">
      <c r="A173" s="86" t="s">
        <v>4675</v>
      </c>
      <c r="B173" s="87">
        <v>35061000</v>
      </c>
      <c r="C173" s="87" t="s">
        <v>4671</v>
      </c>
      <c r="D173" s="87" t="s">
        <v>4332</v>
      </c>
      <c r="E173" s="87" t="s">
        <v>4676</v>
      </c>
      <c r="F173" s="88" t="s">
        <v>3515</v>
      </c>
      <c r="G173" s="89">
        <v>572.22222222222217</v>
      </c>
      <c r="H173" s="89">
        <v>618</v>
      </c>
      <c r="I173" s="88">
        <v>1375</v>
      </c>
      <c r="L173" s="77"/>
    </row>
    <row r="174" spans="1:12">
      <c r="A174" s="86" t="s">
        <v>4677</v>
      </c>
      <c r="B174" s="87">
        <v>35061000</v>
      </c>
      <c r="C174" s="87" t="s">
        <v>4671</v>
      </c>
      <c r="D174" s="87" t="s">
        <v>4332</v>
      </c>
      <c r="E174" s="87" t="s">
        <v>4678</v>
      </c>
      <c r="F174" s="88" t="s">
        <v>3515</v>
      </c>
      <c r="G174" s="89">
        <v>572.22222222222217</v>
      </c>
      <c r="H174" s="89">
        <v>618</v>
      </c>
      <c r="I174" s="88">
        <v>1375</v>
      </c>
      <c r="L174" s="77"/>
    </row>
    <row r="175" spans="1:12">
      <c r="A175" s="86" t="s">
        <v>4679</v>
      </c>
      <c r="B175" s="87">
        <v>35061000</v>
      </c>
      <c r="C175" s="87" t="s">
        <v>4671</v>
      </c>
      <c r="D175" s="87" t="s">
        <v>4332</v>
      </c>
      <c r="E175" s="87" t="s">
        <v>4680</v>
      </c>
      <c r="F175" s="88" t="s">
        <v>3515</v>
      </c>
      <c r="G175" s="89">
        <v>572.22222222222217</v>
      </c>
      <c r="H175" s="89">
        <v>618</v>
      </c>
      <c r="I175" s="88">
        <v>1375</v>
      </c>
      <c r="L175" s="77"/>
    </row>
    <row r="176" spans="1:12">
      <c r="A176" s="86" t="s">
        <v>4681</v>
      </c>
      <c r="B176" s="87">
        <v>35061000</v>
      </c>
      <c r="C176" s="87" t="s">
        <v>4671</v>
      </c>
      <c r="D176" s="87" t="s">
        <v>4332</v>
      </c>
      <c r="E176" s="87" t="s">
        <v>4682</v>
      </c>
      <c r="F176" s="88" t="s">
        <v>3515</v>
      </c>
      <c r="G176" s="89">
        <v>572.22222222222217</v>
      </c>
      <c r="H176" s="89">
        <v>618</v>
      </c>
      <c r="I176" s="88">
        <v>1375</v>
      </c>
      <c r="L176" s="77"/>
    </row>
    <row r="177" spans="1:12">
      <c r="A177" s="86" t="s">
        <v>4683</v>
      </c>
      <c r="B177" s="87">
        <v>35061000</v>
      </c>
      <c r="C177" s="87" t="s">
        <v>4671</v>
      </c>
      <c r="D177" s="87" t="s">
        <v>4332</v>
      </c>
      <c r="E177" s="87" t="s">
        <v>4684</v>
      </c>
      <c r="F177" s="88" t="s">
        <v>3515</v>
      </c>
      <c r="G177" s="89">
        <v>572.22222222222217</v>
      </c>
      <c r="H177" s="89">
        <v>618</v>
      </c>
      <c r="I177" s="88">
        <v>1375</v>
      </c>
      <c r="L177" s="77"/>
    </row>
    <row r="178" spans="1:12">
      <c r="A178" s="86" t="s">
        <v>4685</v>
      </c>
      <c r="B178" s="87">
        <v>35061000</v>
      </c>
      <c r="C178" s="87" t="s">
        <v>4671</v>
      </c>
      <c r="D178" s="87" t="s">
        <v>4332</v>
      </c>
      <c r="E178" s="87" t="s">
        <v>4686</v>
      </c>
      <c r="F178" s="88" t="s">
        <v>3515</v>
      </c>
      <c r="G178" s="89">
        <v>572.22222222222217</v>
      </c>
      <c r="H178" s="89">
        <v>618</v>
      </c>
      <c r="I178" s="88">
        <v>1375</v>
      </c>
      <c r="L178" s="77"/>
    </row>
    <row r="179" spans="1:12">
      <c r="A179" s="86" t="s">
        <v>4687</v>
      </c>
      <c r="B179" s="87">
        <v>35061000</v>
      </c>
      <c r="C179" s="87" t="s">
        <v>4671</v>
      </c>
      <c r="D179" s="87" t="s">
        <v>4332</v>
      </c>
      <c r="E179" s="87" t="s">
        <v>4688</v>
      </c>
      <c r="F179" s="88" t="s">
        <v>3515</v>
      </c>
      <c r="G179" s="89">
        <v>572.22222222222217</v>
      </c>
      <c r="H179" s="89">
        <v>618</v>
      </c>
      <c r="I179" s="88">
        <v>1375</v>
      </c>
      <c r="L179" s="77"/>
    </row>
    <row r="180" spans="1:12">
      <c r="A180" s="86" t="s">
        <v>4689</v>
      </c>
      <c r="B180" s="87">
        <v>35061000</v>
      </c>
      <c r="C180" s="87" t="s">
        <v>4671</v>
      </c>
      <c r="D180" s="87" t="s">
        <v>4332</v>
      </c>
      <c r="E180" s="87" t="s">
        <v>4690</v>
      </c>
      <c r="F180" s="88" t="s">
        <v>3515</v>
      </c>
      <c r="G180" s="89">
        <v>572.22222222222217</v>
      </c>
      <c r="H180" s="89">
        <v>618</v>
      </c>
      <c r="I180" s="88">
        <v>1375</v>
      </c>
      <c r="L180" s="77"/>
    </row>
    <row r="181" spans="1:12">
      <c r="A181" s="86" t="s">
        <v>4691</v>
      </c>
      <c r="B181" s="87">
        <v>35061000</v>
      </c>
      <c r="C181" s="87" t="s">
        <v>4671</v>
      </c>
      <c r="D181" s="87" t="s">
        <v>4332</v>
      </c>
      <c r="E181" s="87" t="s">
        <v>4692</v>
      </c>
      <c r="F181" s="88" t="s">
        <v>3515</v>
      </c>
      <c r="G181" s="89">
        <v>572.22222222222217</v>
      </c>
      <c r="H181" s="89">
        <v>618</v>
      </c>
      <c r="I181" s="88">
        <v>1375</v>
      </c>
      <c r="L181" s="77"/>
    </row>
    <row r="182" spans="1:12">
      <c r="A182" s="86" t="s">
        <v>4693</v>
      </c>
      <c r="B182" s="87">
        <v>35061000</v>
      </c>
      <c r="C182" s="87" t="s">
        <v>4671</v>
      </c>
      <c r="D182" s="87" t="s">
        <v>4332</v>
      </c>
      <c r="E182" s="87" t="s">
        <v>4694</v>
      </c>
      <c r="F182" s="88" t="s">
        <v>3515</v>
      </c>
      <c r="G182" s="89">
        <v>572.22222222222217</v>
      </c>
      <c r="H182" s="89">
        <v>618</v>
      </c>
      <c r="I182" s="88">
        <v>1375</v>
      </c>
      <c r="L182" s="77"/>
    </row>
    <row r="183" spans="1:12">
      <c r="A183" s="86" t="s">
        <v>4695</v>
      </c>
      <c r="B183" s="87">
        <v>35061000</v>
      </c>
      <c r="C183" s="87" t="s">
        <v>4671</v>
      </c>
      <c r="D183" s="87" t="s">
        <v>4332</v>
      </c>
      <c r="E183" s="87" t="s">
        <v>4696</v>
      </c>
      <c r="F183" s="88" t="s">
        <v>3515</v>
      </c>
      <c r="G183" s="89">
        <v>572.22222222222217</v>
      </c>
      <c r="H183" s="89">
        <v>618</v>
      </c>
      <c r="I183" s="88">
        <v>1375</v>
      </c>
      <c r="L183" s="77"/>
    </row>
    <row r="184" spans="1:12">
      <c r="A184" s="86" t="s">
        <v>4697</v>
      </c>
      <c r="B184" s="87">
        <v>35061000</v>
      </c>
      <c r="C184" s="87" t="s">
        <v>4671</v>
      </c>
      <c r="D184" s="87" t="s">
        <v>4332</v>
      </c>
      <c r="E184" s="87" t="s">
        <v>4698</v>
      </c>
      <c r="F184" s="88" t="s">
        <v>3515</v>
      </c>
      <c r="G184" s="89">
        <v>572.22222222222217</v>
      </c>
      <c r="H184" s="89">
        <v>618</v>
      </c>
      <c r="I184" s="88">
        <v>1375</v>
      </c>
      <c r="L184" s="77"/>
    </row>
    <row r="185" spans="1:12">
      <c r="A185" s="86" t="s">
        <v>4699</v>
      </c>
      <c r="B185" s="87">
        <v>35061000</v>
      </c>
      <c r="C185" s="87" t="s">
        <v>4671</v>
      </c>
      <c r="D185" s="87" t="s">
        <v>4332</v>
      </c>
      <c r="E185" s="87" t="s">
        <v>4700</v>
      </c>
      <c r="F185" s="88" t="s">
        <v>3515</v>
      </c>
      <c r="G185" s="89">
        <v>572.22222222222217</v>
      </c>
      <c r="H185" s="89">
        <v>618</v>
      </c>
      <c r="I185" s="88">
        <v>1375</v>
      </c>
      <c r="L185" s="77"/>
    </row>
    <row r="186" spans="1:12">
      <c r="A186" s="86" t="s">
        <v>4701</v>
      </c>
      <c r="B186" s="87">
        <v>35061000</v>
      </c>
      <c r="C186" s="87" t="s">
        <v>4671</v>
      </c>
      <c r="D186" s="87" t="s">
        <v>4332</v>
      </c>
      <c r="E186" s="87" t="s">
        <v>4702</v>
      </c>
      <c r="F186" s="88" t="s">
        <v>3515</v>
      </c>
      <c r="G186" s="89">
        <v>572.22222222222217</v>
      </c>
      <c r="H186" s="89">
        <v>618</v>
      </c>
      <c r="I186" s="88">
        <v>1375</v>
      </c>
      <c r="L186" s="77"/>
    </row>
    <row r="187" spans="1:12">
      <c r="A187" s="86" t="s">
        <v>4703</v>
      </c>
      <c r="B187" s="87">
        <v>35061000</v>
      </c>
      <c r="C187" s="87" t="s">
        <v>4671</v>
      </c>
      <c r="D187" s="87" t="s">
        <v>4332</v>
      </c>
      <c r="E187" s="87" t="s">
        <v>4704</v>
      </c>
      <c r="F187" s="88" t="s">
        <v>3515</v>
      </c>
      <c r="G187" s="89">
        <v>577.79999999999995</v>
      </c>
      <c r="H187" s="89">
        <v>618</v>
      </c>
      <c r="I187" s="88">
        <v>1375</v>
      </c>
      <c r="L187" s="77"/>
    </row>
    <row r="188" spans="1:12">
      <c r="A188" s="86" t="s">
        <v>4705</v>
      </c>
      <c r="B188" s="87">
        <v>35069190</v>
      </c>
      <c r="C188" s="87" t="s">
        <v>4671</v>
      </c>
      <c r="D188" s="87" t="s">
        <v>4332</v>
      </c>
      <c r="E188" s="87" t="s">
        <v>4706</v>
      </c>
      <c r="F188" s="88" t="s">
        <v>3515</v>
      </c>
      <c r="G188" s="89">
        <v>2212.3240740740739</v>
      </c>
      <c r="H188" s="89">
        <v>2389.31</v>
      </c>
      <c r="I188" s="88">
        <v>6160</v>
      </c>
      <c r="L188" s="77"/>
    </row>
    <row r="189" spans="1:12">
      <c r="A189" s="86" t="s">
        <v>4707</v>
      </c>
      <c r="B189" s="87">
        <v>35069190</v>
      </c>
      <c r="C189" s="87" t="s">
        <v>4671</v>
      </c>
      <c r="D189" s="87" t="s">
        <v>4332</v>
      </c>
      <c r="E189" s="87" t="s">
        <v>4708</v>
      </c>
      <c r="F189" s="88" t="s">
        <v>3515</v>
      </c>
      <c r="G189" s="89">
        <v>2212.3240740740739</v>
      </c>
      <c r="H189" s="89">
        <v>2389.31</v>
      </c>
      <c r="I189" s="88">
        <v>6160</v>
      </c>
      <c r="L189" s="77"/>
    </row>
    <row r="190" spans="1:12">
      <c r="A190" s="86" t="s">
        <v>4709</v>
      </c>
      <c r="B190" s="87">
        <v>35069190</v>
      </c>
      <c r="C190" s="87" t="s">
        <v>4671</v>
      </c>
      <c r="D190" s="87" t="s">
        <v>4332</v>
      </c>
      <c r="E190" s="87" t="s">
        <v>4710</v>
      </c>
      <c r="F190" s="88" t="s">
        <v>3515</v>
      </c>
      <c r="G190" s="89">
        <v>2212.3240740740739</v>
      </c>
      <c r="H190" s="89">
        <v>2389.31</v>
      </c>
      <c r="I190" s="88">
        <v>6160</v>
      </c>
      <c r="L190" s="77"/>
    </row>
    <row r="191" spans="1:12">
      <c r="A191" s="86" t="s">
        <v>4711</v>
      </c>
      <c r="B191" s="87">
        <v>35069190</v>
      </c>
      <c r="C191" s="87" t="s">
        <v>4671</v>
      </c>
      <c r="D191" s="87" t="s">
        <v>4332</v>
      </c>
      <c r="E191" s="87" t="s">
        <v>4712</v>
      </c>
      <c r="F191" s="88" t="s">
        <v>3515</v>
      </c>
      <c r="G191" s="89">
        <v>2212.3240740740739</v>
      </c>
      <c r="H191" s="89">
        <v>2389.31</v>
      </c>
      <c r="I191" s="88">
        <v>6160</v>
      </c>
      <c r="L191" s="77"/>
    </row>
    <row r="192" spans="1:12">
      <c r="A192" s="86" t="s">
        <v>4713</v>
      </c>
      <c r="B192" s="87">
        <v>35069190</v>
      </c>
      <c r="C192" s="87" t="s">
        <v>4671</v>
      </c>
      <c r="D192" s="87" t="s">
        <v>4332</v>
      </c>
      <c r="E192" s="87" t="s">
        <v>4714</v>
      </c>
      <c r="F192" s="88" t="s">
        <v>3515</v>
      </c>
      <c r="G192" s="89">
        <v>2212.3240740740739</v>
      </c>
      <c r="H192" s="89">
        <v>2389.31</v>
      </c>
      <c r="I192" s="88">
        <v>6160</v>
      </c>
      <c r="L192" s="77"/>
    </row>
    <row r="193" spans="1:12">
      <c r="A193" s="86" t="s">
        <v>4715</v>
      </c>
      <c r="B193" s="87">
        <v>35069190</v>
      </c>
      <c r="C193" s="87" t="s">
        <v>4671</v>
      </c>
      <c r="D193" s="87" t="s">
        <v>4332</v>
      </c>
      <c r="E193" s="87" t="s">
        <v>4716</v>
      </c>
      <c r="F193" s="88" t="s">
        <v>3515</v>
      </c>
      <c r="G193" s="89">
        <v>2212.3240740740739</v>
      </c>
      <c r="H193" s="89">
        <v>2389.31</v>
      </c>
      <c r="I193" s="88">
        <v>6160</v>
      </c>
      <c r="L193" s="77"/>
    </row>
    <row r="194" spans="1:12">
      <c r="A194" s="86" t="s">
        <v>4717</v>
      </c>
      <c r="B194" s="87">
        <v>35069190</v>
      </c>
      <c r="C194" s="87" t="s">
        <v>4671</v>
      </c>
      <c r="D194" s="87" t="s">
        <v>4332</v>
      </c>
      <c r="E194" s="87" t="s">
        <v>4718</v>
      </c>
      <c r="F194" s="88" t="s">
        <v>3515</v>
      </c>
      <c r="G194" s="89">
        <v>2212.3240740740739</v>
      </c>
      <c r="H194" s="89">
        <v>2389.31</v>
      </c>
      <c r="I194" s="88">
        <v>6160</v>
      </c>
      <c r="L194" s="77"/>
    </row>
    <row r="195" spans="1:12">
      <c r="A195" s="86" t="s">
        <v>4719</v>
      </c>
      <c r="B195" s="87">
        <v>35069190</v>
      </c>
      <c r="C195" s="87" t="s">
        <v>4671</v>
      </c>
      <c r="D195" s="87" t="s">
        <v>4332</v>
      </c>
      <c r="E195" s="87" t="s">
        <v>4720</v>
      </c>
      <c r="F195" s="88" t="s">
        <v>3515</v>
      </c>
      <c r="G195" s="89">
        <v>2212.3240740740739</v>
      </c>
      <c r="H195" s="89">
        <v>2389.31</v>
      </c>
      <c r="I195" s="88">
        <v>6160</v>
      </c>
      <c r="L195" s="77"/>
    </row>
    <row r="196" spans="1:12">
      <c r="A196" s="86" t="s">
        <v>4721</v>
      </c>
      <c r="B196" s="87">
        <v>35069190</v>
      </c>
      <c r="C196" s="87" t="s">
        <v>4671</v>
      </c>
      <c r="D196" s="87" t="s">
        <v>4332</v>
      </c>
      <c r="E196" s="87" t="s">
        <v>4722</v>
      </c>
      <c r="F196" s="88" t="s">
        <v>3515</v>
      </c>
      <c r="G196" s="89">
        <v>2212.3240740740739</v>
      </c>
      <c r="H196" s="89">
        <v>2389.31</v>
      </c>
      <c r="I196" s="88">
        <v>6160</v>
      </c>
      <c r="L196" s="77"/>
    </row>
    <row r="197" spans="1:12">
      <c r="A197" s="86" t="s">
        <v>4723</v>
      </c>
      <c r="B197" s="87">
        <v>35069190</v>
      </c>
      <c r="C197" s="87" t="s">
        <v>4671</v>
      </c>
      <c r="D197" s="87" t="s">
        <v>4332</v>
      </c>
      <c r="E197" s="87" t="s">
        <v>4724</v>
      </c>
      <c r="F197" s="88" t="s">
        <v>3515</v>
      </c>
      <c r="G197" s="89">
        <v>2212.3240740740739</v>
      </c>
      <c r="H197" s="89">
        <v>2389.31</v>
      </c>
      <c r="I197" s="88">
        <v>6160</v>
      </c>
      <c r="L197" s="77"/>
    </row>
    <row r="198" spans="1:12">
      <c r="A198" s="86" t="s">
        <v>4725</v>
      </c>
      <c r="B198" s="87">
        <v>35069190</v>
      </c>
      <c r="C198" s="87" t="s">
        <v>4671</v>
      </c>
      <c r="D198" s="87" t="s">
        <v>4332</v>
      </c>
      <c r="E198" s="87" t="s">
        <v>4726</v>
      </c>
      <c r="F198" s="88" t="s">
        <v>3515</v>
      </c>
      <c r="G198" s="89">
        <v>2212.3240740740739</v>
      </c>
      <c r="H198" s="89">
        <v>2389.31</v>
      </c>
      <c r="I198" s="88">
        <v>6160</v>
      </c>
      <c r="L198" s="77"/>
    </row>
    <row r="199" spans="1:12">
      <c r="A199" s="86" t="s">
        <v>4727</v>
      </c>
      <c r="B199" s="87">
        <v>35069190</v>
      </c>
      <c r="C199" s="87" t="s">
        <v>4671</v>
      </c>
      <c r="D199" s="87" t="s">
        <v>4332</v>
      </c>
      <c r="E199" s="87" t="s">
        <v>4728</v>
      </c>
      <c r="F199" s="88" t="s">
        <v>3515</v>
      </c>
      <c r="G199" s="89">
        <v>2212.3240740740739</v>
      </c>
      <c r="H199" s="89">
        <v>2389.31</v>
      </c>
      <c r="I199" s="88">
        <v>6160</v>
      </c>
      <c r="L199" s="77"/>
    </row>
    <row r="200" spans="1:12">
      <c r="A200" s="86" t="s">
        <v>4729</v>
      </c>
      <c r="B200" s="87">
        <v>35069190</v>
      </c>
      <c r="C200" s="87" t="s">
        <v>4671</v>
      </c>
      <c r="D200" s="87" t="s">
        <v>4332</v>
      </c>
      <c r="E200" s="87" t="s">
        <v>4730</v>
      </c>
      <c r="F200" s="88" t="s">
        <v>3515</v>
      </c>
      <c r="G200" s="89">
        <v>2212.3240740740739</v>
      </c>
      <c r="H200" s="89">
        <v>2389.31</v>
      </c>
      <c r="I200" s="88">
        <v>6160</v>
      </c>
      <c r="L200" s="77"/>
    </row>
    <row r="201" spans="1:12">
      <c r="A201" s="86" t="s">
        <v>4731</v>
      </c>
      <c r="B201" s="87">
        <v>35069190</v>
      </c>
      <c r="C201" s="87" t="s">
        <v>4671</v>
      </c>
      <c r="D201" s="87" t="s">
        <v>4332</v>
      </c>
      <c r="E201" s="87" t="s">
        <v>4732</v>
      </c>
      <c r="F201" s="88" t="s">
        <v>3515</v>
      </c>
      <c r="G201" s="89">
        <v>2212.3240740740739</v>
      </c>
      <c r="H201" s="89">
        <v>2389.31</v>
      </c>
      <c r="I201" s="88">
        <v>6160</v>
      </c>
      <c r="L201" s="77"/>
    </row>
    <row r="202" spans="1:12">
      <c r="A202" s="86" t="s">
        <v>4733</v>
      </c>
      <c r="B202" s="87">
        <v>35069190</v>
      </c>
      <c r="C202" s="87" t="s">
        <v>4671</v>
      </c>
      <c r="D202" s="87" t="s">
        <v>4332</v>
      </c>
      <c r="E202" s="87" t="s">
        <v>4734</v>
      </c>
      <c r="F202" s="88" t="s">
        <v>3515</v>
      </c>
      <c r="G202" s="89">
        <v>2212.3240740740739</v>
      </c>
      <c r="H202" s="89">
        <v>2389.31</v>
      </c>
      <c r="I202" s="88">
        <v>6160</v>
      </c>
      <c r="L202" s="77"/>
    </row>
    <row r="203" spans="1:12">
      <c r="A203" s="86" t="s">
        <v>4735</v>
      </c>
      <c r="B203" s="87">
        <v>35069190</v>
      </c>
      <c r="C203" s="87" t="s">
        <v>4671</v>
      </c>
      <c r="D203" s="87" t="s">
        <v>4332</v>
      </c>
      <c r="E203" s="87" t="s">
        <v>4736</v>
      </c>
      <c r="F203" s="88" t="s">
        <v>3515</v>
      </c>
      <c r="G203" s="89">
        <v>2212.3240740740739</v>
      </c>
      <c r="H203" s="89">
        <v>2389.31</v>
      </c>
      <c r="I203" s="88">
        <v>6160</v>
      </c>
      <c r="L203" s="77"/>
    </row>
    <row r="204" spans="1:12">
      <c r="A204" s="86" t="s">
        <v>4737</v>
      </c>
      <c r="B204" s="87">
        <v>35069190</v>
      </c>
      <c r="C204" s="87" t="s">
        <v>4671</v>
      </c>
      <c r="D204" s="87" t="s">
        <v>4332</v>
      </c>
      <c r="E204" s="87" t="s">
        <v>4738</v>
      </c>
      <c r="F204" s="88" t="s">
        <v>3515</v>
      </c>
      <c r="G204" s="89">
        <v>725</v>
      </c>
      <c r="H204" s="89">
        <v>783</v>
      </c>
      <c r="I204" s="88">
        <v>1900</v>
      </c>
      <c r="L204" s="77"/>
    </row>
    <row r="205" spans="1:12">
      <c r="A205" s="86" t="s">
        <v>4739</v>
      </c>
      <c r="B205" s="87">
        <v>35069190</v>
      </c>
      <c r="C205" s="87" t="s">
        <v>4671</v>
      </c>
      <c r="D205" s="87" t="s">
        <v>4332</v>
      </c>
      <c r="E205" s="87" t="s">
        <v>4740</v>
      </c>
      <c r="F205" s="88" t="s">
        <v>3515</v>
      </c>
      <c r="G205" s="89">
        <v>725</v>
      </c>
      <c r="H205" s="89">
        <v>783</v>
      </c>
      <c r="I205" s="88">
        <v>1900</v>
      </c>
      <c r="L205" s="77"/>
    </row>
    <row r="206" spans="1:12">
      <c r="A206" s="86" t="s">
        <v>4741</v>
      </c>
      <c r="B206" s="87">
        <v>35069190</v>
      </c>
      <c r="C206" s="87" t="s">
        <v>4671</v>
      </c>
      <c r="D206" s="87" t="s">
        <v>4332</v>
      </c>
      <c r="E206" s="87" t="s">
        <v>4742</v>
      </c>
      <c r="F206" s="88" t="s">
        <v>3515</v>
      </c>
      <c r="G206" s="89">
        <v>725</v>
      </c>
      <c r="H206" s="89">
        <v>783</v>
      </c>
      <c r="I206" s="88">
        <v>1900</v>
      </c>
      <c r="L206" s="77"/>
    </row>
    <row r="207" spans="1:12">
      <c r="A207" s="86" t="s">
        <v>4743</v>
      </c>
      <c r="B207" s="87">
        <v>35069190</v>
      </c>
      <c r="C207" s="87" t="s">
        <v>4671</v>
      </c>
      <c r="D207" s="87" t="s">
        <v>4332</v>
      </c>
      <c r="E207" s="87" t="s">
        <v>4744</v>
      </c>
      <c r="F207" s="88" t="s">
        <v>3515</v>
      </c>
      <c r="G207" s="89">
        <v>2212.3200000000002</v>
      </c>
      <c r="H207" s="89">
        <v>2389.31</v>
      </c>
      <c r="I207" s="88">
        <v>6160</v>
      </c>
      <c r="L207" s="77"/>
    </row>
    <row r="208" spans="1:12">
      <c r="A208" s="86" t="s">
        <v>4745</v>
      </c>
      <c r="B208" s="87">
        <v>35069190</v>
      </c>
      <c r="C208" s="87" t="s">
        <v>4671</v>
      </c>
      <c r="D208" s="87" t="s">
        <v>4332</v>
      </c>
      <c r="E208" s="87" t="s">
        <v>4746</v>
      </c>
      <c r="F208" s="88" t="s">
        <v>3515</v>
      </c>
      <c r="G208" s="89">
        <v>2212.3200000000002</v>
      </c>
      <c r="H208" s="89">
        <v>2389.31</v>
      </c>
      <c r="I208" s="88">
        <v>6160</v>
      </c>
      <c r="L208" s="77"/>
    </row>
    <row r="209" spans="1:12">
      <c r="A209" s="86" t="s">
        <v>4747</v>
      </c>
      <c r="B209" s="87">
        <v>35069190</v>
      </c>
      <c r="C209" s="87" t="s">
        <v>4671</v>
      </c>
      <c r="D209" s="87" t="s">
        <v>4332</v>
      </c>
      <c r="E209" s="87" t="s">
        <v>4748</v>
      </c>
      <c r="F209" s="88" t="s">
        <v>3515</v>
      </c>
      <c r="G209" s="89">
        <v>2212.3200000000002</v>
      </c>
      <c r="H209" s="89">
        <v>2389.31</v>
      </c>
      <c r="I209" s="88">
        <v>6160</v>
      </c>
      <c r="L209" s="77"/>
    </row>
    <row r="210" spans="1:12">
      <c r="A210" s="86" t="s">
        <v>4749</v>
      </c>
      <c r="B210" s="87">
        <v>35069190</v>
      </c>
      <c r="C210" s="87" t="s">
        <v>4671</v>
      </c>
      <c r="D210" s="87" t="s">
        <v>4332</v>
      </c>
      <c r="E210" s="87" t="s">
        <v>4750</v>
      </c>
      <c r="F210" s="88" t="s">
        <v>3515</v>
      </c>
      <c r="G210" s="89">
        <v>2212.3200000000002</v>
      </c>
      <c r="H210" s="89">
        <v>2389.31</v>
      </c>
      <c r="I210" s="88">
        <v>6160</v>
      </c>
      <c r="L210" s="77"/>
    </row>
    <row r="211" spans="1:12">
      <c r="A211" s="86" t="s">
        <v>4751</v>
      </c>
      <c r="B211" s="87">
        <v>35069190</v>
      </c>
      <c r="C211" s="87" t="s">
        <v>4671</v>
      </c>
      <c r="D211" s="87" t="s">
        <v>4332</v>
      </c>
      <c r="E211" s="87" t="s">
        <v>4752</v>
      </c>
      <c r="F211" s="88" t="s">
        <v>3515</v>
      </c>
      <c r="G211" s="89">
        <v>2212.3200000000002</v>
      </c>
      <c r="H211" s="89">
        <v>2389.31</v>
      </c>
      <c r="I211" s="88">
        <v>6160</v>
      </c>
      <c r="L211" s="77"/>
    </row>
    <row r="212" spans="1:12">
      <c r="A212" s="86" t="s">
        <v>4753</v>
      </c>
      <c r="B212" s="87">
        <v>35069190</v>
      </c>
      <c r="C212" s="87" t="s">
        <v>4671</v>
      </c>
      <c r="D212" s="87" t="s">
        <v>4332</v>
      </c>
      <c r="E212" s="87" t="s">
        <v>4754</v>
      </c>
      <c r="F212" s="88" t="s">
        <v>3515</v>
      </c>
      <c r="G212" s="89">
        <v>2212.3200000000002</v>
      </c>
      <c r="H212" s="89">
        <v>2389.31</v>
      </c>
      <c r="I212" s="88">
        <v>6160</v>
      </c>
      <c r="L212" s="77"/>
    </row>
    <row r="213" spans="1:12">
      <c r="A213" s="86" t="s">
        <v>4755</v>
      </c>
      <c r="B213" s="87">
        <v>35069190</v>
      </c>
      <c r="C213" s="87" t="s">
        <v>4671</v>
      </c>
      <c r="D213" s="87" t="s">
        <v>4332</v>
      </c>
      <c r="E213" s="87" t="s">
        <v>4756</v>
      </c>
      <c r="F213" s="88" t="s">
        <v>3515</v>
      </c>
      <c r="G213" s="89">
        <v>750</v>
      </c>
      <c r="H213" s="89">
        <v>803</v>
      </c>
      <c r="I213" s="88">
        <v>1805.63</v>
      </c>
      <c r="L213" s="77"/>
    </row>
    <row r="214" spans="1:12">
      <c r="A214" s="86" t="s">
        <v>4757</v>
      </c>
      <c r="B214" s="87">
        <v>35069190</v>
      </c>
      <c r="C214" s="87" t="s">
        <v>4671</v>
      </c>
      <c r="D214" s="87" t="s">
        <v>4332</v>
      </c>
      <c r="E214" s="87" t="s">
        <v>4758</v>
      </c>
      <c r="F214" s="88" t="s">
        <v>3515</v>
      </c>
      <c r="G214" s="89">
        <v>3015</v>
      </c>
      <c r="H214" s="89">
        <v>3226</v>
      </c>
      <c r="I214" s="88">
        <v>8065.13</v>
      </c>
      <c r="L214" s="77"/>
    </row>
    <row r="215" spans="1:12">
      <c r="A215" s="86" t="s">
        <v>4759</v>
      </c>
      <c r="B215" s="87">
        <v>35069190</v>
      </c>
      <c r="C215" s="87" t="s">
        <v>4671</v>
      </c>
      <c r="D215" s="87" t="s">
        <v>4332</v>
      </c>
      <c r="E215" s="87" t="s">
        <v>4760</v>
      </c>
      <c r="F215" s="88" t="s">
        <v>3515</v>
      </c>
      <c r="G215" s="89">
        <v>577.79999999999995</v>
      </c>
      <c r="H215" s="89">
        <v>618</v>
      </c>
      <c r="I215" s="88">
        <v>1375</v>
      </c>
      <c r="L215" s="77"/>
    </row>
    <row r="216" spans="1:12">
      <c r="A216" s="86" t="s">
        <v>4761</v>
      </c>
      <c r="B216" s="87">
        <v>35069190</v>
      </c>
      <c r="C216" s="87" t="s">
        <v>4671</v>
      </c>
      <c r="D216" s="87" t="s">
        <v>4332</v>
      </c>
      <c r="E216" s="87" t="s">
        <v>4762</v>
      </c>
      <c r="F216" s="88" t="s">
        <v>3515</v>
      </c>
      <c r="G216" s="89">
        <v>577.79999999999995</v>
      </c>
      <c r="H216" s="89">
        <v>618</v>
      </c>
      <c r="I216" s="88">
        <v>1375</v>
      </c>
      <c r="L216" s="77"/>
    </row>
    <row r="217" spans="1:12">
      <c r="A217" s="86" t="s">
        <v>4763</v>
      </c>
      <c r="B217" s="87">
        <v>35069190</v>
      </c>
      <c r="C217" s="87" t="s">
        <v>4671</v>
      </c>
      <c r="D217" s="87" t="s">
        <v>4332</v>
      </c>
      <c r="E217" s="87" t="s">
        <v>4764</v>
      </c>
      <c r="F217" s="88" t="s">
        <v>3515</v>
      </c>
      <c r="G217" s="89">
        <v>577.79999999999995</v>
      </c>
      <c r="H217" s="89">
        <v>618</v>
      </c>
      <c r="I217" s="88">
        <v>1375</v>
      </c>
      <c r="L217" s="77"/>
    </row>
    <row r="218" spans="1:12">
      <c r="A218" s="86" t="s">
        <v>4765</v>
      </c>
      <c r="B218" s="87">
        <v>35069190</v>
      </c>
      <c r="C218" s="87" t="s">
        <v>4671</v>
      </c>
      <c r="D218" s="87" t="s">
        <v>4332</v>
      </c>
      <c r="E218" s="87" t="s">
        <v>4766</v>
      </c>
      <c r="F218" s="88" t="s">
        <v>3515</v>
      </c>
      <c r="G218" s="89">
        <v>577.79999999999995</v>
      </c>
      <c r="H218" s="89">
        <v>618</v>
      </c>
      <c r="I218" s="88">
        <v>1375</v>
      </c>
      <c r="L218" s="77"/>
    </row>
    <row r="219" spans="1:12">
      <c r="A219" s="86" t="s">
        <v>4767</v>
      </c>
      <c r="B219" s="87">
        <v>35069190</v>
      </c>
      <c r="C219" s="87" t="s">
        <v>4671</v>
      </c>
      <c r="D219" s="87" t="s">
        <v>4332</v>
      </c>
      <c r="E219" s="87" t="s">
        <v>4768</v>
      </c>
      <c r="F219" s="88" t="s">
        <v>3515</v>
      </c>
      <c r="G219" s="89">
        <v>577.79999999999995</v>
      </c>
      <c r="H219" s="89">
        <v>618</v>
      </c>
      <c r="I219" s="88">
        <v>1375</v>
      </c>
      <c r="L219" s="77"/>
    </row>
    <row r="220" spans="1:12">
      <c r="A220" s="86" t="s">
        <v>4769</v>
      </c>
      <c r="B220" s="87">
        <v>35069190</v>
      </c>
      <c r="C220" s="87" t="s">
        <v>4671</v>
      </c>
      <c r="D220" s="87" t="s">
        <v>4332</v>
      </c>
      <c r="E220" s="87" t="s">
        <v>4770</v>
      </c>
      <c r="F220" s="88" t="s">
        <v>3515</v>
      </c>
      <c r="G220" s="89">
        <v>572.22</v>
      </c>
      <c r="H220" s="89">
        <v>618</v>
      </c>
      <c r="I220" s="88">
        <v>1375</v>
      </c>
      <c r="L220" s="77"/>
    </row>
    <row r="221" spans="1:12">
      <c r="A221" s="86" t="s">
        <v>4771</v>
      </c>
      <c r="B221" s="87">
        <v>35069190</v>
      </c>
      <c r="C221" s="87" t="s">
        <v>4671</v>
      </c>
      <c r="D221" s="87" t="s">
        <v>4332</v>
      </c>
      <c r="E221" s="87" t="s">
        <v>4772</v>
      </c>
      <c r="F221" s="88" t="s">
        <v>3515</v>
      </c>
      <c r="G221" s="89">
        <v>572.22</v>
      </c>
      <c r="H221" s="89">
        <v>618</v>
      </c>
      <c r="I221" s="88">
        <v>1375</v>
      </c>
      <c r="L221" s="77"/>
    </row>
    <row r="222" spans="1:12">
      <c r="A222" s="86" t="s">
        <v>4773</v>
      </c>
      <c r="B222" s="87">
        <v>35069190</v>
      </c>
      <c r="C222" s="87" t="s">
        <v>4671</v>
      </c>
      <c r="D222" s="87" t="s">
        <v>4332</v>
      </c>
      <c r="E222" s="87" t="s">
        <v>4760</v>
      </c>
      <c r="F222" s="88" t="s">
        <v>3515</v>
      </c>
      <c r="G222" s="89">
        <v>572.22</v>
      </c>
      <c r="H222" s="89">
        <v>618</v>
      </c>
      <c r="I222" s="88">
        <v>1375</v>
      </c>
      <c r="L222" s="77"/>
    </row>
    <row r="223" spans="1:12">
      <c r="A223" s="86" t="s">
        <v>4774</v>
      </c>
      <c r="B223" s="87">
        <v>35069190</v>
      </c>
      <c r="C223" s="87" t="s">
        <v>4671</v>
      </c>
      <c r="D223" s="87" t="s">
        <v>4332</v>
      </c>
      <c r="E223" s="87" t="s">
        <v>4762</v>
      </c>
      <c r="F223" s="88" t="s">
        <v>3515</v>
      </c>
      <c r="G223" s="89">
        <v>572.22</v>
      </c>
      <c r="H223" s="89">
        <v>618</v>
      </c>
      <c r="I223" s="88">
        <v>1375</v>
      </c>
      <c r="L223" s="77"/>
    </row>
    <row r="224" spans="1:12">
      <c r="A224" s="86" t="s">
        <v>4775</v>
      </c>
      <c r="B224" s="87">
        <v>35069190</v>
      </c>
      <c r="C224" s="87" t="s">
        <v>4671</v>
      </c>
      <c r="D224" s="87" t="s">
        <v>4332</v>
      </c>
      <c r="E224" s="87" t="s">
        <v>4764</v>
      </c>
      <c r="F224" s="88" t="s">
        <v>3515</v>
      </c>
      <c r="G224" s="89">
        <v>572.22</v>
      </c>
      <c r="H224" s="89">
        <v>618</v>
      </c>
      <c r="I224" s="88">
        <v>1375</v>
      </c>
      <c r="L224" s="77"/>
    </row>
    <row r="225" spans="1:12">
      <c r="A225" s="86" t="s">
        <v>4776</v>
      </c>
      <c r="B225" s="87">
        <v>35069190</v>
      </c>
      <c r="C225" s="87" t="s">
        <v>4671</v>
      </c>
      <c r="D225" s="87" t="s">
        <v>4332</v>
      </c>
      <c r="E225" s="87" t="s">
        <v>4766</v>
      </c>
      <c r="F225" s="88" t="s">
        <v>3515</v>
      </c>
      <c r="G225" s="89">
        <v>572.22</v>
      </c>
      <c r="H225" s="89">
        <v>618</v>
      </c>
      <c r="I225" s="88">
        <v>1375</v>
      </c>
      <c r="L225" s="77"/>
    </row>
    <row r="226" spans="1:12">
      <c r="A226" s="86" t="s">
        <v>4777</v>
      </c>
      <c r="B226" s="87">
        <v>35069190</v>
      </c>
      <c r="C226" s="87" t="s">
        <v>4671</v>
      </c>
      <c r="D226" s="87" t="s">
        <v>4332</v>
      </c>
      <c r="E226" s="87" t="s">
        <v>4768</v>
      </c>
      <c r="F226" s="88" t="s">
        <v>3515</v>
      </c>
      <c r="G226" s="89">
        <v>572.22</v>
      </c>
      <c r="H226" s="89">
        <v>618</v>
      </c>
      <c r="I226" s="88">
        <v>1375</v>
      </c>
      <c r="L226" s="77"/>
    </row>
    <row r="227" spans="1:12">
      <c r="A227" s="86" t="s">
        <v>4778</v>
      </c>
      <c r="B227" s="87">
        <v>35069190</v>
      </c>
      <c r="C227" s="87" t="s">
        <v>4671</v>
      </c>
      <c r="D227" s="87" t="s">
        <v>4332</v>
      </c>
      <c r="E227" s="87" t="s">
        <v>4779</v>
      </c>
      <c r="F227" s="88" t="s">
        <v>3515</v>
      </c>
      <c r="G227" s="89">
        <v>750</v>
      </c>
      <c r="H227" s="89">
        <v>803</v>
      </c>
      <c r="I227" s="88">
        <v>1805.63</v>
      </c>
      <c r="L227" s="77"/>
    </row>
    <row r="228" spans="1:12">
      <c r="A228" s="86" t="s">
        <v>4780</v>
      </c>
      <c r="B228" s="87">
        <v>35069190</v>
      </c>
      <c r="C228" s="87" t="s">
        <v>4671</v>
      </c>
      <c r="D228" s="87" t="s">
        <v>4332</v>
      </c>
      <c r="E228" s="87" t="s">
        <v>4781</v>
      </c>
      <c r="F228" s="88" t="s">
        <v>3515</v>
      </c>
      <c r="G228" s="89">
        <v>2212.3200000000002</v>
      </c>
      <c r="H228" s="89">
        <v>2389.31</v>
      </c>
      <c r="I228" s="88">
        <v>6160</v>
      </c>
      <c r="L228" s="77"/>
    </row>
    <row r="229" spans="1:12">
      <c r="A229" s="86" t="s">
        <v>4782</v>
      </c>
      <c r="B229" s="87">
        <v>35069190</v>
      </c>
      <c r="C229" s="87" t="s">
        <v>4671</v>
      </c>
      <c r="D229" s="87" t="s">
        <v>4332</v>
      </c>
      <c r="E229" s="87" t="s">
        <v>4783</v>
      </c>
      <c r="F229" s="88" t="s">
        <v>3515</v>
      </c>
      <c r="G229" s="89">
        <v>3015</v>
      </c>
      <c r="H229" s="89">
        <v>3226</v>
      </c>
      <c r="I229" s="88">
        <v>8065.13</v>
      </c>
      <c r="L229" s="77"/>
    </row>
    <row r="230" spans="1:12">
      <c r="A230" s="86" t="s">
        <v>4784</v>
      </c>
      <c r="B230" s="87"/>
      <c r="C230" s="87" t="s">
        <v>4671</v>
      </c>
      <c r="D230" s="87" t="s">
        <v>4332</v>
      </c>
      <c r="E230" s="87" t="s">
        <v>4785</v>
      </c>
      <c r="F230" s="88" t="s">
        <v>3515</v>
      </c>
      <c r="G230" s="89">
        <v>2212.3200000000002</v>
      </c>
      <c r="H230" s="89">
        <v>2389.31</v>
      </c>
      <c r="I230" s="88">
        <v>6265</v>
      </c>
      <c r="L230" s="77"/>
    </row>
    <row r="231" spans="1:12">
      <c r="A231" s="86" t="s">
        <v>4786</v>
      </c>
      <c r="B231" s="87"/>
      <c r="C231" s="87" t="s">
        <v>4671</v>
      </c>
      <c r="D231" s="87" t="s">
        <v>4332</v>
      </c>
      <c r="E231" s="87" t="s">
        <v>4787</v>
      </c>
      <c r="F231" s="88" t="s">
        <v>3515</v>
      </c>
      <c r="G231" s="89">
        <v>2212.3200000000002</v>
      </c>
      <c r="H231" s="89">
        <v>2389.31</v>
      </c>
      <c r="I231" s="88">
        <v>6265</v>
      </c>
      <c r="L231" s="77"/>
    </row>
    <row r="232" spans="1:12">
      <c r="A232" s="86" t="s">
        <v>4788</v>
      </c>
      <c r="B232" s="87"/>
      <c r="C232" s="87" t="s">
        <v>4671</v>
      </c>
      <c r="D232" s="87" t="s">
        <v>4332</v>
      </c>
      <c r="E232" s="87" t="s">
        <v>4789</v>
      </c>
      <c r="F232" s="88" t="s">
        <v>3515</v>
      </c>
      <c r="G232" s="89">
        <v>2212.3200000000002</v>
      </c>
      <c r="H232" s="89">
        <v>2389.31</v>
      </c>
      <c r="I232" s="88">
        <v>6265</v>
      </c>
      <c r="L232" s="77"/>
    </row>
    <row r="233" spans="1:12">
      <c r="A233" s="86" t="s">
        <v>4790</v>
      </c>
      <c r="B233" s="87"/>
      <c r="C233" s="87" t="s">
        <v>4671</v>
      </c>
      <c r="D233" s="87" t="s">
        <v>4332</v>
      </c>
      <c r="E233" s="87" t="s">
        <v>4791</v>
      </c>
      <c r="F233" s="88" t="s">
        <v>3515</v>
      </c>
      <c r="G233" s="89">
        <v>2212.3200000000002</v>
      </c>
      <c r="H233" s="89">
        <v>2389.31</v>
      </c>
      <c r="I233" s="88">
        <v>6265</v>
      </c>
      <c r="L233" s="77"/>
    </row>
    <row r="234" spans="1:12">
      <c r="A234" s="86" t="s">
        <v>4792</v>
      </c>
      <c r="B234" s="87"/>
      <c r="C234" s="87" t="s">
        <v>4671</v>
      </c>
      <c r="D234" s="87" t="s">
        <v>4332</v>
      </c>
      <c r="E234" s="87" t="s">
        <v>4793</v>
      </c>
      <c r="F234" s="88" t="s">
        <v>3515</v>
      </c>
      <c r="G234" s="89">
        <v>2212.3200000000002</v>
      </c>
      <c r="H234" s="89">
        <v>2389.31</v>
      </c>
      <c r="I234" s="88">
        <v>6265</v>
      </c>
      <c r="L234" s="77"/>
    </row>
    <row r="235" spans="1:12">
      <c r="A235" s="86" t="s">
        <v>4794</v>
      </c>
      <c r="B235" s="87"/>
      <c r="C235" s="87" t="s">
        <v>4671</v>
      </c>
      <c r="D235" s="87" t="s">
        <v>4332</v>
      </c>
      <c r="E235" s="87" t="s">
        <v>4795</v>
      </c>
      <c r="F235" s="88" t="s">
        <v>3515</v>
      </c>
      <c r="G235" s="89">
        <v>2212.3200000000002</v>
      </c>
      <c r="H235" s="89">
        <v>2389.31</v>
      </c>
      <c r="I235" s="88">
        <v>6265</v>
      </c>
      <c r="L235" s="77"/>
    </row>
    <row r="236" spans="1:12">
      <c r="A236" s="86" t="s">
        <v>4796</v>
      </c>
      <c r="B236" s="87"/>
      <c r="C236" s="87" t="s">
        <v>4671</v>
      </c>
      <c r="D236" s="87" t="s">
        <v>4332</v>
      </c>
      <c r="E236" s="87" t="s">
        <v>4797</v>
      </c>
      <c r="F236" s="88" t="s">
        <v>3515</v>
      </c>
      <c r="G236" s="89">
        <v>2212.3200000000002</v>
      </c>
      <c r="H236" s="89">
        <v>2389.31</v>
      </c>
      <c r="I236" s="88">
        <v>6265</v>
      </c>
      <c r="L236" s="77"/>
    </row>
    <row r="237" spans="1:12">
      <c r="A237" s="86" t="s">
        <v>4798</v>
      </c>
      <c r="B237" s="87"/>
      <c r="C237" s="87" t="s">
        <v>4671</v>
      </c>
      <c r="D237" s="87" t="s">
        <v>4332</v>
      </c>
      <c r="E237" s="87" t="s">
        <v>4799</v>
      </c>
      <c r="F237" s="88" t="s">
        <v>3515</v>
      </c>
      <c r="G237" s="89">
        <v>2212.3200000000002</v>
      </c>
      <c r="H237" s="89">
        <v>2389.31</v>
      </c>
      <c r="I237" s="88">
        <v>6265</v>
      </c>
      <c r="L237" s="77"/>
    </row>
    <row r="238" spans="1:12">
      <c r="A238" s="86" t="s">
        <v>4800</v>
      </c>
      <c r="B238" s="87"/>
      <c r="C238" s="87" t="s">
        <v>4671</v>
      </c>
      <c r="D238" s="87" t="s">
        <v>4332</v>
      </c>
      <c r="E238" s="87" t="s">
        <v>4801</v>
      </c>
      <c r="F238" s="88" t="s">
        <v>3515</v>
      </c>
      <c r="G238" s="89">
        <v>2212.3200000000002</v>
      </c>
      <c r="H238" s="89">
        <v>2389.31</v>
      </c>
      <c r="I238" s="88">
        <v>6265</v>
      </c>
      <c r="L238" s="77"/>
    </row>
    <row r="239" spans="1:12">
      <c r="A239" s="86" t="s">
        <v>4802</v>
      </c>
      <c r="B239" s="87"/>
      <c r="C239" s="87" t="s">
        <v>4671</v>
      </c>
      <c r="D239" s="87" t="s">
        <v>4332</v>
      </c>
      <c r="E239" s="87" t="s">
        <v>4803</v>
      </c>
      <c r="F239" s="88" t="s">
        <v>3515</v>
      </c>
      <c r="G239" s="89">
        <v>2212.3200000000002</v>
      </c>
      <c r="H239" s="89">
        <v>2389.31</v>
      </c>
      <c r="I239" s="88">
        <v>6265</v>
      </c>
      <c r="L239" s="77"/>
    </row>
    <row r="240" spans="1:12">
      <c r="A240" s="86" t="s">
        <v>4804</v>
      </c>
      <c r="B240" s="87"/>
      <c r="C240" s="87" t="s">
        <v>4671</v>
      </c>
      <c r="D240" s="87" t="s">
        <v>4332</v>
      </c>
      <c r="E240" s="87" t="s">
        <v>4805</v>
      </c>
      <c r="F240" s="88" t="s">
        <v>3515</v>
      </c>
      <c r="G240" s="89">
        <v>2212.3200000000002</v>
      </c>
      <c r="H240" s="89">
        <v>2389.31</v>
      </c>
      <c r="I240" s="88">
        <v>6265</v>
      </c>
      <c r="L240" s="77"/>
    </row>
    <row r="241" spans="1:12">
      <c r="A241" s="86" t="s">
        <v>4806</v>
      </c>
      <c r="B241" s="87"/>
      <c r="C241" s="87" t="s">
        <v>4671</v>
      </c>
      <c r="D241" s="87" t="s">
        <v>4332</v>
      </c>
      <c r="E241" s="87" t="s">
        <v>4807</v>
      </c>
      <c r="F241" s="88" t="s">
        <v>3515</v>
      </c>
      <c r="G241" s="89">
        <v>2212.3200000000002</v>
      </c>
      <c r="H241" s="89">
        <v>2389.31</v>
      </c>
      <c r="I241" s="88">
        <v>6265</v>
      </c>
      <c r="L241" s="77"/>
    </row>
    <row r="242" spans="1:12">
      <c r="A242" s="86" t="s">
        <v>4808</v>
      </c>
      <c r="B242" s="87"/>
      <c r="C242" s="87" t="s">
        <v>4671</v>
      </c>
      <c r="D242" s="87" t="s">
        <v>4332</v>
      </c>
      <c r="E242" s="87" t="s">
        <v>4809</v>
      </c>
      <c r="F242" s="88" t="s">
        <v>3515</v>
      </c>
      <c r="G242" s="89">
        <v>2212.3200000000002</v>
      </c>
      <c r="H242" s="89">
        <v>2389.31</v>
      </c>
      <c r="I242" s="88">
        <v>6265</v>
      </c>
      <c r="L242" s="77"/>
    </row>
    <row r="243" spans="1:12">
      <c r="A243" s="86" t="s">
        <v>4810</v>
      </c>
      <c r="B243" s="87"/>
      <c r="C243" s="87" t="s">
        <v>4671</v>
      </c>
      <c r="D243" s="87" t="s">
        <v>4332</v>
      </c>
      <c r="E243" s="87" t="s">
        <v>4811</v>
      </c>
      <c r="F243" s="88" t="s">
        <v>3515</v>
      </c>
      <c r="G243" s="89">
        <v>2212.3200000000002</v>
      </c>
      <c r="H243" s="89">
        <v>2389.31</v>
      </c>
      <c r="I243" s="88">
        <v>6265</v>
      </c>
      <c r="L243" s="77"/>
    </row>
    <row r="244" spans="1:12">
      <c r="A244" s="86" t="s">
        <v>4812</v>
      </c>
      <c r="B244" s="87"/>
      <c r="C244" s="87" t="s">
        <v>4671</v>
      </c>
      <c r="D244" s="87" t="s">
        <v>4332</v>
      </c>
      <c r="E244" s="87" t="s">
        <v>4813</v>
      </c>
      <c r="F244" s="88" t="s">
        <v>3515</v>
      </c>
      <c r="G244" s="89">
        <v>2212.3200000000002</v>
      </c>
      <c r="H244" s="89">
        <v>2389.31</v>
      </c>
      <c r="I244" s="88">
        <v>6265</v>
      </c>
      <c r="L244" s="77"/>
    </row>
    <row r="245" spans="1:12">
      <c r="A245" s="86" t="s">
        <v>4814</v>
      </c>
      <c r="B245" s="87"/>
      <c r="C245" s="87" t="s">
        <v>4671</v>
      </c>
      <c r="D245" s="87" t="s">
        <v>4332</v>
      </c>
      <c r="E245" s="87" t="s">
        <v>4815</v>
      </c>
      <c r="F245" s="88" t="s">
        <v>3515</v>
      </c>
      <c r="G245" s="89">
        <v>2212.3200000000002</v>
      </c>
      <c r="H245" s="89">
        <v>2389.31</v>
      </c>
      <c r="I245" s="88">
        <v>6265</v>
      </c>
      <c r="L245" s="77"/>
    </row>
    <row r="246" spans="1:12">
      <c r="A246" s="86" t="s">
        <v>4816</v>
      </c>
      <c r="B246" s="87"/>
      <c r="C246" s="87" t="s">
        <v>4671</v>
      </c>
      <c r="D246" s="87" t="s">
        <v>4332</v>
      </c>
      <c r="E246" s="87" t="s">
        <v>4817</v>
      </c>
      <c r="F246" s="88" t="s">
        <v>3515</v>
      </c>
      <c r="G246" s="89">
        <v>2212.3200000000002</v>
      </c>
      <c r="H246" s="89">
        <v>2389.31</v>
      </c>
      <c r="I246" s="88">
        <v>6265</v>
      </c>
      <c r="L246" s="77"/>
    </row>
    <row r="247" spans="1:12">
      <c r="A247" s="86" t="s">
        <v>4818</v>
      </c>
      <c r="B247" s="87"/>
      <c r="C247" s="87" t="s">
        <v>4671</v>
      </c>
      <c r="D247" s="87" t="s">
        <v>4332</v>
      </c>
      <c r="E247" s="87" t="s">
        <v>4819</v>
      </c>
      <c r="F247" s="88" t="s">
        <v>3515</v>
      </c>
      <c r="G247" s="89">
        <v>2212.3200000000002</v>
      </c>
      <c r="H247" s="89">
        <v>2389.31</v>
      </c>
      <c r="I247" s="88">
        <v>6265</v>
      </c>
      <c r="L247" s="77"/>
    </row>
    <row r="248" spans="1:12">
      <c r="A248" s="86" t="s">
        <v>4820</v>
      </c>
      <c r="B248" s="87"/>
      <c r="C248" s="87" t="s">
        <v>4671</v>
      </c>
      <c r="D248" s="87" t="s">
        <v>4332</v>
      </c>
      <c r="E248" s="87" t="s">
        <v>4821</v>
      </c>
      <c r="F248" s="88" t="s">
        <v>3515</v>
      </c>
      <c r="G248" s="89">
        <v>2212.3200000000002</v>
      </c>
      <c r="H248" s="89">
        <v>2389.31</v>
      </c>
      <c r="I248" s="88">
        <v>6265</v>
      </c>
      <c r="L248" s="77"/>
    </row>
    <row r="249" spans="1:12">
      <c r="A249" s="86" t="s">
        <v>4822</v>
      </c>
      <c r="B249" s="87"/>
      <c r="C249" s="87" t="s">
        <v>4671</v>
      </c>
      <c r="D249" s="87" t="s">
        <v>4332</v>
      </c>
      <c r="E249" s="87" t="s">
        <v>4823</v>
      </c>
      <c r="F249" s="88" t="s">
        <v>3515</v>
      </c>
      <c r="G249" s="89">
        <v>2212.3200000000002</v>
      </c>
      <c r="H249" s="89">
        <v>2389.31</v>
      </c>
      <c r="I249" s="88">
        <v>6265</v>
      </c>
      <c r="L249" s="77"/>
    </row>
    <row r="250" spans="1:12">
      <c r="A250" s="86" t="s">
        <v>4824</v>
      </c>
      <c r="B250" s="87"/>
      <c r="C250" s="87" t="s">
        <v>4671</v>
      </c>
      <c r="D250" s="87" t="s">
        <v>4332</v>
      </c>
      <c r="E250" s="87" t="s">
        <v>4825</v>
      </c>
      <c r="F250" s="88" t="s">
        <v>3515</v>
      </c>
      <c r="G250" s="89">
        <v>3015</v>
      </c>
      <c r="H250" s="89">
        <v>3256.2</v>
      </c>
      <c r="I250" s="88">
        <v>8065</v>
      </c>
      <c r="L250" s="77"/>
    </row>
    <row r="251" spans="1:12">
      <c r="A251" s="86" t="s">
        <v>4826</v>
      </c>
      <c r="B251" s="87"/>
      <c r="C251" s="87" t="s">
        <v>4671</v>
      </c>
      <c r="D251" s="87" t="s">
        <v>4332</v>
      </c>
      <c r="E251" s="87" t="s">
        <v>4827</v>
      </c>
      <c r="F251" s="88" t="s">
        <v>3515</v>
      </c>
      <c r="G251" s="89">
        <v>2212.3200000000002</v>
      </c>
      <c r="H251" s="89">
        <v>2389.31</v>
      </c>
      <c r="I251" s="88">
        <v>6265</v>
      </c>
      <c r="L251" s="77"/>
    </row>
    <row r="252" spans="1:12">
      <c r="A252" s="86" t="s">
        <v>4828</v>
      </c>
      <c r="B252" s="87"/>
      <c r="C252" s="87" t="s">
        <v>4671</v>
      </c>
      <c r="D252" s="87" t="s">
        <v>4332</v>
      </c>
      <c r="E252" s="87" t="s">
        <v>4829</v>
      </c>
      <c r="F252" s="88" t="s">
        <v>3515</v>
      </c>
      <c r="G252" s="89">
        <v>2212.3200000000002</v>
      </c>
      <c r="H252" s="89">
        <v>2389.31</v>
      </c>
      <c r="I252" s="88">
        <v>6265</v>
      </c>
      <c r="L252" s="77"/>
    </row>
    <row r="253" spans="1:12">
      <c r="A253" s="86" t="s">
        <v>4830</v>
      </c>
      <c r="B253" s="87">
        <v>34021900</v>
      </c>
      <c r="C253" s="90" t="s">
        <v>4831</v>
      </c>
      <c r="D253" s="87" t="s">
        <v>4332</v>
      </c>
      <c r="E253" s="87" t="s">
        <v>4832</v>
      </c>
      <c r="F253" s="88" t="s">
        <v>4182</v>
      </c>
      <c r="G253" s="89">
        <v>218.5185185185185</v>
      </c>
      <c r="H253" s="89">
        <v>235.99999999999997</v>
      </c>
      <c r="I253" s="88">
        <v>735</v>
      </c>
      <c r="L253" s="77"/>
    </row>
    <row r="254" spans="1:12">
      <c r="A254" s="86" t="s">
        <v>4833</v>
      </c>
      <c r="B254" s="87">
        <v>38249900</v>
      </c>
      <c r="C254" s="87" t="s">
        <v>4834</v>
      </c>
      <c r="D254" s="87" t="s">
        <v>4332</v>
      </c>
      <c r="E254" s="87" t="s">
        <v>4835</v>
      </c>
      <c r="F254" s="88" t="s">
        <v>4182</v>
      </c>
      <c r="G254" s="89">
        <v>66.666666666666657</v>
      </c>
      <c r="H254" s="89">
        <v>72</v>
      </c>
      <c r="I254" s="88">
        <v>150</v>
      </c>
      <c r="L254" s="77"/>
    </row>
    <row r="255" spans="1:12">
      <c r="A255" s="86" t="s">
        <v>4836</v>
      </c>
      <c r="B255" s="87">
        <v>38249900</v>
      </c>
      <c r="C255" s="87" t="s">
        <v>4834</v>
      </c>
      <c r="D255" s="87" t="s">
        <v>4332</v>
      </c>
      <c r="E255" s="87" t="s">
        <v>4837</v>
      </c>
      <c r="F255" s="88" t="s">
        <v>4182</v>
      </c>
      <c r="G255" s="89">
        <v>99.074074074074062</v>
      </c>
      <c r="H255" s="89">
        <v>107</v>
      </c>
      <c r="I255" s="88">
        <v>225</v>
      </c>
      <c r="L255" s="77"/>
    </row>
    <row r="256" spans="1:12">
      <c r="A256" s="86" t="s">
        <v>4838</v>
      </c>
      <c r="B256" s="87">
        <v>38249900</v>
      </c>
      <c r="C256" s="87" t="s">
        <v>4834</v>
      </c>
      <c r="D256" s="87" t="s">
        <v>4332</v>
      </c>
      <c r="E256" s="87" t="s">
        <v>4839</v>
      </c>
      <c r="F256" s="88" t="s">
        <v>4182</v>
      </c>
      <c r="G256" s="89">
        <v>435.18518518518516</v>
      </c>
      <c r="H256" s="89">
        <v>469.99999999999994</v>
      </c>
      <c r="I256" s="88">
        <v>990</v>
      </c>
      <c r="L256" s="77"/>
    </row>
  </sheetData>
  <conditionalFormatting sqref="H1">
    <cfRule type="duplicateValues" dxfId="2" priority="1"/>
  </conditionalFormatting>
  <conditionalFormatting sqref="A2:A256">
    <cfRule type="duplicateValues" dxfId="1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F810-6D2E-4577-8CBD-B4ED684330CC}">
  <dimension ref="A1:L124"/>
  <sheetViews>
    <sheetView topLeftCell="A105" workbookViewId="0">
      <selection activeCell="A2" sqref="A2:A124"/>
    </sheetView>
  </sheetViews>
  <sheetFormatPr defaultColWidth="9.1796875" defaultRowHeight="14.5"/>
  <cols>
    <col min="1" max="1" width="16.81640625" bestFit="1" customWidth="1"/>
    <col min="2" max="2" width="16.81640625" customWidth="1"/>
    <col min="5" max="5" width="42.1796875" bestFit="1" customWidth="1"/>
    <col min="6" max="6" width="11.453125" customWidth="1"/>
    <col min="9" max="9" width="11.81640625" bestFit="1" customWidth="1"/>
  </cols>
  <sheetData>
    <row r="1" spans="1:12" s="73" customFormat="1" ht="29">
      <c r="A1" s="70" t="s">
        <v>4185</v>
      </c>
      <c r="B1" s="70" t="s">
        <v>1</v>
      </c>
      <c r="C1" s="70" t="s">
        <v>4186</v>
      </c>
      <c r="D1" s="70" t="s">
        <v>3</v>
      </c>
      <c r="E1" s="70" t="s">
        <v>4187</v>
      </c>
      <c r="F1" s="70" t="s">
        <v>3562</v>
      </c>
      <c r="G1" s="71" t="s">
        <v>4188</v>
      </c>
      <c r="H1" s="72" t="s">
        <v>4189</v>
      </c>
      <c r="I1" s="71" t="s">
        <v>17</v>
      </c>
    </row>
    <row r="2" spans="1:12">
      <c r="A2" s="92" t="s">
        <v>4840</v>
      </c>
      <c r="B2" s="75" t="s">
        <v>4190</v>
      </c>
      <c r="C2" s="74">
        <v>35069190</v>
      </c>
      <c r="D2" s="74" t="s">
        <v>4191</v>
      </c>
      <c r="E2" s="74" t="s">
        <v>4192</v>
      </c>
      <c r="F2" s="74" t="s">
        <v>3515</v>
      </c>
      <c r="G2" s="76">
        <v>498.4</v>
      </c>
      <c r="H2" s="76">
        <v>525</v>
      </c>
      <c r="I2" s="76">
        <v>1375</v>
      </c>
      <c r="L2" s="77"/>
    </row>
    <row r="3" spans="1:12">
      <c r="A3" s="92" t="s">
        <v>4841</v>
      </c>
      <c r="B3" s="75" t="s">
        <v>4190</v>
      </c>
      <c r="C3" s="74">
        <v>35069190</v>
      </c>
      <c r="D3" s="74" t="s">
        <v>4191</v>
      </c>
      <c r="E3" s="74" t="s">
        <v>4193</v>
      </c>
      <c r="F3" s="74" t="s">
        <v>3515</v>
      </c>
      <c r="G3" s="76">
        <v>519.76</v>
      </c>
      <c r="H3" s="76">
        <v>547</v>
      </c>
      <c r="I3" s="76">
        <v>1430</v>
      </c>
      <c r="L3" s="77"/>
    </row>
    <row r="4" spans="1:12">
      <c r="A4" s="92" t="s">
        <v>4842</v>
      </c>
      <c r="B4" s="75" t="s">
        <v>4190</v>
      </c>
      <c r="C4" s="74">
        <v>35069190</v>
      </c>
      <c r="D4" s="74" t="s">
        <v>4191</v>
      </c>
      <c r="E4" s="74" t="s">
        <v>4194</v>
      </c>
      <c r="F4" s="74" t="s">
        <v>3515</v>
      </c>
      <c r="G4" s="76">
        <v>498.4</v>
      </c>
      <c r="H4" s="76">
        <v>525</v>
      </c>
      <c r="I4" s="76">
        <v>1375</v>
      </c>
      <c r="L4" s="77"/>
    </row>
    <row r="5" spans="1:12">
      <c r="A5" s="92" t="s">
        <v>4843</v>
      </c>
      <c r="B5" s="75" t="s">
        <v>4190</v>
      </c>
      <c r="C5" s="74">
        <v>35069190</v>
      </c>
      <c r="D5" s="74" t="s">
        <v>4191</v>
      </c>
      <c r="E5" s="74" t="s">
        <v>4195</v>
      </c>
      <c r="F5" s="74" t="s">
        <v>3515</v>
      </c>
      <c r="G5" s="76">
        <v>498.4</v>
      </c>
      <c r="H5" s="76">
        <v>525</v>
      </c>
      <c r="I5" s="76">
        <v>1375</v>
      </c>
      <c r="L5" s="77"/>
    </row>
    <row r="6" spans="1:12">
      <c r="A6" s="92" t="s">
        <v>4844</v>
      </c>
      <c r="B6" s="75" t="s">
        <v>4190</v>
      </c>
      <c r="C6" s="74">
        <v>35069190</v>
      </c>
      <c r="D6" s="74" t="s">
        <v>4191</v>
      </c>
      <c r="E6" s="74" t="s">
        <v>4196</v>
      </c>
      <c r="F6" s="74" t="s">
        <v>3515</v>
      </c>
      <c r="G6" s="76">
        <v>519.76</v>
      </c>
      <c r="H6" s="76">
        <v>547</v>
      </c>
      <c r="I6" s="76">
        <v>1430</v>
      </c>
      <c r="L6" s="77"/>
    </row>
    <row r="7" spans="1:12">
      <c r="A7" s="92" t="s">
        <v>4845</v>
      </c>
      <c r="B7" s="75" t="s">
        <v>4190</v>
      </c>
      <c r="C7" s="74">
        <v>35069190</v>
      </c>
      <c r="D7" s="74" t="s">
        <v>4191</v>
      </c>
      <c r="E7" s="74" t="s">
        <v>4197</v>
      </c>
      <c r="F7" s="74" t="s">
        <v>3515</v>
      </c>
      <c r="G7" s="76">
        <v>133</v>
      </c>
      <c r="H7" s="76">
        <v>140</v>
      </c>
      <c r="I7" s="76">
        <v>350</v>
      </c>
      <c r="L7" s="77"/>
    </row>
    <row r="8" spans="1:12">
      <c r="A8" s="92" t="s">
        <v>4846</v>
      </c>
      <c r="B8" s="75" t="s">
        <v>4190</v>
      </c>
      <c r="C8" s="74">
        <v>35069190</v>
      </c>
      <c r="D8" s="74" t="s">
        <v>4191</v>
      </c>
      <c r="E8" s="74" t="s">
        <v>4198</v>
      </c>
      <c r="F8" s="74" t="s">
        <v>3515</v>
      </c>
      <c r="G8" s="76">
        <v>114.29</v>
      </c>
      <c r="H8" s="76">
        <f>G8*105%</f>
        <v>120.00450000000001</v>
      </c>
      <c r="I8" s="76">
        <v>350</v>
      </c>
      <c r="L8" s="77"/>
    </row>
    <row r="9" spans="1:12">
      <c r="A9" s="92" t="s">
        <v>4847</v>
      </c>
      <c r="B9" s="75" t="s">
        <v>4190</v>
      </c>
      <c r="C9" s="74">
        <v>35069190</v>
      </c>
      <c r="D9" s="74" t="s">
        <v>4191</v>
      </c>
      <c r="E9" s="74" t="s">
        <v>4199</v>
      </c>
      <c r="F9" s="74" t="s">
        <v>3515</v>
      </c>
      <c r="G9" s="76">
        <v>123.81</v>
      </c>
      <c r="H9" s="76">
        <f>G9*105%</f>
        <v>130.00050000000002</v>
      </c>
      <c r="I9" s="76">
        <v>375</v>
      </c>
      <c r="L9" s="77"/>
    </row>
    <row r="10" spans="1:12">
      <c r="A10" s="92" t="s">
        <v>4848</v>
      </c>
      <c r="B10" s="75" t="s">
        <v>4190</v>
      </c>
      <c r="C10" s="74">
        <v>35069190</v>
      </c>
      <c r="D10" s="74" t="s">
        <v>4191</v>
      </c>
      <c r="E10" s="74" t="s">
        <v>4200</v>
      </c>
      <c r="F10" s="74" t="s">
        <v>3515</v>
      </c>
      <c r="G10" s="76">
        <v>190.48</v>
      </c>
      <c r="H10" s="76">
        <f>G10*105%</f>
        <v>200.00399999999999</v>
      </c>
      <c r="I10" s="76">
        <v>575</v>
      </c>
      <c r="L10" s="77"/>
    </row>
    <row r="11" spans="1:12">
      <c r="A11" s="92" t="s">
        <v>4849</v>
      </c>
      <c r="B11" s="75" t="s">
        <v>4190</v>
      </c>
      <c r="C11" s="74">
        <v>35069190</v>
      </c>
      <c r="D11" s="74" t="s">
        <v>4191</v>
      </c>
      <c r="E11" s="74" t="s">
        <v>4201</v>
      </c>
      <c r="F11" s="74" t="s">
        <v>3515</v>
      </c>
      <c r="G11" s="76">
        <v>209</v>
      </c>
      <c r="H11" s="76">
        <v>220</v>
      </c>
      <c r="I11" s="76">
        <v>575</v>
      </c>
      <c r="L11" s="77"/>
    </row>
    <row r="12" spans="1:12">
      <c r="A12" s="92" t="s">
        <v>4850</v>
      </c>
      <c r="B12" s="75" t="s">
        <v>4190</v>
      </c>
      <c r="C12" s="74">
        <v>35069190</v>
      </c>
      <c r="D12" s="74" t="s">
        <v>4191</v>
      </c>
      <c r="E12" s="74" t="s">
        <v>4202</v>
      </c>
      <c r="F12" s="74" t="s">
        <v>3515</v>
      </c>
      <c r="G12" s="76">
        <v>200</v>
      </c>
      <c r="H12" s="76">
        <f>G12*105%</f>
        <v>210</v>
      </c>
      <c r="I12" s="76">
        <v>600</v>
      </c>
      <c r="L12" s="77"/>
    </row>
    <row r="13" spans="1:12">
      <c r="A13" s="92" t="s">
        <v>4851</v>
      </c>
      <c r="B13" s="75" t="s">
        <v>4190</v>
      </c>
      <c r="C13" s="74">
        <v>35069190</v>
      </c>
      <c r="D13" s="74" t="s">
        <v>4191</v>
      </c>
      <c r="E13" s="74" t="s">
        <v>4203</v>
      </c>
      <c r="F13" s="74" t="s">
        <v>3515</v>
      </c>
      <c r="G13" s="76">
        <v>498.4</v>
      </c>
      <c r="H13" s="76">
        <v>525</v>
      </c>
      <c r="I13" s="76">
        <v>1375</v>
      </c>
      <c r="L13" s="77"/>
    </row>
    <row r="14" spans="1:12">
      <c r="A14" s="92" t="s">
        <v>4852</v>
      </c>
      <c r="B14" s="75" t="s">
        <v>4190</v>
      </c>
      <c r="C14" s="74">
        <v>35069190</v>
      </c>
      <c r="D14" s="74" t="s">
        <v>4191</v>
      </c>
      <c r="E14" s="74" t="s">
        <v>4204</v>
      </c>
      <c r="F14" s="74" t="s">
        <v>3515</v>
      </c>
      <c r="G14" s="76">
        <v>519.76</v>
      </c>
      <c r="H14" s="76">
        <v>547</v>
      </c>
      <c r="I14" s="76">
        <v>1430</v>
      </c>
      <c r="L14" s="77"/>
    </row>
    <row r="15" spans="1:12">
      <c r="A15" s="92" t="s">
        <v>4853</v>
      </c>
      <c r="B15" s="75" t="s">
        <v>4190</v>
      </c>
      <c r="C15" s="74">
        <v>35069190</v>
      </c>
      <c r="D15" s="74" t="s">
        <v>4191</v>
      </c>
      <c r="E15" s="74" t="s">
        <v>4205</v>
      </c>
      <c r="F15" s="74" t="s">
        <v>3515</v>
      </c>
      <c r="G15" s="76">
        <v>803</v>
      </c>
      <c r="H15" s="76">
        <v>845</v>
      </c>
      <c r="I15" s="76">
        <v>1575</v>
      </c>
      <c r="L15" s="77"/>
    </row>
    <row r="16" spans="1:12">
      <c r="A16" s="92" t="s">
        <v>4854</v>
      </c>
      <c r="B16" s="75" t="s">
        <v>4190</v>
      </c>
      <c r="C16" s="74">
        <v>35069190</v>
      </c>
      <c r="D16" s="74" t="s">
        <v>4191</v>
      </c>
      <c r="E16" s="74" t="s">
        <v>4206</v>
      </c>
      <c r="F16" s="74" t="s">
        <v>3515</v>
      </c>
      <c r="G16" s="76">
        <v>499.29</v>
      </c>
      <c r="H16" s="76">
        <v>525</v>
      </c>
      <c r="I16" s="76">
        <v>1375</v>
      </c>
      <c r="L16" s="77"/>
    </row>
    <row r="17" spans="1:12">
      <c r="A17" s="92" t="s">
        <v>4855</v>
      </c>
      <c r="B17" s="75" t="s">
        <v>4190</v>
      </c>
      <c r="C17" s="74">
        <v>35069190</v>
      </c>
      <c r="D17" s="74" t="s">
        <v>4191</v>
      </c>
      <c r="E17" s="74" t="s">
        <v>4207</v>
      </c>
      <c r="F17" s="74" t="s">
        <v>3515</v>
      </c>
      <c r="G17" s="76">
        <v>498.4</v>
      </c>
      <c r="H17" s="76">
        <v>525</v>
      </c>
      <c r="I17" s="76">
        <v>1375</v>
      </c>
      <c r="L17" s="77"/>
    </row>
    <row r="18" spans="1:12">
      <c r="A18" s="92" t="s">
        <v>4856</v>
      </c>
      <c r="B18" s="75" t="s">
        <v>4190</v>
      </c>
      <c r="C18" s="74">
        <v>35069190</v>
      </c>
      <c r="D18" s="74" t="s">
        <v>4191</v>
      </c>
      <c r="E18" s="74" t="s">
        <v>4208</v>
      </c>
      <c r="F18" s="74" t="s">
        <v>3515</v>
      </c>
      <c r="G18" s="76">
        <v>519.76</v>
      </c>
      <c r="H18" s="76">
        <v>547</v>
      </c>
      <c r="I18" s="76">
        <v>1430</v>
      </c>
      <c r="L18" s="77"/>
    </row>
    <row r="19" spans="1:12">
      <c r="A19" s="92" t="s">
        <v>4857</v>
      </c>
      <c r="B19" s="75" t="s">
        <v>4190</v>
      </c>
      <c r="C19" s="74">
        <v>35069190</v>
      </c>
      <c r="D19" s="74" t="s">
        <v>4191</v>
      </c>
      <c r="E19" s="74" t="s">
        <v>4209</v>
      </c>
      <c r="F19" s="74" t="s">
        <v>3515</v>
      </c>
      <c r="G19" s="76">
        <v>803</v>
      </c>
      <c r="H19" s="76">
        <v>845</v>
      </c>
      <c r="I19" s="76">
        <v>1575</v>
      </c>
      <c r="L19" s="77"/>
    </row>
    <row r="20" spans="1:12">
      <c r="A20" s="92" t="s">
        <v>4858</v>
      </c>
      <c r="B20" s="75" t="s">
        <v>4190</v>
      </c>
      <c r="C20" s="74">
        <v>35069190</v>
      </c>
      <c r="D20" s="74" t="s">
        <v>4191</v>
      </c>
      <c r="E20" s="74" t="s">
        <v>4210</v>
      </c>
      <c r="F20" s="74" t="s">
        <v>3515</v>
      </c>
      <c r="G20" s="76">
        <v>133</v>
      </c>
      <c r="H20" s="76">
        <v>140</v>
      </c>
      <c r="I20" s="76">
        <v>350</v>
      </c>
      <c r="L20" s="77"/>
    </row>
    <row r="21" spans="1:12">
      <c r="A21" s="92" t="s">
        <v>4859</v>
      </c>
      <c r="B21" s="75" t="s">
        <v>4190</v>
      </c>
      <c r="C21" s="74">
        <v>35069190</v>
      </c>
      <c r="D21" s="74" t="s">
        <v>4191</v>
      </c>
      <c r="E21" s="74" t="s">
        <v>4211</v>
      </c>
      <c r="F21" s="74" t="s">
        <v>3515</v>
      </c>
      <c r="G21" s="76">
        <v>114.29</v>
      </c>
      <c r="H21" s="76">
        <f>G21*105%</f>
        <v>120.00450000000001</v>
      </c>
      <c r="I21" s="76">
        <v>350</v>
      </c>
      <c r="L21" s="77"/>
    </row>
    <row r="22" spans="1:12">
      <c r="A22" s="92" t="s">
        <v>4860</v>
      </c>
      <c r="B22" s="75" t="s">
        <v>4190</v>
      </c>
      <c r="C22" s="74">
        <v>35069190</v>
      </c>
      <c r="D22" s="74" t="s">
        <v>4191</v>
      </c>
      <c r="E22" s="74" t="s">
        <v>4212</v>
      </c>
      <c r="F22" s="74" t="s">
        <v>3515</v>
      </c>
      <c r="G22" s="76">
        <v>123.81</v>
      </c>
      <c r="H22" s="76">
        <f>G22*105%</f>
        <v>130.00050000000002</v>
      </c>
      <c r="I22" s="76">
        <v>375</v>
      </c>
      <c r="L22" s="77"/>
    </row>
    <row r="23" spans="1:12">
      <c r="A23" s="92" t="s">
        <v>4861</v>
      </c>
      <c r="B23" s="75" t="s">
        <v>4190</v>
      </c>
      <c r="C23" s="74">
        <v>35069190</v>
      </c>
      <c r="D23" s="74" t="s">
        <v>4191</v>
      </c>
      <c r="E23" s="74" t="s">
        <v>4213</v>
      </c>
      <c r="F23" s="74" t="s">
        <v>3515</v>
      </c>
      <c r="G23" s="76">
        <v>209</v>
      </c>
      <c r="H23" s="76">
        <v>220</v>
      </c>
      <c r="I23" s="76">
        <v>575</v>
      </c>
      <c r="L23" s="77"/>
    </row>
    <row r="24" spans="1:12">
      <c r="A24" s="92" t="s">
        <v>4862</v>
      </c>
      <c r="B24" s="75" t="s">
        <v>4190</v>
      </c>
      <c r="C24" s="74">
        <v>35069190</v>
      </c>
      <c r="D24" s="74" t="s">
        <v>4191</v>
      </c>
      <c r="E24" s="74" t="s">
        <v>4214</v>
      </c>
      <c r="F24" s="74" t="s">
        <v>3515</v>
      </c>
      <c r="G24" s="76">
        <v>190.48</v>
      </c>
      <c r="H24" s="76">
        <f>G24*105%</f>
        <v>200.00399999999999</v>
      </c>
      <c r="I24" s="76">
        <v>575</v>
      </c>
      <c r="L24" s="77"/>
    </row>
    <row r="25" spans="1:12">
      <c r="A25" s="92" t="s">
        <v>4863</v>
      </c>
      <c r="B25" s="75" t="s">
        <v>4190</v>
      </c>
      <c r="C25" s="74">
        <v>35069190</v>
      </c>
      <c r="D25" s="74" t="s">
        <v>4191</v>
      </c>
      <c r="E25" s="74" t="s">
        <v>4215</v>
      </c>
      <c r="F25" s="74" t="s">
        <v>3515</v>
      </c>
      <c r="G25" s="76">
        <v>200</v>
      </c>
      <c r="H25" s="76">
        <f>G25*105%</f>
        <v>210</v>
      </c>
      <c r="I25" s="76">
        <v>600</v>
      </c>
      <c r="L25" s="77"/>
    </row>
    <row r="26" spans="1:12">
      <c r="A26" s="92" t="s">
        <v>4864</v>
      </c>
      <c r="B26" s="75" t="s">
        <v>4190</v>
      </c>
      <c r="C26" s="74">
        <v>35069190</v>
      </c>
      <c r="D26" s="74" t="s">
        <v>4191</v>
      </c>
      <c r="E26" s="74" t="s">
        <v>4216</v>
      </c>
      <c r="F26" s="74" t="s">
        <v>3515</v>
      </c>
      <c r="G26" s="76">
        <v>884</v>
      </c>
      <c r="H26" s="76">
        <v>930</v>
      </c>
      <c r="I26" s="76">
        <v>1736</v>
      </c>
      <c r="L26" s="77"/>
    </row>
    <row r="27" spans="1:12">
      <c r="A27" s="92" t="s">
        <v>4865</v>
      </c>
      <c r="B27" s="75" t="s">
        <v>4190</v>
      </c>
      <c r="C27" s="74">
        <v>35069190</v>
      </c>
      <c r="D27" s="74" t="s">
        <v>4191</v>
      </c>
      <c r="E27" s="74" t="s">
        <v>4217</v>
      </c>
      <c r="F27" s="74" t="s">
        <v>3515</v>
      </c>
      <c r="G27" s="76">
        <v>884</v>
      </c>
      <c r="H27" s="76">
        <v>930</v>
      </c>
      <c r="I27" s="76">
        <v>1736</v>
      </c>
      <c r="L27" s="77"/>
    </row>
    <row r="28" spans="1:12">
      <c r="A28" s="92" t="s">
        <v>4866</v>
      </c>
      <c r="B28" s="75" t="s">
        <v>4190</v>
      </c>
      <c r="C28" s="74">
        <v>35069190</v>
      </c>
      <c r="D28" s="74" t="s">
        <v>4191</v>
      </c>
      <c r="E28" s="74" t="s">
        <v>4218</v>
      </c>
      <c r="F28" s="74" t="s">
        <v>3515</v>
      </c>
      <c r="G28" s="76" t="s">
        <v>4219</v>
      </c>
      <c r="H28" s="76" t="s">
        <v>4220</v>
      </c>
      <c r="I28" s="76">
        <v>4020</v>
      </c>
      <c r="L28" s="77"/>
    </row>
    <row r="29" spans="1:12">
      <c r="A29" s="92" t="s">
        <v>4867</v>
      </c>
      <c r="B29" s="75" t="s">
        <v>4190</v>
      </c>
      <c r="C29" s="74">
        <v>35069190</v>
      </c>
      <c r="D29" s="74" t="s">
        <v>4191</v>
      </c>
      <c r="E29" s="74" t="s">
        <v>4221</v>
      </c>
      <c r="F29" s="74" t="s">
        <v>3515</v>
      </c>
      <c r="G29" s="76">
        <v>2850</v>
      </c>
      <c r="H29" s="76">
        <v>3000</v>
      </c>
      <c r="I29" s="76">
        <v>5817</v>
      </c>
      <c r="L29" s="77"/>
    </row>
    <row r="30" spans="1:12">
      <c r="A30" s="92" t="s">
        <v>4868</v>
      </c>
      <c r="B30" s="75" t="s">
        <v>4190</v>
      </c>
      <c r="C30" s="74">
        <v>35069190</v>
      </c>
      <c r="D30" s="74" t="s">
        <v>4191</v>
      </c>
      <c r="E30" s="74" t="s">
        <v>4222</v>
      </c>
      <c r="F30" s="74" t="s">
        <v>3515</v>
      </c>
      <c r="G30" s="76" t="s">
        <v>4223</v>
      </c>
      <c r="H30" s="76" t="s">
        <v>4224</v>
      </c>
      <c r="I30" s="76">
        <v>5980</v>
      </c>
      <c r="L30" s="77"/>
    </row>
    <row r="31" spans="1:12">
      <c r="A31" s="92" t="s">
        <v>4869</v>
      </c>
      <c r="B31" s="75" t="s">
        <v>4190</v>
      </c>
      <c r="C31" s="74">
        <v>35069190</v>
      </c>
      <c r="D31" s="74" t="s">
        <v>4191</v>
      </c>
      <c r="E31" s="74" t="s">
        <v>4225</v>
      </c>
      <c r="F31" s="74" t="s">
        <v>3515</v>
      </c>
      <c r="G31" s="76">
        <v>3610</v>
      </c>
      <c r="H31" s="76">
        <v>3800</v>
      </c>
      <c r="I31" s="76">
        <v>9672</v>
      </c>
      <c r="L31" s="77"/>
    </row>
    <row r="32" spans="1:12">
      <c r="A32" s="92" t="s">
        <v>4870</v>
      </c>
      <c r="B32" s="75" t="s">
        <v>4190</v>
      </c>
      <c r="C32" s="74">
        <v>35069190</v>
      </c>
      <c r="D32" s="74" t="s">
        <v>4191</v>
      </c>
      <c r="E32" s="74" t="s">
        <v>4226</v>
      </c>
      <c r="F32" s="74" t="s">
        <v>3515</v>
      </c>
      <c r="G32" s="76">
        <v>1045</v>
      </c>
      <c r="H32" s="76">
        <v>1100</v>
      </c>
      <c r="I32" s="76">
        <v>2613</v>
      </c>
      <c r="L32" s="77"/>
    </row>
    <row r="33" spans="1:12">
      <c r="A33" s="92" t="s">
        <v>4871</v>
      </c>
      <c r="B33" s="75" t="s">
        <v>4190</v>
      </c>
      <c r="C33" s="74">
        <v>35069190</v>
      </c>
      <c r="D33" s="74" t="s">
        <v>4191</v>
      </c>
      <c r="E33" s="74" t="s">
        <v>4227</v>
      </c>
      <c r="F33" s="74" t="s">
        <v>3515</v>
      </c>
      <c r="G33" s="76">
        <v>1045</v>
      </c>
      <c r="H33" s="76">
        <v>1100</v>
      </c>
      <c r="I33" s="76">
        <v>2613</v>
      </c>
      <c r="L33" s="77"/>
    </row>
    <row r="34" spans="1:12">
      <c r="A34" s="92" t="s">
        <v>4872</v>
      </c>
      <c r="B34" s="75" t="s">
        <v>4190</v>
      </c>
      <c r="C34" s="74">
        <v>38140020</v>
      </c>
      <c r="D34" s="74" t="s">
        <v>4191</v>
      </c>
      <c r="E34" s="74" t="s">
        <v>4228</v>
      </c>
      <c r="F34" s="74" t="s">
        <v>3515</v>
      </c>
      <c r="G34" s="76">
        <v>2517</v>
      </c>
      <c r="H34" s="76">
        <v>2649</v>
      </c>
      <c r="I34" s="76">
        <v>6093</v>
      </c>
      <c r="L34" s="77"/>
    </row>
    <row r="35" spans="1:12">
      <c r="A35" s="92" t="s">
        <v>4873</v>
      </c>
      <c r="B35" s="75" t="s">
        <v>4190</v>
      </c>
      <c r="C35" s="74">
        <v>34029099</v>
      </c>
      <c r="D35" s="74" t="s">
        <v>4191</v>
      </c>
      <c r="E35" s="74" t="s">
        <v>4229</v>
      </c>
      <c r="F35" s="74" t="s">
        <v>3515</v>
      </c>
      <c r="G35" s="76">
        <v>420</v>
      </c>
      <c r="H35" s="76">
        <v>442</v>
      </c>
      <c r="I35" s="76">
        <v>884</v>
      </c>
      <c r="L35" s="77"/>
    </row>
    <row r="36" spans="1:12">
      <c r="A36" s="92" t="s">
        <v>4874</v>
      </c>
      <c r="B36" s="75" t="s">
        <v>4190</v>
      </c>
      <c r="C36" s="74">
        <v>34029099</v>
      </c>
      <c r="D36" s="74" t="s">
        <v>4191</v>
      </c>
      <c r="E36" s="74" t="s">
        <v>4230</v>
      </c>
      <c r="F36" s="74" t="s">
        <v>3515</v>
      </c>
      <c r="G36" s="76">
        <v>475</v>
      </c>
      <c r="H36" s="76">
        <v>500</v>
      </c>
      <c r="I36" s="76">
        <v>852</v>
      </c>
      <c r="L36" s="77"/>
    </row>
    <row r="37" spans="1:12">
      <c r="A37" s="92" t="s">
        <v>4875</v>
      </c>
      <c r="B37" s="75" t="s">
        <v>4190</v>
      </c>
      <c r="C37" s="74">
        <v>34029099</v>
      </c>
      <c r="D37" s="74" t="s">
        <v>4191</v>
      </c>
      <c r="E37" s="74" t="s">
        <v>4231</v>
      </c>
      <c r="F37" s="74" t="s">
        <v>3515</v>
      </c>
      <c r="G37" s="76">
        <v>615</v>
      </c>
      <c r="H37" s="76">
        <v>647</v>
      </c>
      <c r="I37" s="76">
        <v>1294</v>
      </c>
      <c r="L37" s="77"/>
    </row>
    <row r="38" spans="1:12">
      <c r="A38" s="92" t="s">
        <v>4876</v>
      </c>
      <c r="B38" s="75" t="s">
        <v>4190</v>
      </c>
      <c r="C38" s="74">
        <v>34029099</v>
      </c>
      <c r="D38" s="74" t="s">
        <v>4191</v>
      </c>
      <c r="E38" s="74" t="s">
        <v>4232</v>
      </c>
      <c r="F38" s="74" t="s">
        <v>3515</v>
      </c>
      <c r="G38" s="76">
        <v>311</v>
      </c>
      <c r="H38" s="76">
        <v>327</v>
      </c>
      <c r="I38" s="76">
        <v>589</v>
      </c>
      <c r="L38" s="77"/>
    </row>
    <row r="39" spans="1:12">
      <c r="A39" s="92" t="s">
        <v>4877</v>
      </c>
      <c r="B39" s="75" t="s">
        <v>4190</v>
      </c>
      <c r="C39" s="74">
        <v>34049039</v>
      </c>
      <c r="D39" s="74" t="s">
        <v>4191</v>
      </c>
      <c r="E39" s="74" t="s">
        <v>4233</v>
      </c>
      <c r="F39" s="74" t="s">
        <v>3515</v>
      </c>
      <c r="G39" s="76">
        <v>827</v>
      </c>
      <c r="H39" s="76">
        <v>870</v>
      </c>
      <c r="I39" s="76">
        <v>2241</v>
      </c>
      <c r="L39" s="77"/>
    </row>
    <row r="40" spans="1:12">
      <c r="A40" s="92" t="s">
        <v>4878</v>
      </c>
      <c r="B40" s="75" t="s">
        <v>4190</v>
      </c>
      <c r="C40" s="74">
        <v>38140020</v>
      </c>
      <c r="D40" s="74" t="s">
        <v>4191</v>
      </c>
      <c r="E40" s="74" t="s">
        <v>4234</v>
      </c>
      <c r="F40" s="74" t="s">
        <v>3515</v>
      </c>
      <c r="G40" s="76" t="s">
        <v>4235</v>
      </c>
      <c r="H40" s="76" t="s">
        <v>4236</v>
      </c>
      <c r="I40" s="76">
        <v>2800</v>
      </c>
      <c r="L40" s="77"/>
    </row>
    <row r="41" spans="1:12">
      <c r="A41" s="92" t="s">
        <v>4879</v>
      </c>
      <c r="B41" s="75" t="s">
        <v>4190</v>
      </c>
      <c r="C41" s="74">
        <v>32099090</v>
      </c>
      <c r="D41" s="74" t="s">
        <v>4191</v>
      </c>
      <c r="E41" s="74" t="s">
        <v>4237</v>
      </c>
      <c r="F41" s="74" t="s">
        <v>3515</v>
      </c>
      <c r="G41" s="76">
        <v>571</v>
      </c>
      <c r="H41" s="76">
        <v>600</v>
      </c>
      <c r="I41" s="76">
        <v>1854</v>
      </c>
      <c r="L41" s="77"/>
    </row>
    <row r="42" spans="1:12">
      <c r="A42" s="92" t="s">
        <v>4880</v>
      </c>
      <c r="B42" s="75" t="s">
        <v>4190</v>
      </c>
      <c r="C42" s="74">
        <v>32099090</v>
      </c>
      <c r="D42" s="74" t="s">
        <v>4191</v>
      </c>
      <c r="E42" s="74" t="s">
        <v>4238</v>
      </c>
      <c r="F42" s="74" t="s">
        <v>3515</v>
      </c>
      <c r="G42" s="76">
        <v>760</v>
      </c>
      <c r="H42" s="76">
        <v>800</v>
      </c>
      <c r="I42" s="76">
        <v>1470</v>
      </c>
      <c r="L42" s="77"/>
    </row>
    <row r="43" spans="1:12">
      <c r="A43" s="92" t="s">
        <v>4881</v>
      </c>
      <c r="B43" s="75" t="s">
        <v>4190</v>
      </c>
      <c r="C43" s="74">
        <v>32099090</v>
      </c>
      <c r="D43" s="74" t="s">
        <v>4191</v>
      </c>
      <c r="E43" s="74" t="s">
        <v>4239</v>
      </c>
      <c r="F43" s="74" t="s">
        <v>3515</v>
      </c>
      <c r="G43" s="76">
        <v>1354</v>
      </c>
      <c r="H43" s="76">
        <v>1425</v>
      </c>
      <c r="I43" s="76">
        <v>2850</v>
      </c>
      <c r="L43" s="77"/>
    </row>
    <row r="44" spans="1:12">
      <c r="A44" s="92" t="s">
        <v>4882</v>
      </c>
      <c r="B44" s="75" t="s">
        <v>4190</v>
      </c>
      <c r="C44" s="74">
        <v>32071090</v>
      </c>
      <c r="D44" s="74" t="s">
        <v>4191</v>
      </c>
      <c r="E44" s="74" t="s">
        <v>4240</v>
      </c>
      <c r="F44" s="74" t="s">
        <v>3515</v>
      </c>
      <c r="G44" s="76">
        <v>261</v>
      </c>
      <c r="H44" s="76">
        <v>275</v>
      </c>
      <c r="I44" s="76">
        <v>545</v>
      </c>
      <c r="L44" s="77"/>
    </row>
    <row r="45" spans="1:12">
      <c r="A45" s="92" t="s">
        <v>4883</v>
      </c>
      <c r="B45" s="75" t="s">
        <v>4190</v>
      </c>
      <c r="C45" s="74">
        <v>32071090</v>
      </c>
      <c r="D45" s="74" t="s">
        <v>4191</v>
      </c>
      <c r="E45" s="74" t="s">
        <v>4241</v>
      </c>
      <c r="F45" s="74" t="s">
        <v>3515</v>
      </c>
      <c r="G45" s="76">
        <v>352</v>
      </c>
      <c r="H45" s="76">
        <v>370</v>
      </c>
      <c r="I45" s="76">
        <v>733</v>
      </c>
      <c r="L45" s="77"/>
    </row>
    <row r="46" spans="1:12">
      <c r="A46" s="92" t="s">
        <v>4884</v>
      </c>
      <c r="B46" s="75" t="s">
        <v>4190</v>
      </c>
      <c r="C46" s="74">
        <v>32071090</v>
      </c>
      <c r="D46" s="74" t="s">
        <v>4191</v>
      </c>
      <c r="E46" s="74" t="s">
        <v>4242</v>
      </c>
      <c r="F46" s="74" t="s">
        <v>3515</v>
      </c>
      <c r="G46" s="76">
        <v>337</v>
      </c>
      <c r="H46" s="76">
        <v>355</v>
      </c>
      <c r="I46" s="76">
        <v>703</v>
      </c>
      <c r="L46" s="77"/>
    </row>
    <row r="47" spans="1:12">
      <c r="A47" s="92" t="s">
        <v>4885</v>
      </c>
      <c r="B47" s="75" t="s">
        <v>4190</v>
      </c>
      <c r="C47" s="74">
        <v>32071090</v>
      </c>
      <c r="D47" s="74" t="s">
        <v>4191</v>
      </c>
      <c r="E47" s="74" t="s">
        <v>4243</v>
      </c>
      <c r="F47" s="74" t="s">
        <v>3515</v>
      </c>
      <c r="G47" s="76">
        <v>252</v>
      </c>
      <c r="H47" s="76">
        <v>265</v>
      </c>
      <c r="I47" s="76">
        <v>525</v>
      </c>
      <c r="L47" s="77"/>
    </row>
    <row r="48" spans="1:12">
      <c r="A48" s="92" t="s">
        <v>4886</v>
      </c>
      <c r="B48" s="75" t="s">
        <v>4190</v>
      </c>
      <c r="C48" s="74">
        <v>32071090</v>
      </c>
      <c r="D48" s="74" t="s">
        <v>4191</v>
      </c>
      <c r="E48" s="74" t="s">
        <v>4244</v>
      </c>
      <c r="F48" s="74" t="s">
        <v>3515</v>
      </c>
      <c r="G48" s="76">
        <v>257</v>
      </c>
      <c r="H48" s="76">
        <v>270</v>
      </c>
      <c r="I48" s="76">
        <v>535</v>
      </c>
      <c r="L48" s="77"/>
    </row>
    <row r="49" spans="1:12">
      <c r="A49" s="92" t="s">
        <v>4887</v>
      </c>
      <c r="B49" s="75" t="s">
        <v>4190</v>
      </c>
      <c r="C49" s="74">
        <v>32071090</v>
      </c>
      <c r="D49" s="74" t="s">
        <v>4191</v>
      </c>
      <c r="E49" s="74" t="s">
        <v>4245</v>
      </c>
      <c r="F49" s="74" t="s">
        <v>3515</v>
      </c>
      <c r="G49" s="76">
        <v>409</v>
      </c>
      <c r="H49" s="76">
        <v>430</v>
      </c>
      <c r="I49" s="76">
        <v>851</v>
      </c>
      <c r="L49" s="77"/>
    </row>
    <row r="50" spans="1:12">
      <c r="A50" s="92" t="s">
        <v>4888</v>
      </c>
      <c r="B50" s="75" t="s">
        <v>4190</v>
      </c>
      <c r="C50" s="74">
        <v>32071090</v>
      </c>
      <c r="D50" s="74" t="s">
        <v>4191</v>
      </c>
      <c r="E50" s="74" t="s">
        <v>4246</v>
      </c>
      <c r="F50" s="74" t="s">
        <v>3515</v>
      </c>
      <c r="G50" s="76">
        <v>290</v>
      </c>
      <c r="H50" s="76">
        <v>305</v>
      </c>
      <c r="I50" s="76">
        <v>604</v>
      </c>
      <c r="L50" s="77"/>
    </row>
    <row r="51" spans="1:12">
      <c r="A51" s="92" t="s">
        <v>4889</v>
      </c>
      <c r="B51" s="75" t="s">
        <v>4190</v>
      </c>
      <c r="C51" s="74">
        <v>32071090</v>
      </c>
      <c r="D51" s="74" t="s">
        <v>4191</v>
      </c>
      <c r="E51" s="74" t="s">
        <v>4247</v>
      </c>
      <c r="F51" s="74" t="s">
        <v>3515</v>
      </c>
      <c r="G51" s="76">
        <v>380</v>
      </c>
      <c r="H51" s="76">
        <v>400</v>
      </c>
      <c r="I51" s="76">
        <v>792</v>
      </c>
      <c r="L51" s="77"/>
    </row>
    <row r="52" spans="1:12">
      <c r="A52" s="92" t="s">
        <v>4890</v>
      </c>
      <c r="B52" s="75" t="s">
        <v>4190</v>
      </c>
      <c r="C52" s="74">
        <v>32071090</v>
      </c>
      <c r="D52" s="74" t="s">
        <v>4191</v>
      </c>
      <c r="E52" s="74" t="s">
        <v>4248</v>
      </c>
      <c r="F52" s="74" t="s">
        <v>3515</v>
      </c>
      <c r="G52" s="76">
        <v>352</v>
      </c>
      <c r="H52" s="76">
        <v>370</v>
      </c>
      <c r="I52" s="76">
        <v>733</v>
      </c>
      <c r="L52" s="77"/>
    </row>
    <row r="53" spans="1:12">
      <c r="A53" s="92" t="s">
        <v>4891</v>
      </c>
      <c r="B53" s="75" t="s">
        <v>4190</v>
      </c>
      <c r="C53" s="74">
        <v>38140020</v>
      </c>
      <c r="D53" s="74" t="s">
        <v>4191</v>
      </c>
      <c r="E53" s="74" t="s">
        <v>4249</v>
      </c>
      <c r="F53" s="74" t="s">
        <v>3515</v>
      </c>
      <c r="G53" s="76">
        <v>1524</v>
      </c>
      <c r="H53" s="76">
        <v>1600</v>
      </c>
      <c r="I53" s="76">
        <v>4370</v>
      </c>
      <c r="L53" s="77"/>
    </row>
    <row r="54" spans="1:12">
      <c r="A54" s="92" t="s">
        <v>4892</v>
      </c>
      <c r="B54" s="75" t="s">
        <v>4190</v>
      </c>
      <c r="C54" s="74">
        <v>39073090</v>
      </c>
      <c r="D54" s="74" t="s">
        <v>4191</v>
      </c>
      <c r="E54" s="74" t="s">
        <v>4250</v>
      </c>
      <c r="F54" s="74" t="s">
        <v>3515</v>
      </c>
      <c r="G54" s="76">
        <v>826</v>
      </c>
      <c r="H54" s="76">
        <v>870</v>
      </c>
      <c r="I54" s="76">
        <v>1980</v>
      </c>
      <c r="L54" s="77"/>
    </row>
    <row r="55" spans="1:12">
      <c r="A55" s="92" t="s">
        <v>4893</v>
      </c>
      <c r="B55" s="75" t="s">
        <v>4190</v>
      </c>
      <c r="C55" s="74">
        <v>39073090</v>
      </c>
      <c r="D55" s="74" t="s">
        <v>4191</v>
      </c>
      <c r="E55" s="74" t="s">
        <v>4251</v>
      </c>
      <c r="F55" s="74" t="s">
        <v>3515</v>
      </c>
      <c r="G55" s="76">
        <v>856</v>
      </c>
      <c r="H55" s="76">
        <v>902</v>
      </c>
      <c r="I55" s="76">
        <v>2288</v>
      </c>
      <c r="L55" s="77"/>
    </row>
    <row r="56" spans="1:12">
      <c r="A56" s="92" t="s">
        <v>4894</v>
      </c>
      <c r="B56" s="75" t="s">
        <v>4190</v>
      </c>
      <c r="C56" s="74">
        <v>39073090</v>
      </c>
      <c r="D56" s="74" t="s">
        <v>4191</v>
      </c>
      <c r="E56" s="74" t="s">
        <v>4252</v>
      </c>
      <c r="F56" s="74" t="s">
        <v>3515</v>
      </c>
      <c r="G56" s="76">
        <v>992</v>
      </c>
      <c r="H56" s="76">
        <v>1044</v>
      </c>
      <c r="I56" s="76">
        <v>2214</v>
      </c>
      <c r="L56" s="77"/>
    </row>
    <row r="57" spans="1:12">
      <c r="A57" s="92" t="s">
        <v>4895</v>
      </c>
      <c r="B57" s="75" t="s">
        <v>4190</v>
      </c>
      <c r="C57" s="74">
        <v>39073090</v>
      </c>
      <c r="D57" s="74" t="s">
        <v>4191</v>
      </c>
      <c r="E57" s="74" t="s">
        <v>4253</v>
      </c>
      <c r="F57" s="74" t="s">
        <v>3515</v>
      </c>
      <c r="G57" s="76">
        <v>878</v>
      </c>
      <c r="H57" s="76">
        <v>924</v>
      </c>
      <c r="I57" s="76">
        <v>2451</v>
      </c>
      <c r="L57" s="77"/>
    </row>
    <row r="58" spans="1:12">
      <c r="A58" s="92" t="s">
        <v>4896</v>
      </c>
      <c r="B58" s="75" t="s">
        <v>4190</v>
      </c>
      <c r="C58" s="74">
        <v>39073090</v>
      </c>
      <c r="D58" s="74" t="s">
        <v>4191</v>
      </c>
      <c r="E58" s="74" t="s">
        <v>4254</v>
      </c>
      <c r="F58" s="74" t="s">
        <v>3515</v>
      </c>
      <c r="G58" s="76">
        <v>3626</v>
      </c>
      <c r="H58" s="76">
        <v>3817</v>
      </c>
      <c r="I58" s="76">
        <v>7040</v>
      </c>
      <c r="L58" s="77"/>
    </row>
    <row r="59" spans="1:12">
      <c r="A59" s="92" t="s">
        <v>4897</v>
      </c>
      <c r="B59" s="75" t="s">
        <v>4190</v>
      </c>
      <c r="C59" s="74">
        <v>39073090</v>
      </c>
      <c r="D59" s="74" t="s">
        <v>4191</v>
      </c>
      <c r="E59" s="74" t="s">
        <v>4255</v>
      </c>
      <c r="F59" s="74" t="s">
        <v>3515</v>
      </c>
      <c r="G59" s="76">
        <v>3838</v>
      </c>
      <c r="H59" s="76">
        <v>4040</v>
      </c>
      <c r="I59" s="76">
        <v>7547</v>
      </c>
      <c r="L59" s="77"/>
    </row>
    <row r="60" spans="1:12">
      <c r="A60" s="92" t="s">
        <v>4898</v>
      </c>
      <c r="B60" s="75" t="s">
        <v>4190</v>
      </c>
      <c r="C60" s="74">
        <v>39073090</v>
      </c>
      <c r="D60" s="74" t="s">
        <v>4191</v>
      </c>
      <c r="E60" s="74" t="s">
        <v>4256</v>
      </c>
      <c r="F60" s="74" t="s">
        <v>3515</v>
      </c>
      <c r="G60" s="76">
        <v>4146</v>
      </c>
      <c r="H60" s="76">
        <v>4364</v>
      </c>
      <c r="I60" s="76">
        <v>8246</v>
      </c>
      <c r="L60" s="77"/>
    </row>
    <row r="61" spans="1:12">
      <c r="A61" s="92" t="s">
        <v>4899</v>
      </c>
      <c r="B61" s="75" t="s">
        <v>4190</v>
      </c>
      <c r="C61" s="74">
        <v>39073090</v>
      </c>
      <c r="D61" s="74" t="s">
        <v>4191</v>
      </c>
      <c r="E61" s="74" t="s">
        <v>4257</v>
      </c>
      <c r="F61" s="74" t="s">
        <v>3515</v>
      </c>
      <c r="G61" s="76">
        <v>903</v>
      </c>
      <c r="H61" s="76">
        <v>950</v>
      </c>
      <c r="I61" s="76">
        <v>1782</v>
      </c>
      <c r="L61" s="77"/>
    </row>
    <row r="62" spans="1:12">
      <c r="A62" s="92" t="s">
        <v>4900</v>
      </c>
      <c r="B62" s="75" t="s">
        <v>4190</v>
      </c>
      <c r="C62" s="74">
        <v>39073090</v>
      </c>
      <c r="D62" s="74" t="s">
        <v>4191</v>
      </c>
      <c r="E62" s="74" t="s">
        <v>4258</v>
      </c>
      <c r="F62" s="74" t="s">
        <v>3515</v>
      </c>
      <c r="G62" s="76">
        <v>903</v>
      </c>
      <c r="H62" s="76">
        <v>950</v>
      </c>
      <c r="I62" s="76">
        <v>1782</v>
      </c>
      <c r="L62" s="77"/>
    </row>
    <row r="63" spans="1:12">
      <c r="A63" s="92" t="s">
        <v>4901</v>
      </c>
      <c r="B63" s="75" t="s">
        <v>4190</v>
      </c>
      <c r="C63" s="74">
        <v>34054000</v>
      </c>
      <c r="D63" s="74" t="s">
        <v>4191</v>
      </c>
      <c r="E63" s="74" t="s">
        <v>4259</v>
      </c>
      <c r="F63" s="74" t="s">
        <v>3515</v>
      </c>
      <c r="G63" s="76">
        <v>855</v>
      </c>
      <c r="H63" s="76">
        <v>900</v>
      </c>
      <c r="I63" s="76">
        <v>1604</v>
      </c>
      <c r="L63" s="77"/>
    </row>
    <row r="64" spans="1:12">
      <c r="A64" s="92" t="s">
        <v>4902</v>
      </c>
      <c r="B64" s="75" t="s">
        <v>4190</v>
      </c>
      <c r="C64" s="74">
        <v>34054000</v>
      </c>
      <c r="D64" s="74" t="s">
        <v>4191</v>
      </c>
      <c r="E64" s="74" t="s">
        <v>4260</v>
      </c>
      <c r="F64" s="74" t="s">
        <v>3515</v>
      </c>
      <c r="G64" s="76">
        <v>855</v>
      </c>
      <c r="H64" s="76">
        <v>900</v>
      </c>
      <c r="I64" s="76">
        <v>1604</v>
      </c>
      <c r="L64" s="77"/>
    </row>
    <row r="65" spans="1:12">
      <c r="A65" s="92" t="s">
        <v>4903</v>
      </c>
      <c r="B65" s="75" t="s">
        <v>4190</v>
      </c>
      <c r="C65" s="74">
        <v>38140020</v>
      </c>
      <c r="D65" s="74" t="s">
        <v>4191</v>
      </c>
      <c r="E65" s="74" t="s">
        <v>4261</v>
      </c>
      <c r="F65" s="74" t="s">
        <v>3515</v>
      </c>
      <c r="G65" s="76">
        <v>1903</v>
      </c>
      <c r="H65" s="76">
        <v>2003</v>
      </c>
      <c r="I65" s="76">
        <v>3605</v>
      </c>
      <c r="L65" s="77"/>
    </row>
    <row r="66" spans="1:12">
      <c r="A66" s="92" t="s">
        <v>4904</v>
      </c>
      <c r="B66" s="75" t="s">
        <v>4190</v>
      </c>
      <c r="C66" s="74">
        <v>38140020</v>
      </c>
      <c r="D66" s="74" t="s">
        <v>4191</v>
      </c>
      <c r="E66" s="74" t="s">
        <v>4262</v>
      </c>
      <c r="F66" s="74" t="s">
        <v>3515</v>
      </c>
      <c r="G66" s="76">
        <v>1908</v>
      </c>
      <c r="H66" s="76">
        <v>2008</v>
      </c>
      <c r="I66" s="76">
        <v>3614</v>
      </c>
      <c r="L66" s="77"/>
    </row>
    <row r="67" spans="1:12">
      <c r="A67" s="92" t="s">
        <v>4905</v>
      </c>
      <c r="B67" s="75" t="s">
        <v>4190</v>
      </c>
      <c r="C67" s="74">
        <v>39073090</v>
      </c>
      <c r="D67" s="74" t="s">
        <v>4191</v>
      </c>
      <c r="E67" s="74" t="s">
        <v>4263</v>
      </c>
      <c r="F67" s="74" t="s">
        <v>3515</v>
      </c>
      <c r="G67" s="76">
        <v>411</v>
      </c>
      <c r="H67" s="76">
        <v>432</v>
      </c>
      <c r="I67" s="76">
        <v>770</v>
      </c>
      <c r="L67" s="77"/>
    </row>
    <row r="68" spans="1:12">
      <c r="A68" s="92" t="s">
        <v>4906</v>
      </c>
      <c r="B68" s="75" t="s">
        <v>4190</v>
      </c>
      <c r="C68" s="74">
        <v>39073090</v>
      </c>
      <c r="D68" s="74" t="s">
        <v>4191</v>
      </c>
      <c r="E68" s="74" t="s">
        <v>4264</v>
      </c>
      <c r="F68" s="74" t="s">
        <v>3515</v>
      </c>
      <c r="G68" s="76">
        <v>426</v>
      </c>
      <c r="H68" s="76">
        <v>448</v>
      </c>
      <c r="I68" s="76">
        <v>720</v>
      </c>
      <c r="L68" s="77"/>
    </row>
    <row r="69" spans="1:12">
      <c r="A69" s="92" t="s">
        <v>4907</v>
      </c>
      <c r="B69" s="75" t="s">
        <v>4190</v>
      </c>
      <c r="C69" s="74">
        <v>39073090</v>
      </c>
      <c r="D69" s="74" t="s">
        <v>4191</v>
      </c>
      <c r="E69" s="74" t="s">
        <v>4265</v>
      </c>
      <c r="F69" s="74" t="s">
        <v>3515</v>
      </c>
      <c r="G69" s="76">
        <v>903</v>
      </c>
      <c r="H69" s="76">
        <v>950</v>
      </c>
      <c r="I69" s="76">
        <v>1575</v>
      </c>
      <c r="L69" s="77"/>
    </row>
    <row r="70" spans="1:12">
      <c r="A70" s="92" t="s">
        <v>4908</v>
      </c>
      <c r="B70" s="75" t="s">
        <v>4190</v>
      </c>
      <c r="C70" s="74">
        <v>39073090</v>
      </c>
      <c r="D70" s="74" t="s">
        <v>4191</v>
      </c>
      <c r="E70" s="74" t="s">
        <v>4266</v>
      </c>
      <c r="F70" s="74" t="s">
        <v>3515</v>
      </c>
      <c r="G70" s="76">
        <v>1615</v>
      </c>
      <c r="H70" s="76">
        <v>1700</v>
      </c>
      <c r="I70" s="76">
        <v>2900</v>
      </c>
      <c r="L70" s="77"/>
    </row>
    <row r="71" spans="1:12">
      <c r="A71" s="92" t="s">
        <v>4909</v>
      </c>
      <c r="B71" s="75" t="s">
        <v>4190</v>
      </c>
      <c r="C71" s="74">
        <v>39073090</v>
      </c>
      <c r="D71" s="74" t="s">
        <v>4191</v>
      </c>
      <c r="E71" s="74" t="s">
        <v>4267</v>
      </c>
      <c r="F71" s="74" t="s">
        <v>3515</v>
      </c>
      <c r="G71" s="76">
        <v>1565</v>
      </c>
      <c r="H71" s="76">
        <v>1647</v>
      </c>
      <c r="I71" s="76">
        <v>2600</v>
      </c>
      <c r="L71" s="77"/>
    </row>
    <row r="72" spans="1:12">
      <c r="A72" s="92" t="s">
        <v>4910</v>
      </c>
      <c r="B72" s="75" t="s">
        <v>4190</v>
      </c>
      <c r="C72" s="74">
        <v>39073090</v>
      </c>
      <c r="D72" s="74" t="s">
        <v>4191</v>
      </c>
      <c r="E72" s="74" t="s">
        <v>4268</v>
      </c>
      <c r="F72" s="74" t="s">
        <v>3515</v>
      </c>
      <c r="G72" s="76">
        <v>903</v>
      </c>
      <c r="H72" s="76">
        <v>950</v>
      </c>
      <c r="I72" s="76">
        <v>1550</v>
      </c>
      <c r="L72" s="77"/>
    </row>
    <row r="73" spans="1:12">
      <c r="A73" s="92" t="s">
        <v>4911</v>
      </c>
      <c r="B73" s="75" t="s">
        <v>4190</v>
      </c>
      <c r="C73" s="74">
        <v>39073090</v>
      </c>
      <c r="D73" s="74" t="s">
        <v>4191</v>
      </c>
      <c r="E73" s="74" t="s">
        <v>4269</v>
      </c>
      <c r="F73" s="74" t="s">
        <v>3515</v>
      </c>
      <c r="G73" s="76">
        <v>5258</v>
      </c>
      <c r="H73" s="76">
        <v>5535</v>
      </c>
      <c r="I73" s="76">
        <v>9775</v>
      </c>
      <c r="L73" s="77"/>
    </row>
    <row r="74" spans="1:12">
      <c r="A74" s="92" t="s">
        <v>4912</v>
      </c>
      <c r="B74" s="75" t="s">
        <v>4190</v>
      </c>
      <c r="C74" s="74">
        <v>39073090</v>
      </c>
      <c r="D74" s="74" t="s">
        <v>4191</v>
      </c>
      <c r="E74" s="74" t="s">
        <v>4270</v>
      </c>
      <c r="F74" s="74" t="s">
        <v>3515</v>
      </c>
      <c r="G74" s="76">
        <v>105</v>
      </c>
      <c r="H74" s="76">
        <v>110</v>
      </c>
      <c r="I74" s="76">
        <v>200</v>
      </c>
      <c r="L74" s="77"/>
    </row>
    <row r="75" spans="1:12">
      <c r="A75" s="92" t="s">
        <v>4913</v>
      </c>
      <c r="B75" s="75" t="s">
        <v>4190</v>
      </c>
      <c r="C75" s="74">
        <v>39073090</v>
      </c>
      <c r="D75" s="74" t="s">
        <v>4191</v>
      </c>
      <c r="E75" s="74" t="s">
        <v>4271</v>
      </c>
      <c r="F75" s="74" t="s">
        <v>3515</v>
      </c>
      <c r="G75" s="76">
        <v>276</v>
      </c>
      <c r="H75" s="76">
        <v>290</v>
      </c>
      <c r="I75" s="76">
        <v>900</v>
      </c>
      <c r="L75" s="77"/>
    </row>
    <row r="76" spans="1:12">
      <c r="A76" s="92" t="s">
        <v>4914</v>
      </c>
      <c r="B76" s="75" t="s">
        <v>4190</v>
      </c>
      <c r="C76" s="74">
        <v>39073090</v>
      </c>
      <c r="D76" s="74" t="s">
        <v>4191</v>
      </c>
      <c r="E76" s="74" t="s">
        <v>4272</v>
      </c>
      <c r="F76" s="74" t="s">
        <v>3515</v>
      </c>
      <c r="G76" s="76">
        <v>285</v>
      </c>
      <c r="H76" s="76">
        <v>300</v>
      </c>
      <c r="I76" s="76">
        <v>800</v>
      </c>
      <c r="L76" s="77"/>
    </row>
    <row r="77" spans="1:12">
      <c r="A77" s="92" t="s">
        <v>4915</v>
      </c>
      <c r="B77" s="75" t="s">
        <v>4190</v>
      </c>
      <c r="C77" s="74">
        <v>39073090</v>
      </c>
      <c r="D77" s="74" t="s">
        <v>4191</v>
      </c>
      <c r="E77" s="74" t="s">
        <v>4273</v>
      </c>
      <c r="F77" s="74" t="s">
        <v>3515</v>
      </c>
      <c r="G77" s="76">
        <v>713</v>
      </c>
      <c r="H77" s="76">
        <v>750</v>
      </c>
      <c r="I77" s="76">
        <v>1800</v>
      </c>
      <c r="L77" s="77"/>
    </row>
    <row r="78" spans="1:12">
      <c r="A78" s="92" t="s">
        <v>4916</v>
      </c>
      <c r="B78" s="75" t="s">
        <v>4190</v>
      </c>
      <c r="C78" s="74">
        <v>39073090</v>
      </c>
      <c r="D78" s="74" t="s">
        <v>4191</v>
      </c>
      <c r="E78" s="75" t="s">
        <v>4271</v>
      </c>
      <c r="F78" s="74" t="s">
        <v>3515</v>
      </c>
      <c r="G78" s="76">
        <v>276</v>
      </c>
      <c r="H78" s="76">
        <v>290</v>
      </c>
      <c r="I78" s="76">
        <v>900</v>
      </c>
      <c r="L78" s="77"/>
    </row>
    <row r="79" spans="1:12">
      <c r="A79" s="92" t="s">
        <v>4917</v>
      </c>
      <c r="B79" s="75" t="s">
        <v>4190</v>
      </c>
      <c r="C79" s="74">
        <v>39073090</v>
      </c>
      <c r="D79" s="74" t="s">
        <v>4191</v>
      </c>
      <c r="E79" s="75" t="s">
        <v>4270</v>
      </c>
      <c r="F79" s="74" t="s">
        <v>3515</v>
      </c>
      <c r="G79" s="76">
        <v>105</v>
      </c>
      <c r="H79" s="76">
        <v>110</v>
      </c>
      <c r="I79" s="76">
        <v>200</v>
      </c>
      <c r="L79" s="77"/>
    </row>
    <row r="80" spans="1:12">
      <c r="A80" s="92" t="s">
        <v>4918</v>
      </c>
      <c r="B80" s="75" t="s">
        <v>4190</v>
      </c>
      <c r="C80" s="74">
        <v>39073090</v>
      </c>
      <c r="D80" s="74" t="s">
        <v>4191</v>
      </c>
      <c r="E80" s="75" t="s">
        <v>4272</v>
      </c>
      <c r="F80" s="74" t="s">
        <v>3515</v>
      </c>
      <c r="G80" s="76">
        <v>285</v>
      </c>
      <c r="H80" s="76">
        <v>300</v>
      </c>
      <c r="I80" s="76">
        <v>800</v>
      </c>
      <c r="L80" s="77"/>
    </row>
    <row r="81" spans="1:12">
      <c r="A81" s="92" t="s">
        <v>4919</v>
      </c>
      <c r="B81" s="75" t="s">
        <v>4190</v>
      </c>
      <c r="C81" s="74">
        <v>39073090</v>
      </c>
      <c r="D81" s="74" t="s">
        <v>4191</v>
      </c>
      <c r="E81" s="75" t="s">
        <v>4273</v>
      </c>
      <c r="F81" s="74" t="s">
        <v>3515</v>
      </c>
      <c r="G81" s="76">
        <v>713</v>
      </c>
      <c r="H81" s="76">
        <v>750</v>
      </c>
      <c r="I81" s="76">
        <v>1800</v>
      </c>
      <c r="L81" s="77"/>
    </row>
    <row r="82" spans="1:12">
      <c r="A82" s="92" t="s">
        <v>4920</v>
      </c>
      <c r="B82" s="75" t="s">
        <v>4190</v>
      </c>
      <c r="C82" s="74">
        <v>39073090</v>
      </c>
      <c r="D82" s="74" t="s">
        <v>4191</v>
      </c>
      <c r="E82" s="75" t="s">
        <v>4274</v>
      </c>
      <c r="F82" s="74" t="s">
        <v>3515</v>
      </c>
      <c r="G82" s="76">
        <v>3805</v>
      </c>
      <c r="H82" s="76">
        <v>4005</v>
      </c>
      <c r="I82" s="76">
        <v>10000</v>
      </c>
      <c r="L82" s="77"/>
    </row>
    <row r="83" spans="1:12">
      <c r="A83" s="92" t="s">
        <v>4921</v>
      </c>
      <c r="B83" s="75" t="s">
        <v>4190</v>
      </c>
      <c r="C83" s="74">
        <v>39073090</v>
      </c>
      <c r="D83" s="74" t="s">
        <v>4191</v>
      </c>
      <c r="E83" s="75" t="s">
        <v>4275</v>
      </c>
      <c r="F83" s="74" t="s">
        <v>3515</v>
      </c>
      <c r="G83" s="76">
        <v>6460</v>
      </c>
      <c r="H83" s="76">
        <v>6800</v>
      </c>
      <c r="I83" s="76">
        <v>15489</v>
      </c>
      <c r="L83" s="77"/>
    </row>
    <row r="84" spans="1:12">
      <c r="A84" s="92" t="s">
        <v>4922</v>
      </c>
      <c r="B84" s="75" t="s">
        <v>4190</v>
      </c>
      <c r="C84" s="74">
        <v>39073090</v>
      </c>
      <c r="D84" s="74" t="s">
        <v>4191</v>
      </c>
      <c r="E84" s="75" t="s">
        <v>4276</v>
      </c>
      <c r="F84" s="74" t="s">
        <v>3515</v>
      </c>
      <c r="G84" s="76">
        <v>1235</v>
      </c>
      <c r="H84" s="76">
        <v>1300</v>
      </c>
      <c r="I84" s="76">
        <v>3600</v>
      </c>
      <c r="L84" s="77"/>
    </row>
    <row r="85" spans="1:12">
      <c r="A85" s="92" t="s">
        <v>4923</v>
      </c>
      <c r="B85" s="75" t="s">
        <v>4190</v>
      </c>
      <c r="C85" s="74">
        <v>39073090</v>
      </c>
      <c r="D85" s="74" t="s">
        <v>4191</v>
      </c>
      <c r="E85" s="75" t="s">
        <v>4277</v>
      </c>
      <c r="F85" s="74" t="s">
        <v>3515</v>
      </c>
      <c r="G85" s="76">
        <v>827</v>
      </c>
      <c r="H85" s="76">
        <v>870</v>
      </c>
      <c r="I85" s="76">
        <v>2241</v>
      </c>
      <c r="L85" s="77"/>
    </row>
    <row r="86" spans="1:12">
      <c r="A86" s="92" t="s">
        <v>4924</v>
      </c>
      <c r="B86" s="75" t="s">
        <v>4190</v>
      </c>
      <c r="C86" s="74">
        <v>39073090</v>
      </c>
      <c r="D86" s="74" t="s">
        <v>4191</v>
      </c>
      <c r="E86" s="75" t="s">
        <v>4278</v>
      </c>
      <c r="F86" s="74" t="s">
        <v>3515</v>
      </c>
      <c r="G86" s="76">
        <v>2517</v>
      </c>
      <c r="H86" s="76">
        <v>2649</v>
      </c>
      <c r="I86" s="76">
        <v>6093</v>
      </c>
      <c r="L86" s="77"/>
    </row>
    <row r="87" spans="1:12">
      <c r="A87" s="92" t="s">
        <v>4925</v>
      </c>
      <c r="B87" s="75" t="s">
        <v>4190</v>
      </c>
      <c r="C87" s="74">
        <v>39073090</v>
      </c>
      <c r="D87" s="74" t="s">
        <v>4191</v>
      </c>
      <c r="E87" s="75" t="s">
        <v>4273</v>
      </c>
      <c r="F87" s="74" t="s">
        <v>3515</v>
      </c>
      <c r="G87" s="76">
        <v>713</v>
      </c>
      <c r="H87" s="76">
        <v>750</v>
      </c>
      <c r="I87" s="76">
        <f>2100</f>
        <v>2100</v>
      </c>
      <c r="L87" s="77"/>
    </row>
    <row r="88" spans="1:12">
      <c r="A88" s="92" t="s">
        <v>4926</v>
      </c>
      <c r="B88" s="75" t="s">
        <v>4190</v>
      </c>
      <c r="C88" s="74">
        <v>39073090</v>
      </c>
      <c r="D88" s="74" t="s">
        <v>4191</v>
      </c>
      <c r="E88" s="75" t="s">
        <v>4279</v>
      </c>
      <c r="F88" s="74" t="s">
        <v>3515</v>
      </c>
      <c r="G88" s="76" t="s">
        <v>4280</v>
      </c>
      <c r="H88" s="76" t="s">
        <v>4281</v>
      </c>
      <c r="I88" s="76">
        <v>4370</v>
      </c>
      <c r="L88" s="77"/>
    </row>
    <row r="89" spans="1:12">
      <c r="A89" s="92" t="s">
        <v>4927</v>
      </c>
      <c r="B89" s="75" t="s">
        <v>4190</v>
      </c>
      <c r="C89" s="74">
        <v>39073090</v>
      </c>
      <c r="D89" s="74" t="s">
        <v>4191</v>
      </c>
      <c r="E89" s="75" t="s">
        <v>4282</v>
      </c>
      <c r="F89" s="74" t="s">
        <v>3515</v>
      </c>
      <c r="G89" s="76">
        <v>760</v>
      </c>
      <c r="H89" s="76">
        <v>800</v>
      </c>
      <c r="I89" s="76">
        <v>1470</v>
      </c>
      <c r="L89" s="77"/>
    </row>
    <row r="90" spans="1:12">
      <c r="A90" s="92" t="s">
        <v>4928</v>
      </c>
      <c r="B90" s="75" t="s">
        <v>4190</v>
      </c>
      <c r="C90" s="74">
        <v>39073090</v>
      </c>
      <c r="D90" s="74" t="s">
        <v>4191</v>
      </c>
      <c r="E90" s="75" t="s">
        <v>4283</v>
      </c>
      <c r="F90" s="74" t="s">
        <v>3515</v>
      </c>
      <c r="G90" s="76" t="s">
        <v>4235</v>
      </c>
      <c r="H90" s="76" t="s">
        <v>4236</v>
      </c>
      <c r="I90" s="76">
        <v>2800</v>
      </c>
      <c r="L90" s="77"/>
    </row>
    <row r="91" spans="1:12">
      <c r="A91" s="92" t="s">
        <v>4929</v>
      </c>
      <c r="B91" s="75" t="s">
        <v>4190</v>
      </c>
      <c r="C91" s="74">
        <v>39073090</v>
      </c>
      <c r="D91" s="74" t="s">
        <v>4191</v>
      </c>
      <c r="E91" s="75" t="s">
        <v>4284</v>
      </c>
      <c r="F91" s="74" t="s">
        <v>3515</v>
      </c>
      <c r="G91" s="76">
        <v>1357</v>
      </c>
      <c r="H91" s="76">
        <v>1425</v>
      </c>
      <c r="I91" s="76">
        <v>4000</v>
      </c>
      <c r="L91" s="77"/>
    </row>
    <row r="92" spans="1:12">
      <c r="A92" s="92" t="s">
        <v>4930</v>
      </c>
      <c r="B92" s="75" t="s">
        <v>4190</v>
      </c>
      <c r="C92" s="74">
        <v>39073090</v>
      </c>
      <c r="D92" s="74" t="s">
        <v>4191</v>
      </c>
      <c r="E92" s="75" t="s">
        <v>4285</v>
      </c>
      <c r="F92" s="74" t="s">
        <v>3515</v>
      </c>
      <c r="G92" s="76" t="s">
        <v>4286</v>
      </c>
      <c r="H92" s="76" t="s">
        <v>4287</v>
      </c>
      <c r="I92" s="76">
        <v>1854</v>
      </c>
      <c r="L92" s="77"/>
    </row>
    <row r="93" spans="1:12">
      <c r="A93" s="92" t="s">
        <v>4931</v>
      </c>
      <c r="B93" s="75" t="s">
        <v>4190</v>
      </c>
      <c r="C93" s="74">
        <v>39073090</v>
      </c>
      <c r="D93" s="74" t="s">
        <v>4191</v>
      </c>
      <c r="E93" s="75" t="s">
        <v>4288</v>
      </c>
      <c r="F93" s="74" t="s">
        <v>3515</v>
      </c>
      <c r="G93" s="76">
        <v>940</v>
      </c>
      <c r="H93" s="76">
        <v>990</v>
      </c>
      <c r="I93" s="76">
        <v>3100</v>
      </c>
      <c r="L93" s="77"/>
    </row>
    <row r="94" spans="1:12">
      <c r="A94" s="92" t="s">
        <v>4932</v>
      </c>
      <c r="B94" s="75" t="s">
        <v>4190</v>
      </c>
      <c r="C94" s="74">
        <v>39073090</v>
      </c>
      <c r="D94" s="74" t="s">
        <v>4191</v>
      </c>
      <c r="E94" s="75" t="s">
        <v>4289</v>
      </c>
      <c r="F94" s="74" t="s">
        <v>3515</v>
      </c>
      <c r="G94" s="76" t="s">
        <v>4290</v>
      </c>
      <c r="H94" s="76" t="s">
        <v>4291</v>
      </c>
      <c r="I94" s="76">
        <v>1900</v>
      </c>
      <c r="L94" s="77"/>
    </row>
    <row r="95" spans="1:12">
      <c r="A95" s="92" t="s">
        <v>4933</v>
      </c>
      <c r="B95" s="75" t="s">
        <v>4190</v>
      </c>
      <c r="C95" s="74">
        <v>39073090</v>
      </c>
      <c r="D95" s="74" t="s">
        <v>4191</v>
      </c>
      <c r="E95" s="75" t="s">
        <v>4292</v>
      </c>
      <c r="F95" s="74" t="s">
        <v>3515</v>
      </c>
      <c r="G95" s="76" t="s">
        <v>4293</v>
      </c>
      <c r="H95" s="76" t="s">
        <v>4294</v>
      </c>
      <c r="I95" s="76">
        <v>7500</v>
      </c>
      <c r="L95" s="77"/>
    </row>
    <row r="96" spans="1:12">
      <c r="A96" s="92" t="s">
        <v>4934</v>
      </c>
      <c r="B96" s="75" t="s">
        <v>4190</v>
      </c>
      <c r="C96" s="74">
        <v>39073090</v>
      </c>
      <c r="D96" s="74" t="s">
        <v>4191</v>
      </c>
      <c r="E96" s="75" t="s">
        <v>4295</v>
      </c>
      <c r="F96" s="74" t="s">
        <v>3515</v>
      </c>
      <c r="G96" s="76" t="s">
        <v>4296</v>
      </c>
      <c r="H96" s="76" t="s">
        <v>4297</v>
      </c>
      <c r="I96" s="76">
        <v>1500</v>
      </c>
      <c r="L96" s="77"/>
    </row>
    <row r="97" spans="1:12">
      <c r="A97" s="92" t="s">
        <v>4935</v>
      </c>
      <c r="B97" s="75" t="s">
        <v>4190</v>
      </c>
      <c r="C97" s="74">
        <v>39073090</v>
      </c>
      <c r="D97" s="74" t="s">
        <v>4191</v>
      </c>
      <c r="E97" s="75" t="s">
        <v>4298</v>
      </c>
      <c r="F97" s="74" t="s">
        <v>3515</v>
      </c>
      <c r="G97" s="76" t="s">
        <v>4299</v>
      </c>
      <c r="H97" s="76" t="s">
        <v>4300</v>
      </c>
      <c r="I97" s="76">
        <v>5100</v>
      </c>
      <c r="L97" s="77"/>
    </row>
    <row r="98" spans="1:12">
      <c r="A98" s="92" t="s">
        <v>4936</v>
      </c>
      <c r="B98" s="75" t="s">
        <v>4190</v>
      </c>
      <c r="C98" s="74">
        <v>39073090</v>
      </c>
      <c r="D98" s="74" t="s">
        <v>4191</v>
      </c>
      <c r="E98" s="75" t="s">
        <v>4301</v>
      </c>
      <c r="F98" s="74" t="s">
        <v>3515</v>
      </c>
      <c r="G98" s="76">
        <v>803</v>
      </c>
      <c r="H98" s="76">
        <v>845</v>
      </c>
      <c r="I98" s="76">
        <v>1575</v>
      </c>
      <c r="L98" s="77"/>
    </row>
    <row r="99" spans="1:12">
      <c r="A99" s="92" t="s">
        <v>4937</v>
      </c>
      <c r="B99" s="75" t="s">
        <v>4190</v>
      </c>
      <c r="C99" s="74">
        <v>39073090</v>
      </c>
      <c r="D99" s="74" t="s">
        <v>4191</v>
      </c>
      <c r="E99" s="75" t="s">
        <v>4302</v>
      </c>
      <c r="F99" s="74" t="s">
        <v>3515</v>
      </c>
      <c r="G99" s="76">
        <v>285</v>
      </c>
      <c r="H99" s="76">
        <v>300</v>
      </c>
      <c r="I99" s="76">
        <v>800</v>
      </c>
      <c r="L99" s="77"/>
    </row>
    <row r="100" spans="1:12">
      <c r="A100" s="92" t="s">
        <v>4938</v>
      </c>
      <c r="B100" s="75" t="s">
        <v>4190</v>
      </c>
      <c r="C100" s="74">
        <v>39073090</v>
      </c>
      <c r="D100" s="74" t="s">
        <v>4191</v>
      </c>
      <c r="E100" s="75" t="s">
        <v>4303</v>
      </c>
      <c r="F100" s="74" t="s">
        <v>3515</v>
      </c>
      <c r="G100" s="76">
        <v>105</v>
      </c>
      <c r="H100" s="76">
        <v>110</v>
      </c>
      <c r="I100" s="76">
        <v>200</v>
      </c>
      <c r="L100" s="77"/>
    </row>
    <row r="101" spans="1:12">
      <c r="A101" s="92" t="s">
        <v>4939</v>
      </c>
      <c r="B101" s="75" t="s">
        <v>4190</v>
      </c>
      <c r="C101" s="74">
        <v>39073090</v>
      </c>
      <c r="D101" s="74" t="s">
        <v>4191</v>
      </c>
      <c r="E101" s="75" t="s">
        <v>4304</v>
      </c>
      <c r="F101" s="74" t="s">
        <v>3515</v>
      </c>
      <c r="G101" s="76">
        <v>950</v>
      </c>
      <c r="H101" s="76">
        <v>1000</v>
      </c>
      <c r="I101" s="76">
        <v>3800</v>
      </c>
      <c r="L101" s="77"/>
    </row>
    <row r="102" spans="1:12">
      <c r="A102" s="92" t="s">
        <v>4940</v>
      </c>
      <c r="B102" s="75" t="s">
        <v>4190</v>
      </c>
      <c r="C102" s="74">
        <v>39073090</v>
      </c>
      <c r="D102" s="74" t="s">
        <v>4191</v>
      </c>
      <c r="E102" s="75" t="s">
        <v>4305</v>
      </c>
      <c r="F102" s="74" t="s">
        <v>3515</v>
      </c>
      <c r="G102" s="76">
        <v>1235</v>
      </c>
      <c r="H102" s="76">
        <v>1300</v>
      </c>
      <c r="I102" s="76">
        <v>4500</v>
      </c>
      <c r="L102" s="77"/>
    </row>
    <row r="103" spans="1:12">
      <c r="A103" s="92" t="s">
        <v>4941</v>
      </c>
      <c r="B103" s="75" t="s">
        <v>4190</v>
      </c>
      <c r="C103" s="74">
        <v>39073090</v>
      </c>
      <c r="D103" s="74" t="s">
        <v>4191</v>
      </c>
      <c r="E103" s="75" t="s">
        <v>4306</v>
      </c>
      <c r="F103" s="74" t="s">
        <v>3515</v>
      </c>
      <c r="G103" s="76">
        <v>760</v>
      </c>
      <c r="H103" s="76">
        <v>800</v>
      </c>
      <c r="I103" s="76">
        <v>3000</v>
      </c>
      <c r="L103" s="77"/>
    </row>
    <row r="104" spans="1:12">
      <c r="A104" s="92" t="s">
        <v>4942</v>
      </c>
      <c r="B104" s="75" t="s">
        <v>4190</v>
      </c>
      <c r="C104" s="74">
        <v>39073090</v>
      </c>
      <c r="D104" s="74" t="s">
        <v>4191</v>
      </c>
      <c r="E104" s="78" t="s">
        <v>4307</v>
      </c>
      <c r="F104" s="74" t="s">
        <v>3515</v>
      </c>
      <c r="G104" s="78">
        <v>6381</v>
      </c>
      <c r="H104" s="78">
        <v>6700</v>
      </c>
      <c r="I104" s="78">
        <v>18000</v>
      </c>
      <c r="L104" s="77"/>
    </row>
    <row r="105" spans="1:12">
      <c r="A105" s="92" t="s">
        <v>4943</v>
      </c>
      <c r="B105" s="75" t="s">
        <v>4190</v>
      </c>
      <c r="C105" s="74">
        <v>39073090</v>
      </c>
      <c r="D105" s="74" t="s">
        <v>4191</v>
      </c>
      <c r="E105" s="78" t="s">
        <v>4308</v>
      </c>
      <c r="F105" s="74" t="s">
        <v>3515</v>
      </c>
      <c r="G105" s="78">
        <v>4571</v>
      </c>
      <c r="H105" s="78">
        <v>4800</v>
      </c>
      <c r="I105" s="78">
        <v>13000</v>
      </c>
      <c r="L105" s="77"/>
    </row>
    <row r="106" spans="1:12">
      <c r="A106" s="92" t="s">
        <v>4944</v>
      </c>
      <c r="B106" s="75" t="s">
        <v>4190</v>
      </c>
      <c r="C106" s="74">
        <v>39073090</v>
      </c>
      <c r="D106" s="74" t="s">
        <v>4191</v>
      </c>
      <c r="E106" s="78" t="s">
        <v>4309</v>
      </c>
      <c r="F106" s="74" t="s">
        <v>3515</v>
      </c>
      <c r="G106" s="78">
        <v>4465</v>
      </c>
      <c r="H106" s="78">
        <v>4700</v>
      </c>
      <c r="I106" s="76">
        <v>14500</v>
      </c>
      <c r="L106" s="77"/>
    </row>
    <row r="107" spans="1:12">
      <c r="A107" s="92" t="s">
        <v>4945</v>
      </c>
      <c r="B107" s="75" t="s">
        <v>4190</v>
      </c>
      <c r="C107" s="74">
        <v>39073090</v>
      </c>
      <c r="D107" s="74" t="s">
        <v>4191</v>
      </c>
      <c r="E107" s="78" t="s">
        <v>4310</v>
      </c>
      <c r="F107" s="74" t="s">
        <v>3515</v>
      </c>
      <c r="G107" s="78">
        <v>2708</v>
      </c>
      <c r="H107" s="78">
        <v>2850</v>
      </c>
      <c r="I107" s="76">
        <v>9900</v>
      </c>
      <c r="L107" s="77"/>
    </row>
    <row r="108" spans="1:12">
      <c r="A108" s="92" t="s">
        <v>4946</v>
      </c>
      <c r="B108" s="75" t="s">
        <v>4190</v>
      </c>
      <c r="C108" s="74">
        <v>39073090</v>
      </c>
      <c r="D108" s="74" t="s">
        <v>4191</v>
      </c>
      <c r="E108" s="78" t="s">
        <v>4311</v>
      </c>
      <c r="F108" s="74" t="s">
        <v>3515</v>
      </c>
      <c r="G108" s="78">
        <v>3420</v>
      </c>
      <c r="H108" s="78">
        <v>3600</v>
      </c>
      <c r="I108" s="76">
        <v>12500</v>
      </c>
      <c r="L108" s="77"/>
    </row>
    <row r="109" spans="1:12">
      <c r="A109" s="92" t="s">
        <v>4947</v>
      </c>
      <c r="B109" s="75" t="s">
        <v>4190</v>
      </c>
      <c r="C109" s="74">
        <v>39073090</v>
      </c>
      <c r="D109" s="74" t="s">
        <v>4191</v>
      </c>
      <c r="E109" s="78" t="s">
        <v>4312</v>
      </c>
      <c r="F109" s="74" t="s">
        <v>3515</v>
      </c>
      <c r="G109" s="78">
        <v>81400</v>
      </c>
      <c r="H109" s="78">
        <v>87505</v>
      </c>
      <c r="I109" s="76">
        <v>135666.67000000001</v>
      </c>
      <c r="L109" s="77"/>
    </row>
    <row r="110" spans="1:12">
      <c r="A110" s="92" t="s">
        <v>4948</v>
      </c>
      <c r="B110" s="75" t="s">
        <v>4190</v>
      </c>
      <c r="C110" s="74">
        <v>39073090</v>
      </c>
      <c r="D110" s="74" t="s">
        <v>4191</v>
      </c>
      <c r="E110" s="78" t="s">
        <v>4313</v>
      </c>
      <c r="F110" s="74" t="s">
        <v>3515</v>
      </c>
      <c r="G110" s="78">
        <v>58800</v>
      </c>
      <c r="H110" s="78">
        <v>63210</v>
      </c>
      <c r="I110" s="76">
        <v>98000</v>
      </c>
      <c r="L110" s="77"/>
    </row>
    <row r="111" spans="1:12">
      <c r="A111" s="92" t="s">
        <v>4949</v>
      </c>
      <c r="B111" s="75" t="s">
        <v>4190</v>
      </c>
      <c r="C111" s="74">
        <v>39073090</v>
      </c>
      <c r="D111" s="74" t="s">
        <v>4191</v>
      </c>
      <c r="E111" s="78" t="s">
        <v>4314</v>
      </c>
      <c r="F111" s="74" t="s">
        <v>3515</v>
      </c>
      <c r="G111" s="78">
        <v>855</v>
      </c>
      <c r="H111" s="78">
        <v>900</v>
      </c>
      <c r="I111" s="76">
        <v>2500</v>
      </c>
      <c r="L111" s="77"/>
    </row>
    <row r="112" spans="1:12">
      <c r="A112" s="92" t="s">
        <v>4950</v>
      </c>
      <c r="B112" s="75" t="s">
        <v>4190</v>
      </c>
      <c r="C112" s="74">
        <v>39073090</v>
      </c>
      <c r="D112" s="74" t="s">
        <v>4191</v>
      </c>
      <c r="E112" s="78" t="s">
        <v>4315</v>
      </c>
      <c r="F112" s="74" t="s">
        <v>3515</v>
      </c>
      <c r="G112" s="78">
        <v>1710</v>
      </c>
      <c r="H112" s="78">
        <v>1800</v>
      </c>
      <c r="I112" s="76">
        <v>5400</v>
      </c>
      <c r="L112" s="77"/>
    </row>
    <row r="113" spans="1:12">
      <c r="A113" s="92" t="s">
        <v>4951</v>
      </c>
      <c r="B113" s="75" t="s">
        <v>4190</v>
      </c>
      <c r="C113" s="74">
        <v>39073090</v>
      </c>
      <c r="D113" s="74" t="s">
        <v>4191</v>
      </c>
      <c r="E113" s="78" t="s">
        <v>4316</v>
      </c>
      <c r="F113" s="74" t="s">
        <v>3515</v>
      </c>
      <c r="G113" s="78">
        <v>308700</v>
      </c>
      <c r="H113" s="78">
        <v>331852.5</v>
      </c>
      <c r="I113" s="76">
        <v>514500</v>
      </c>
      <c r="L113" s="77"/>
    </row>
    <row r="114" spans="1:12">
      <c r="A114" s="92" t="s">
        <v>4952</v>
      </c>
      <c r="B114" s="75" t="s">
        <v>4190</v>
      </c>
      <c r="C114" s="74">
        <v>39073090</v>
      </c>
      <c r="D114" s="74" t="s">
        <v>4191</v>
      </c>
      <c r="E114" s="78" t="s">
        <v>4317</v>
      </c>
      <c r="F114" s="74" t="s">
        <v>3515</v>
      </c>
      <c r="G114" s="78">
        <v>276</v>
      </c>
      <c r="H114" s="78">
        <v>290</v>
      </c>
      <c r="I114" s="76">
        <v>900</v>
      </c>
      <c r="L114" s="77"/>
    </row>
    <row r="115" spans="1:12">
      <c r="A115" s="92" t="s">
        <v>4953</v>
      </c>
      <c r="B115" s="75" t="s">
        <v>4190</v>
      </c>
      <c r="C115" s="74">
        <v>39073090</v>
      </c>
      <c r="D115" s="74" t="s">
        <v>4191</v>
      </c>
      <c r="E115" s="78" t="s">
        <v>4318</v>
      </c>
      <c r="F115" s="74" t="s">
        <v>3515</v>
      </c>
      <c r="G115" s="78">
        <v>142.5</v>
      </c>
      <c r="H115" s="78">
        <v>150</v>
      </c>
      <c r="I115" s="76">
        <v>450</v>
      </c>
      <c r="L115" s="77"/>
    </row>
    <row r="116" spans="1:12">
      <c r="A116" s="92" t="s">
        <v>4954</v>
      </c>
      <c r="B116" s="75" t="s">
        <v>4190</v>
      </c>
      <c r="C116" s="74">
        <v>39073090</v>
      </c>
      <c r="D116" s="74" t="s">
        <v>4191</v>
      </c>
      <c r="E116" s="78" t="s">
        <v>4319</v>
      </c>
      <c r="F116" s="74" t="s">
        <v>3515</v>
      </c>
      <c r="G116" s="78">
        <v>142.5</v>
      </c>
      <c r="H116" s="78">
        <v>150</v>
      </c>
      <c r="I116" s="76">
        <v>450</v>
      </c>
      <c r="L116" s="77"/>
    </row>
    <row r="117" spans="1:12">
      <c r="A117" s="92" t="s">
        <v>4955</v>
      </c>
      <c r="B117" s="75" t="s">
        <v>4190</v>
      </c>
      <c r="C117" s="74">
        <v>39073090</v>
      </c>
      <c r="D117" s="74" t="s">
        <v>4191</v>
      </c>
      <c r="E117" s="78" t="s">
        <v>4320</v>
      </c>
      <c r="F117" s="74" t="s">
        <v>3515</v>
      </c>
      <c r="G117" s="78">
        <v>142.5</v>
      </c>
      <c r="H117" s="78">
        <v>150</v>
      </c>
      <c r="I117" s="76">
        <v>450</v>
      </c>
      <c r="L117" s="77"/>
    </row>
    <row r="118" spans="1:12">
      <c r="A118" s="92" t="s">
        <v>4956</v>
      </c>
      <c r="B118" s="75" t="s">
        <v>4190</v>
      </c>
      <c r="C118" s="74">
        <v>39073090</v>
      </c>
      <c r="D118" s="74" t="s">
        <v>4191</v>
      </c>
      <c r="E118" s="78" t="s">
        <v>4321</v>
      </c>
      <c r="F118" s="74" t="s">
        <v>3515</v>
      </c>
      <c r="G118" s="78">
        <v>142.5</v>
      </c>
      <c r="H118" s="78">
        <v>150</v>
      </c>
      <c r="I118" s="76">
        <v>450</v>
      </c>
      <c r="L118" s="77"/>
    </row>
    <row r="119" spans="1:12">
      <c r="A119" s="92" t="s">
        <v>4957</v>
      </c>
      <c r="B119" s="75" t="s">
        <v>4190</v>
      </c>
      <c r="C119" s="74">
        <v>39073090</v>
      </c>
      <c r="D119" s="74" t="s">
        <v>4191</v>
      </c>
      <c r="E119" s="78" t="s">
        <v>4322</v>
      </c>
      <c r="F119" s="74" t="s">
        <v>3515</v>
      </c>
      <c r="G119" s="78">
        <v>142.5</v>
      </c>
      <c r="H119" s="78">
        <v>150</v>
      </c>
      <c r="I119" s="76">
        <v>450</v>
      </c>
      <c r="L119" s="77"/>
    </row>
    <row r="120" spans="1:12">
      <c r="A120" s="92" t="s">
        <v>4958</v>
      </c>
      <c r="B120" s="75" t="s">
        <v>4190</v>
      </c>
      <c r="C120" s="74">
        <v>39073090</v>
      </c>
      <c r="D120" s="74" t="s">
        <v>4191</v>
      </c>
      <c r="E120" s="78" t="s">
        <v>4323</v>
      </c>
      <c r="F120" s="74" t="s">
        <v>3515</v>
      </c>
      <c r="G120" s="78">
        <v>142.5</v>
      </c>
      <c r="H120" s="78">
        <v>150</v>
      </c>
      <c r="I120" s="76">
        <v>450</v>
      </c>
      <c r="L120" s="77"/>
    </row>
    <row r="121" spans="1:12">
      <c r="A121" s="92" t="s">
        <v>4959</v>
      </c>
      <c r="B121" s="75" t="s">
        <v>4190</v>
      </c>
      <c r="C121" s="74">
        <v>39073090</v>
      </c>
      <c r="D121" s="74" t="s">
        <v>4191</v>
      </c>
      <c r="E121" s="78" t="s">
        <v>4324</v>
      </c>
      <c r="F121" s="74" t="s">
        <v>3515</v>
      </c>
      <c r="G121" s="78">
        <v>142.5</v>
      </c>
      <c r="H121" s="78">
        <v>150</v>
      </c>
      <c r="I121" s="76">
        <v>450</v>
      </c>
      <c r="L121" s="77"/>
    </row>
    <row r="122" spans="1:12">
      <c r="A122" s="92" t="s">
        <v>4960</v>
      </c>
      <c r="B122" s="75" t="s">
        <v>4190</v>
      </c>
      <c r="C122" s="74">
        <v>39073090</v>
      </c>
      <c r="D122" s="74" t="s">
        <v>4191</v>
      </c>
      <c r="E122" s="78" t="s">
        <v>4325</v>
      </c>
      <c r="F122" s="74" t="s">
        <v>3515</v>
      </c>
      <c r="G122" s="78">
        <v>142.5</v>
      </c>
      <c r="H122" s="78">
        <v>150</v>
      </c>
      <c r="I122" s="76">
        <v>450</v>
      </c>
      <c r="L122" s="77"/>
    </row>
    <row r="123" spans="1:12">
      <c r="A123" s="92" t="s">
        <v>4961</v>
      </c>
      <c r="B123" s="75" t="s">
        <v>4190</v>
      </c>
      <c r="C123" s="74">
        <v>39073090</v>
      </c>
      <c r="D123" s="74" t="s">
        <v>4191</v>
      </c>
      <c r="E123" s="78" t="s">
        <v>4326</v>
      </c>
      <c r="F123" s="74" t="s">
        <v>3515</v>
      </c>
      <c r="G123" s="78">
        <v>142.5</v>
      </c>
      <c r="H123" s="78">
        <v>150</v>
      </c>
      <c r="I123" s="76">
        <v>450</v>
      </c>
      <c r="L123" s="77"/>
    </row>
    <row r="124" spans="1:12">
      <c r="A124" s="92" t="s">
        <v>4962</v>
      </c>
      <c r="B124" s="75" t="s">
        <v>4190</v>
      </c>
      <c r="C124" s="74">
        <v>39073090</v>
      </c>
      <c r="D124" s="74" t="s">
        <v>4191</v>
      </c>
      <c r="E124" s="78" t="s">
        <v>4327</v>
      </c>
      <c r="F124" s="74" t="s">
        <v>3515</v>
      </c>
      <c r="G124" s="78">
        <v>400</v>
      </c>
      <c r="H124" s="78">
        <v>420</v>
      </c>
      <c r="I124" s="76">
        <v>1150</v>
      </c>
      <c r="L124" s="77"/>
    </row>
  </sheetData>
  <phoneticPr fontId="6" type="noConversion"/>
  <conditionalFormatting sqref="A125:B1048576 A1:B1 A2:A1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Kohler</vt:lpstr>
      <vt:lpstr>Fosroc</vt:lpstr>
      <vt:lpstr>Sika</vt:lpstr>
      <vt:lpstr>Kemprol</vt:lpstr>
      <vt:lpstr>Dr Fixit</vt:lpstr>
      <vt:lpstr>VT</vt:lpstr>
      <vt:lpstr>ROFF</vt:lpstr>
      <vt:lpstr>TENAX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croods13</dc:creator>
  <cp:lastModifiedBy>Ashok Dwivedi</cp:lastModifiedBy>
  <cp:revision>83</cp:revision>
  <cp:lastPrinted>2019-04-20T09:21:00Z</cp:lastPrinted>
  <dcterms:created xsi:type="dcterms:W3CDTF">2006-09-16T00:00:00Z</dcterms:created>
  <dcterms:modified xsi:type="dcterms:W3CDTF">2026-03-19T10:52:07Z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2FD97A00672D45B29F37B2321C2CB151_12</vt:lpwstr>
  </property>
  <property fmtid="{D5CDD505-2E9C-101B-9397-08002B2CF9AE}" pid="9" name="KSOProductBuildVer">
    <vt:lpwstr>1033-12.2.0.23155</vt:lpwstr>
  </property>
</Properties>
</file>